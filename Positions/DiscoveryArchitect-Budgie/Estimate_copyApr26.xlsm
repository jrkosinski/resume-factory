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4"/>
    <sheet state="visible" name="WBS" sheetId="2" r:id="rId5"/>
    <sheet state="visible" name="Assumptions" sheetId="3" r:id="rId6"/>
    <sheet state="visible" name="Phasing" sheetId="4" r:id="rId7"/>
    <sheet state="visible" name="Instructions" sheetId="5" r:id="rId8"/>
  </sheets>
  <definedNames/>
  <calcPr/>
  <extLst>
    <ext uri="GoogleSheetsCustomDataVersion2">
      <go:sheetsCustomData xmlns:go="http://customooxmlschemas.google.com/" r:id="rId9" roundtripDataChecksum="YSdMtoqwzZMAfRypN/WFtoPREpxn//TGILXmQ7gobPs="/>
    </ext>
  </extLst>
</workbook>
</file>

<file path=xl/sharedStrings.xml><?xml version="1.0" encoding="utf-8"?>
<sst xmlns="http://schemas.openxmlformats.org/spreadsheetml/2006/main" count="19181" uniqueCount="3230">
  <si>
    <t>Budgie Estimation Workbook</t>
  </si>
  <si>
    <t>Purpose: bottom-up sizing model for discovery-phase estimation. Edit the WBS sheet; rollups update automatically.</t>
  </si>
  <si>
    <t>KPI</t>
  </si>
  <si>
    <t>Value</t>
  </si>
  <si>
    <t>Version Bucket</t>
  </si>
  <si>
    <t>Adjusted PD</t>
  </si>
  <si>
    <t>High-risk count</t>
  </si>
  <si>
    <t>Notes</t>
  </si>
  <si>
    <t>Total adjusted person-days</t>
  </si>
  <si>
    <t>MVP</t>
  </si>
  <si>
    <t>Feature summary rows only</t>
  </si>
  <si>
    <t>Total optimistic person-days</t>
  </si>
  <si>
    <t>v1.1</t>
  </si>
  <si>
    <t>Total pessimistic person-days</t>
  </si>
  <si>
    <t>v2+</t>
  </si>
  <si>
    <t>High-risk items</t>
  </si>
  <si>
    <t>Contingency Reserve</t>
  </si>
  <si>
    <t>Adjusted minus expected across feature summaries</t>
  </si>
  <si>
    <t>Indicative Total incl. reserve</t>
  </si>
  <si>
    <t>Subsystem Rollup</t>
  </si>
  <si>
    <t>Capability / Epic</t>
  </si>
  <si>
    <t>Onboarding &amp; Activation</t>
  </si>
  <si>
    <t>Account Aggregation - Banking</t>
  </si>
  <si>
    <t>Account Aggregation - Crypto</t>
  </si>
  <si>
    <t>AI Coaching &amp; Personality</t>
  </si>
  <si>
    <t>Budget &amp; Expense Management</t>
  </si>
  <si>
    <t>Goal Planning</t>
  </si>
  <si>
    <t>Financial Health Score</t>
  </si>
  <si>
    <t>Admin &amp; Analytics</t>
  </si>
  <si>
    <t>Compliance &amp; Security</t>
  </si>
  <si>
    <t>Localization / Expansion</t>
  </si>
  <si>
    <t>Frontend Development</t>
  </si>
  <si>
    <t>Backend Development</t>
  </si>
  <si>
    <t>Testing/QA</t>
  </si>
  <si>
    <t>Team Resources</t>
  </si>
  <si>
    <t>Frontend Developers</t>
  </si>
  <si>
    <t>Backend Developers</t>
  </si>
  <si>
    <t>1 Backend/API</t>
  </si>
  <si>
    <t>1 AI specialist</t>
  </si>
  <si>
    <t>1 Sys/DevOps</t>
  </si>
  <si>
    <t xml:space="preserve">QA </t>
  </si>
  <si>
    <t>WBS ID</t>
  </si>
  <si>
    <t>Subsystem / Service</t>
  </si>
  <si>
    <t>Work Package</t>
  </si>
  <si>
    <t>Scope Notes / Assumptions</t>
  </si>
  <si>
    <t>Dependencies</t>
  </si>
  <si>
    <t>Estimate Basis</t>
  </si>
  <si>
    <t>Complexity</t>
  </si>
  <si>
    <t>Phase</t>
  </si>
  <si>
    <t>Optimistic (PD)</t>
  </si>
  <si>
    <t>Likely (PD)</t>
  </si>
  <si>
    <t>Pessimistic (PD)</t>
  </si>
  <si>
    <t>Expected (PD)</t>
  </si>
  <si>
    <t>Contingency %</t>
  </si>
  <si>
    <t>Adjusted (PD)</t>
  </si>
  <si>
    <t>Confidence</t>
  </si>
  <si>
    <t>Risk</t>
  </si>
  <si>
    <t>Estimate Part</t>
  </si>
  <si>
    <t>Epic 0: Technical Framework</t>
  </si>
  <si>
    <t>Epic Summary</t>
  </si>
  <si>
    <t>Technical Framework</t>
  </si>
  <si>
    <t>Front End</t>
  </si>
  <si>
    <t>Section Summary</t>
  </si>
  <si>
    <t>0.1.1</t>
  </si>
  <si>
    <t>Mobile App Foundation</t>
  </si>
  <si>
    <t>Feature Summary</t>
  </si>
  <si>
    <t>0.1.1.FE</t>
  </si>
  <si>
    <t>0.1.1.BE</t>
  </si>
  <si>
    <t>Backend Dev/Sys &amp; DevOps</t>
  </si>
  <si>
    <t>0.1.1.QA</t>
  </si>
  <si>
    <t>Testing / QA</t>
  </si>
  <si>
    <t>0.1.2</t>
  </si>
  <si>
    <t>Admin Frontend Foundation</t>
  </si>
  <si>
    <t>0.1.2.FE</t>
  </si>
  <si>
    <t>0.1.2.BE</t>
  </si>
  <si>
    <t>0.1.2.QA</t>
  </si>
  <si>
    <t>Backend</t>
  </si>
  <si>
    <t>0.2.1</t>
  </si>
  <si>
    <t>Backend Service Foundation</t>
  </si>
  <si>
    <t>0.2.1.FE</t>
  </si>
  <si>
    <t>0.2.1.BE</t>
  </si>
  <si>
    <t>0.2.1.QA</t>
  </si>
  <si>
    <t>0.2.2</t>
  </si>
  <si>
    <t>Identity, Auth, and Session Foundation</t>
  </si>
  <si>
    <t>0.2.2.FE</t>
  </si>
  <si>
    <t>0.2.2.BE</t>
  </si>
  <si>
    <t>0.2.2.QA</t>
  </si>
  <si>
    <t>0.2.3</t>
  </si>
  <si>
    <t>Core Data Model and Persistence</t>
  </si>
  <si>
    <t>0.2.3.FE</t>
  </si>
  <si>
    <t>0.2.3.BE</t>
  </si>
  <si>
    <t>0.2.3.QA</t>
  </si>
  <si>
    <t>0.2.4</t>
  </si>
  <si>
    <t>Provider Integration Framework</t>
  </si>
  <si>
    <t>0.2.4.FE</t>
  </si>
  <si>
    <t>0.2.4.BE</t>
  </si>
  <si>
    <t>0.2.4.QA</t>
  </si>
  <si>
    <t>0.2.5</t>
  </si>
  <si>
    <t>0.2.5.FE</t>
  </si>
  <si>
    <t>0.2.5.BE</t>
  </si>
  <si>
    <t>0.2.5.QA</t>
  </si>
  <si>
    <t>0.2.6</t>
  </si>
  <si>
    <t>Async Jobs, Events, and Workflow Foundation</t>
  </si>
  <si>
    <t>0.2.6.FE</t>
  </si>
  <si>
    <t>0.2.6.BE</t>
  </si>
  <si>
    <t>0.2.6.QA</t>
  </si>
  <si>
    <t>0.2.7</t>
  </si>
  <si>
    <t>AI Orchestration Foundation</t>
  </si>
  <si>
    <t>0.2.7.FE</t>
  </si>
  <si>
    <t>0.2.7.BE</t>
  </si>
  <si>
    <t>0.2.7.QA</t>
  </si>
  <si>
    <t>0.2.8</t>
  </si>
  <si>
    <t>Privacy, Consent, and Audit Foundation</t>
  </si>
  <si>
    <t>0.2.8.FE</t>
  </si>
  <si>
    <t>0.2.8.BE</t>
  </si>
  <si>
    <t>0.2.8.QA</t>
  </si>
  <si>
    <t>0.2.9</t>
  </si>
  <si>
    <t>Notifications Foundation</t>
  </si>
  <si>
    <t>0.2.9.FE</t>
  </si>
  <si>
    <t>0.2.9.BE</t>
  </si>
  <si>
    <t>0.2.9.QA</t>
  </si>
  <si>
    <t>0.2.10</t>
  </si>
  <si>
    <t>Subscription and Entitlement Foundation</t>
  </si>
  <si>
    <t>0.2.10.FE</t>
  </si>
  <si>
    <t>0.2.10.BE</t>
  </si>
  <si>
    <t>0.2.10.QA</t>
  </si>
  <si>
    <t>0.2.11</t>
  </si>
  <si>
    <t>Analytics and Observability Foundation</t>
  </si>
  <si>
    <t>0.2.11.FE</t>
  </si>
  <si>
    <t>0.2.11.BE</t>
  </si>
  <si>
    <t>0.2.11.QA</t>
  </si>
  <si>
    <t>0.2.12</t>
  </si>
  <si>
    <t>Admin / Back Office Foundation</t>
  </si>
  <si>
    <t>0.2.12.FE</t>
  </si>
  <si>
    <t>0.2.12.BE</t>
  </si>
  <si>
    <t>0.2.12.QA</t>
  </si>
  <si>
    <t>0.2.13</t>
  </si>
  <si>
    <t>Localization / Jurisdiction Foundation</t>
  </si>
  <si>
    <t>0.2.13.FE</t>
  </si>
  <si>
    <t>0.2.13.BE</t>
  </si>
  <si>
    <t>0.2.13.QA</t>
  </si>
  <si>
    <t>System/DevOps</t>
  </si>
  <si>
    <t>0.3.1</t>
  </si>
  <si>
    <t>DevOps / Environment / Release Foundation</t>
  </si>
  <si>
    <t>0.3.1.FE</t>
  </si>
  <si>
    <t>0.3.1.BE</t>
  </si>
  <si>
    <t>0.3.1.QA</t>
  </si>
  <si>
    <t>Epic 1: Onboarding &amp; Activation</t>
  </si>
  <si>
    <t>1.1</t>
  </si>
  <si>
    <t>First-Launch Experience</t>
  </si>
  <si>
    <t>Backlog section 1.1 from Budgie AI Product Backlog v0.3. Child feature rows below are the estimate rows.</t>
  </si>
  <si>
    <t>1.1.1</t>
  </si>
  <si>
    <t>App install flow and first-launch detection</t>
  </si>
  <si>
    <t>Standard; included for completeness</t>
  </si>
  <si>
    <t>S</t>
  </si>
  <si>
    <t>1.1.1.FE</t>
  </si>
  <si>
    <t>1.1.1.BE</t>
  </si>
  <si>
    <t>1.1.1.QA</t>
  </si>
  <si>
    <t>1.1.2</t>
  </si>
  <si>
    <t>Welcome screen - Budgie introduces itself in character</t>
  </si>
  <si>
    <t>Sets the tone immediately; first-person voice, not a generic splash screen</t>
  </si>
  <si>
    <t>Epic 4 (AI personality defined)</t>
  </si>
  <si>
    <t>1.1.2.FE</t>
  </si>
  <si>
    <t>1.1.2.BE</t>
  </si>
  <si>
    <t>1.1.2.QA</t>
  </si>
  <si>
    <t>1.1.3</t>
  </si>
  <si>
    <t>Enforced introductory tour (skippable or not TBD)</t>
  </si>
  <si>
    <t>Founder specified "enforced" - UX tension with friction needs resolving</t>
  </si>
  <si>
    <t>M</t>
  </si>
  <si>
    <t>1.1.3.FE</t>
  </si>
  <si>
    <t>1.1.3.BE</t>
  </si>
  <si>
    <t>1.1.3.QA</t>
  </si>
  <si>
    <t>1.1.4</t>
  </si>
  <si>
    <t>Account creation (email/phone/social login)</t>
  </si>
  <si>
    <t>Social login (Google/Apple) reduces friction significantly</t>
  </si>
  <si>
    <t>Epic 12 (identity infrastructure)</t>
  </si>
  <si>
    <t>1.1.4.FE</t>
  </si>
  <si>
    <t>1.1.4.BE</t>
  </si>
  <si>
    <t>1.1.4.QA</t>
  </si>
  <si>
    <t>1.2</t>
  </si>
  <si>
    <t>AI-Led Initial Engagement</t>
  </si>
  <si>
    <t>Backlog section 1.2 from Budgie AI Product Backlog v0.3. Child feature rows below are the estimate rows.</t>
  </si>
  <si>
    <t>1.2.1</t>
  </si>
  <si>
    <t>Budgie asks critical onboarding questions only (minimise drop-off)</t>
  </si>
  <si>
    <t>Founder explicit on this - only critical info upfront</t>
  </si>
  <si>
    <t>1.1.2, Epic 4</t>
  </si>
  <si>
    <t>1.2.1.FE</t>
  </si>
  <si>
    <t>1.2.1.BE</t>
  </si>
  <si>
    <t>1.2.1.QA</t>
  </si>
  <si>
    <t>1.2.2</t>
  </si>
  <si>
    <t>Budgie sets its own tone, check-in cadence, and personality primers with user</t>
  </si>
  <si>
    <t>Part of making the AI feel personal from the start</t>
  </si>
  <si>
    <t>Epic 4</t>
  </si>
  <si>
    <t>1.2.2.FE</t>
  </si>
  <si>
    <t>1.2.2.BE</t>
  </si>
  <si>
    <t>1.2.2.QA</t>
  </si>
  <si>
    <t>1.2.3</t>
  </si>
  <si>
    <t>Progressive information gathering - further questions unlock features over time</t>
  </si>
  <si>
    <t>Important but not strictly required for MVP - can launch with a fixed question set</t>
  </si>
  <si>
    <t>1.2.1, feature unlock logic</t>
  </si>
  <si>
    <t>L</t>
  </si>
  <si>
    <t>1.2.3.FE</t>
  </si>
  <si>
    <t>1.2.3.BE</t>
  </si>
  <si>
    <t>1.2.3.QA</t>
  </si>
  <si>
    <t>1.3</t>
  </si>
  <si>
    <t>Early Value Delivery (Pre-Bank Connection)</t>
  </si>
  <si>
    <t>Backlog section 1.3 from Budgie AI Product Backlog v0.3. Child feature rows below are the estimate rows.</t>
  </si>
  <si>
    <t>1.3.1</t>
  </si>
  <si>
    <t>Generate initial Financial Health Score from onboarding inputs</t>
  </si>
  <si>
    <t>Hooks user before asking for bank connection - critical value demonstration</t>
  </si>
  <si>
    <t>Epic 7</t>
  </si>
  <si>
    <t>1.3.1.FE</t>
  </si>
  <si>
    <t>1.3.1.BE</t>
  </si>
  <si>
    <t>1.3.1.QA</t>
  </si>
  <si>
    <t>1.3.2</t>
  </si>
  <si>
    <t>Personalised initial Budgie commentary on user's situation</t>
  </si>
  <si>
    <t>First "aha" moment - AI speaks to their actual answers</t>
  </si>
  <si>
    <t>Epic 4, 1.3.1</t>
  </si>
  <si>
    <t>1.3.2.FE</t>
  </si>
  <si>
    <t>1.3.2.BE</t>
  </si>
  <si>
    <t>1.3.2.QA</t>
  </si>
  <si>
    <t>1.3.3</t>
  </si>
  <si>
    <t>Preview of what Budgie can do once fully connected</t>
  </si>
  <si>
    <t>Manages expectations and motivates connection</t>
  </si>
  <si>
    <t>1.3.3.FE</t>
  </si>
  <si>
    <t>1.3.3.BE</t>
  </si>
  <si>
    <t>1.3.3.QA</t>
  </si>
  <si>
    <t>1.4</t>
  </si>
  <si>
    <t>Bank Account Connection</t>
  </si>
  <si>
    <t>Backlog section 1.4 from Budgie AI Product Backlog v0.3. Child feature rows below are the estimate rows.</t>
  </si>
  <si>
    <t>1.4.1</t>
  </si>
  <si>
    <t>Explain bank connection benefit and security before triggering Finverse flow</t>
  </si>
  <si>
    <t>Trust-building moment; reduces drop-off at the highest-friction step</t>
  </si>
  <si>
    <t>Epic 2</t>
  </si>
  <si>
    <t>1.4.1.FE</t>
  </si>
  <si>
    <t>1.4.1.BE</t>
  </si>
  <si>
    <t>1.4.1.QA</t>
  </si>
  <si>
    <t>1.4.2</t>
  </si>
  <si>
    <t>Invoke Finverse account linking flow</t>
  </si>
  <si>
    <t>Largely controlled by Finverse's SDK/flow</t>
  </si>
  <si>
    <t>1.4.2.FE</t>
  </si>
  <si>
    <t>Invoke External Bank Aggregator account linking flow</t>
  </si>
  <si>
    <t>1.4.2.BE</t>
  </si>
  <si>
    <t>1.4.2.QA</t>
  </si>
  <si>
    <t>1.4.3</t>
  </si>
  <si>
    <t>Handle connection failure, retry, partial connection, and skip paths</t>
  </si>
  <si>
    <t>Failure modes are inevitable; product must degrade gracefully</t>
  </si>
  <si>
    <t>1.4.3.FE</t>
  </si>
  <si>
    <t>1.4.3.BE</t>
  </si>
  <si>
    <t>1.4.3.QA</t>
  </si>
  <si>
    <t>1.4.4</t>
  </si>
  <si>
    <t>Post-connection celebration / Budgie reacts to seeing the user's data</t>
  </si>
  <si>
    <t>Converts a technical moment into a relationship moment</t>
  </si>
  <si>
    <t>1.4.2, Epic 4</t>
  </si>
  <si>
    <t>1.4.4.FE</t>
  </si>
  <si>
    <t>1.4.4.BE</t>
  </si>
  <si>
    <t>1.4.4.QA</t>
  </si>
  <si>
    <t>1.5</t>
  </si>
  <si>
    <t>Feature Unlocking &amp; Progressive Disclosure</t>
  </si>
  <si>
    <t>Backlog section 1.5 from Budgie AI Product Backlog v0.3. Child feature rows below are the estimate rows.</t>
  </si>
  <si>
    <t>1.5.1</t>
  </si>
  <si>
    <t>Feature unlock logic - gate features on completion of prerequisites</t>
  </si>
  <si>
    <t>Core to founder's vision but implementable post-MVP; v1 can use fixed feature availability</t>
  </si>
  <si>
    <t>Requires defined unlock model</t>
  </si>
  <si>
    <t>1.5.1.FE</t>
  </si>
  <si>
    <t>1.5.1.BE</t>
  </si>
  <si>
    <t>1.5.1.QA</t>
  </si>
  <si>
    <t>1.5.2</t>
  </si>
  <si>
    <t>In-app prompts encouraging completion of unlocks</t>
  </si>
  <si>
    <t>Secondary to the unlock logic itself</t>
  </si>
  <si>
    <t>1.5.2.FE</t>
  </si>
  <si>
    <t>1.5.2.BE</t>
  </si>
  <si>
    <t>1.5.2.QA</t>
  </si>
  <si>
    <t>1.5.3</t>
  </si>
  <si>
    <t>Onboarding Analytics</t>
  </si>
  <si>
    <t>Greyed-out UI elements for features on the roadmap but not yet shipped (e.g. joint accounts, HK-specific options)</t>
  </si>
  <si>
    <t>Non-negotiable - onboarding is where the most optimisation opportunity lives</t>
  </si>
  <si>
    <t>Epic 14</t>
  </si>
  <si>
    <t>1.5.3.FE</t>
  </si>
  <si>
    <t>1.5.3.BE</t>
  </si>
  <si>
    <t>1.5.3.QA</t>
  </si>
  <si>
    <t>1.6</t>
  </si>
  <si>
    <t>Backlog section 1.6 from Budgie AI Product Backlog v0.3. Child feature rows below are the estimate rows.</t>
  </si>
  <si>
    <t>1.6.1</t>
  </si>
  <si>
    <t>Funnel instrumentation at every onboarding step</t>
  </si>
  <si>
    <t>1.6.1.FE</t>
  </si>
  <si>
    <t>1.6.1.BE</t>
  </si>
  <si>
    <t>1.6.1.QA</t>
  </si>
  <si>
    <t>1.6.2</t>
  </si>
  <si>
    <t>Drop-off alerting and dashboards</t>
  </si>
  <si>
    <t>Data is MVP; dashboards can follow</t>
  </si>
  <si>
    <t>1.6.2.FE</t>
  </si>
  <si>
    <t>1.6.2.BE</t>
  </si>
  <si>
    <t>1.6.2.QA</t>
  </si>
  <si>
    <t>Epic 2: Account Aggregation - Banking</t>
  </si>
  <si>
    <t>2.1</t>
  </si>
  <si>
    <t>Finverse Integration - Core</t>
  </si>
  <si>
    <t>Backlog section 2.1 from Budgie AI Product Backlog v0.3. Child feature rows below are the estimate rows.</t>
  </si>
  <si>
    <t>2.1.1</t>
  </si>
  <si>
    <t>Technical spike: verify Finverse bank coverage, data quality, and transaction history depth in Singapore</t>
  </si>
  <si>
    <t>**Must happen early** - outputs of this spike will resize half of this epic</t>
  </si>
  <si>
    <t>Finverse account</t>
  </si>
  <si>
    <t>2.1.1.FE</t>
  </si>
  <si>
    <t>2.1.1.BE</t>
  </si>
  <si>
    <t>2.1.1.QA</t>
  </si>
  <si>
    <t>2.1.2</t>
  </si>
  <si>
    <t>Finverse SDK/API integration into mobile app</t>
  </si>
  <si>
    <t>Core plumbing</t>
  </si>
  <si>
    <t>2.1.2.FE</t>
  </si>
  <si>
    <t>2.1.2.BE</t>
  </si>
  <si>
    <t>2.1.2.QA</t>
  </si>
  <si>
    <t>2.1.3</t>
  </si>
  <si>
    <t>Bank account linking flow (invoked from onboarding and settings)</t>
  </si>
  <si>
    <t>Shared UX entry point from multiple surfaces</t>
  </si>
  <si>
    <t>2.1.3.FE</t>
  </si>
  <si>
    <t>2.1.3.BE</t>
  </si>
  <si>
    <t>2.1.3.QA</t>
  </si>
  <si>
    <t>2.1.4</t>
  </si>
  <si>
    <t>Secure storage and refresh of Finverse access tokens</t>
  </si>
  <si>
    <t>Sensitive - must follow data architecture decisions</t>
  </si>
  <si>
    <t>2.1.2, Epic 12</t>
  </si>
  <si>
    <t>2.1.4.FE</t>
  </si>
  <si>
    <t>2.1.4.BE</t>
  </si>
  <si>
    <t>2.1.4.QA</t>
  </si>
  <si>
    <t>2.1.5</t>
  </si>
  <si>
    <t>Handle Finverse connection failures, timeouts, and error states gracefully</t>
  </si>
  <si>
    <t>Real-world APIs fail; product must not</t>
  </si>
  <si>
    <t>2.1.5.FE</t>
  </si>
  <si>
    <t>2.1.5.BE</t>
  </si>
  <si>
    <t>2.1.5.QA</t>
  </si>
  <si>
    <t>2.2</t>
  </si>
  <si>
    <t>Data Retrieval &amp; Refresh</t>
  </si>
  <si>
    <t>Backlog section 2.2 from Budgie AI Product Backlog v0.3. Child feature rows below are the estimate rows.</t>
  </si>
  <si>
    <t>2.2.1</t>
  </si>
  <si>
    <t>Retrieve account balance and metadata on connection</t>
  </si>
  <si>
    <t>Initial data load</t>
  </si>
  <si>
    <t>2.2.1.FE</t>
  </si>
  <si>
    <t>2.2.1.BE</t>
  </si>
  <si>
    <t>2.2.1.QA</t>
  </si>
  <si>
    <t>2.2.2</t>
  </si>
  <si>
    <t>Retrieve transaction history (as far back as Finverse provides)</t>
  </si>
  <si>
    <t>History depth depends on Finverse and bank - user expectations must be managed</t>
  </si>
  <si>
    <t>2.1.2, 2.1.1</t>
  </si>
  <si>
    <t>2.2.2.FE</t>
  </si>
  <si>
    <t>2.2.2.BE</t>
  </si>
  <si>
    <t>2.2.2.QA</t>
  </si>
  <si>
    <t>2.2.3</t>
  </si>
  <si>
    <t>Scheduled refresh of balances and transactions</t>
  </si>
  <si>
    <t>Frequency TBD - balance vs API cost vs user expectation</t>
  </si>
  <si>
    <t>2.2.3.FE</t>
  </si>
  <si>
    <t>2.2.3.BE</t>
  </si>
  <si>
    <t>2.2.3.QA</t>
  </si>
  <si>
    <t>2.2.4</t>
  </si>
  <si>
    <t>On-demand user-triggered refresh</t>
  </si>
  <si>
    <t>User trust mechanism - "I just got paid, why doesn't Budgie see it?"</t>
  </si>
  <si>
    <t>2.2.4.FE</t>
  </si>
  <si>
    <t>2.2.4.BE</t>
  </si>
  <si>
    <t>2.2.4.QA</t>
  </si>
  <si>
    <t>2.2.5</t>
  </si>
  <si>
    <t>Background sync with notification on significant changes</t>
  </si>
  <si>
    <t>Powers proactive alerts</t>
  </si>
  <si>
    <t>2.2.3, Epic 9</t>
  </si>
  <si>
    <t>2.2.5.FE</t>
  </si>
  <si>
    <t>2.2.5.BE</t>
  </si>
  <si>
    <t>2.2.5.QA</t>
  </si>
  <si>
    <t>2.3</t>
  </si>
  <si>
    <t>Account Management</t>
  </si>
  <si>
    <t>Backlog section 2.3 from Budgie AI Product Backlog v0.3. Child feature rows below are the estimate rows.</t>
  </si>
  <si>
    <t>2.3.1</t>
  </si>
  <si>
    <t>View list of connected accounts</t>
  </si>
  <si>
    <t>Basic account dashboard</t>
  </si>
  <si>
    <t>2.3.1.FE</t>
  </si>
  <si>
    <t>2.3.1.BE</t>
  </si>
  <si>
    <t>2.3.1.QA</t>
  </si>
  <si>
    <t>2.3.2</t>
  </si>
  <si>
    <t>Disconnect / remove a connected account</t>
  </si>
  <si>
    <t>Must also clean up associated data per privacy requirements</t>
  </si>
  <si>
    <t>2.3.2.FE</t>
  </si>
  <si>
    <t>2.3.2.BE</t>
  </si>
  <si>
    <t>2.3.2.QA</t>
  </si>
  <si>
    <t>2.3.3</t>
  </si>
  <si>
    <t>Reconnect / re-authenticate an account after credential expiry</t>
  </si>
  <si>
    <t>Will happen frequently; UX matters</t>
  </si>
  <si>
    <t>2.3.3.FE</t>
  </si>
  <si>
    <t>2.3.3.BE</t>
  </si>
  <si>
    <t>2.3.3.QA</t>
  </si>
  <si>
    <t>2.3.4</t>
  </si>
  <si>
    <t>Display connection status and last-refresh timestamp per account</t>
  </si>
  <si>
    <t>Transparency about data freshness</t>
  </si>
  <si>
    <t>2.3.4.FE</t>
  </si>
  <si>
    <t>2.3.4.BE</t>
  </si>
  <si>
    <t>2.3.4.QA</t>
  </si>
  <si>
    <t>2.3.5</t>
  </si>
  <si>
    <t>Support multiple accounts across multiple banks per user</t>
  </si>
  <si>
    <t>Core to the "fragmented accounts" value proposition</t>
  </si>
  <si>
    <t>2.3.5.FE</t>
  </si>
  <si>
    <t>2.3.5.BE</t>
  </si>
  <si>
    <t>2.3.5.QA</t>
  </si>
  <si>
    <t>2.4</t>
  </si>
  <si>
    <t>Data Quality &amp; Normalisation</t>
  </si>
  <si>
    <t>Backlog section 2.4 from Budgie AI Product Backlog v0.3. Child feature rows below are the estimate rows.</t>
  </si>
  <si>
    <t>2.4.1</t>
  </si>
  <si>
    <t>Normalise transaction data across banks into a consistent internal model</t>
  </si>
  <si>
    <t>Different banks return different formats - this is non-trivial</t>
  </si>
  <si>
    <t>2.4.1.FE</t>
  </si>
  <si>
    <t>2.4.1.BE</t>
  </si>
  <si>
    <t>2.4.1.QA</t>
  </si>
  <si>
    <t>2.4.2</t>
  </si>
  <si>
    <t>Deduplicate transactions across refresh cycles</t>
  </si>
  <si>
    <t>Finverse may return overlapping data across syncs</t>
  </si>
  <si>
    <t>2.4.2.FE</t>
  </si>
  <si>
    <t>2.4.2.BE</t>
  </si>
  <si>
    <t>2.4.2.QA</t>
  </si>
  <si>
    <t>2.4.3</t>
  </si>
  <si>
    <t>Handle pending vs cleared transactions</t>
  </si>
  <si>
    <t>Affects balance accuracy and user trust</t>
  </si>
  <si>
    <t>2.4.3.FE</t>
  </si>
  <si>
    <t>2.4.3.BE</t>
  </si>
  <si>
    <t>2.4.3.QA</t>
  </si>
  <si>
    <t>2.4.4</t>
  </si>
  <si>
    <t>Multi-currency support for accounts in different currencies</t>
  </si>
  <si>
    <t>Singapore users often hold USD/GBP accounts; v2 expansion requires this</t>
  </si>
  <si>
    <t>2.4.4.FE</t>
  </si>
  <si>
    <t>Multi-currency support for accounts in different currencies - bank accounts denominated in different currencies</t>
  </si>
  <si>
    <t>2.4.4.BE</t>
  </si>
  <si>
    <t>2.4.4.QA</t>
  </si>
  <si>
    <t>2.5</t>
  </si>
  <si>
    <t>Supported Institutions</t>
  </si>
  <si>
    <t>Backlog section 2.5 from Budgie AI Product Backlog v0.3. Child feature rows below are the estimate rows.</t>
  </si>
  <si>
    <t>2.5.1</t>
  </si>
  <si>
    <t>Define and document which Singapore banks are supported at launch</t>
  </si>
  <si>
    <t>Output of the Finverse spike - shapes marketing and expectations</t>
  </si>
  <si>
    <t>2.5.1.FE</t>
  </si>
  <si>
    <t>2.5.1.BE</t>
  </si>
  <si>
    <t>2.5.1.QA</t>
  </si>
  <si>
    <t>2.5.2</t>
  </si>
  <si>
    <t>Graceful handling for banks not supported by Finverse (manual-entry fallback TBD)</t>
  </si>
  <si>
    <t>Users will expect all their accounts; unsupported banks are a churn risk</t>
  </si>
  <si>
    <t>2.5.2.FE</t>
  </si>
  <si>
    <t>2.5.2.BE</t>
  </si>
  <si>
    <t>2.5.2.QA</t>
  </si>
  <si>
    <t>Manual Entry (Fallback)</t>
  </si>
  <si>
    <t>2.6.1</t>
  </si>
  <si>
    <t>Manual CPF entry — user enters their CPF balance (Ordinary, Special, Medisave as applicable)</t>
  </si>
  <si>
    <t>Fallback for CPF, which sits behind SingPass and is not covered by Finverse. CPF balances change infrequently (monthly contributions + stable interest) so manual entry is a viable substitute. Included because CPF is a material part of most Singaporeans' net worth — excluding it would leave a significant gap in the visibility-first proposition.</t>
  </si>
  <si>
    <t>2.6.1.FE</t>
  </si>
  <si>
    <t>2.6.1.BE</t>
  </si>
  <si>
    <t>2.6.1.QA</t>
  </si>
  <si>
    <t>2.6.2</t>
  </si>
  <si>
    <t>Periodic prompt to refresh manually-entered values</t>
  </si>
  <si>
    <t>Without refresh prompts, manual values go stale and degrade the net-worth view. Suggested cadence: monthly.</t>
  </si>
  <si>
    <t>2.6.2.FE</t>
  </si>
  <si>
    <t>2.6.2.BE</t>
  </si>
  <si>
    <t>2.6.2.QA</t>
  </si>
  <si>
    <t>2.6.3</t>
  </si>
  <si>
    <t>Visual distinction between connected and manually-entered accounts</t>
  </si>
  <si>
    <t>Users need to know which numbers are live vs last-entered — trust depends on this being obvious</t>
  </si>
  <si>
    <t>2.6.3.FE</t>
  </si>
  <si>
    <t>2.6.3.BE</t>
  </si>
  <si>
    <t>2.6.3.QA</t>
  </si>
  <si>
    <t>Epic 3: Account Aggregation - Crypto</t>
  </si>
  <si>
    <t>3.1</t>
  </si>
  <si>
    <t>Crypto Exchange Integration</t>
  </si>
  <si>
    <t>Backlog section 3.1 from Budgie AI Product Backlog v0.3. Child feature rows below are the estimate rows.</t>
  </si>
  <si>
    <t>3.1.1</t>
  </si>
  <si>
    <t>Select and document the 1-2 crypto exchanges to support at launch</t>
  </si>
  <si>
    <t>MVP limited to native balances of major coins (BTC, ETH, SOL) on major exchanges - no obscure tokens, no NFTs</t>
  </si>
  <si>
    <t>Founder decision</t>
  </si>
  <si>
    <t>3.1.1.FE</t>
  </si>
  <si>
    <t>3.1.1.BE</t>
  </si>
  <si>
    <t>3.1.1.QA</t>
  </si>
  <si>
    <t>3.1.2</t>
  </si>
  <si>
    <t>Exchange API integration (read-only, per selected exchange)</t>
  </si>
  <si>
    <t>Each exchange is effectively a separate integration</t>
  </si>
  <si>
    <t>3.1.2.FE</t>
  </si>
  <si>
    <t>3.1.2.BE</t>
  </si>
  <si>
    <t>3.1.2.QA</t>
  </si>
  <si>
    <t>3.1.3</t>
  </si>
  <si>
    <t>Exchange account connection flow (API key or OAuth)</t>
  </si>
  <si>
    <t>API key entry has security UX implications</t>
  </si>
  <si>
    <t>3.1.3.FE</t>
  </si>
  <si>
    <t>3.1.3.BE</t>
  </si>
  <si>
    <t>3.1.3.QA</t>
  </si>
  <si>
    <t>3.1.4</t>
  </si>
  <si>
    <t>Retrieve balances, holdings, and transaction history from exchange</t>
  </si>
  <si>
    <t>Analogous to Epic 2 for banks</t>
  </si>
  <si>
    <t>3.1.4.FE</t>
  </si>
  <si>
    <t>3.1.4.BE</t>
  </si>
  <si>
    <t>3.1.4.QA</t>
  </si>
  <si>
    <t>3.1.5</t>
  </si>
  <si>
    <t>Handle exchange API rate limits, errors, and outages</t>
  </si>
  <si>
    <t>Crypto exchange APIs are less mature than bank APIs - expect issues</t>
  </si>
  <si>
    <t>3.1.5.FE</t>
  </si>
  <si>
    <t>3.1.5.BE</t>
  </si>
  <si>
    <t>3.1.5.QA</t>
  </si>
  <si>
    <t>3.2</t>
  </si>
  <si>
    <t>On-Chain Wallet Tracking</t>
  </si>
  <si>
    <t>Backlog section 3.2 from Budgie AI Product Backlog v0.3. Child feature rows below are the estimate rows.</t>
  </si>
  <si>
    <t>3.2.1</t>
  </si>
  <si>
    <t>User-entered wallet address tracking (read-only by address)</t>
  </si>
  <si>
    <t>Deferred from MVP - limited transaction data availability; exchange balances sufficient for v1</t>
  </si>
  <si>
    <t>Blockchain data provider</t>
  </si>
  <si>
    <t>3.2.1.FE</t>
  </si>
  <si>
    <t>3.2.1.BE</t>
  </si>
  <si>
    <t>3.2.1.QA</t>
  </si>
  <si>
    <t>3.2.2</t>
  </si>
  <si>
    <t>Select and integrate a blockchain data provider (e.g. Alchemy, Moralis, Covalent)</t>
  </si>
  <si>
    <t>Deferred with on-chain tracking</t>
  </si>
  <si>
    <t>3.2.2.FE</t>
  </si>
  <si>
    <t>3.2.2.BE</t>
  </si>
  <si>
    <t>3.2.2.QA</t>
  </si>
  <si>
    <t>3.2.3</t>
  </si>
  <si>
    <t>Support Ethereum / EVM chains for MVP</t>
  </si>
  <si>
    <t>3.2.3.FE</t>
  </si>
  <si>
    <t>3.2.3.BE</t>
  </si>
  <si>
    <t>3.2.3.QA</t>
  </si>
  <si>
    <t>3.2.4</t>
  </si>
  <si>
    <t>Support Bitcoin addresses</t>
  </si>
  <si>
    <t>Separate data model from EVM; additional integration work</t>
  </si>
  <si>
    <t>3.2.4.FE</t>
  </si>
  <si>
    <t>3.2.4.BE</t>
  </si>
  <si>
    <t>3.2.4.QA</t>
  </si>
  <si>
    <t>3.2.5</t>
  </si>
  <si>
    <t>Support Solana / other L1 chains</t>
  </si>
  <si>
    <t>Each chain adds integration cost</t>
  </si>
  <si>
    <t>3.2.5.FE</t>
  </si>
  <si>
    <t>3.2.5.BE</t>
  </si>
  <si>
    <t>3.2.5.QA</t>
  </si>
  <si>
    <t>3.3</t>
  </si>
  <si>
    <t>DeFi Position Tracking</t>
  </si>
  <si>
    <t>Backlog section 3.3 from Budgie AI Product Backlog v0.3. Child feature rows below are the estimate rows.</t>
  </si>
  <si>
    <t>3.3.1</t>
  </si>
  <si>
    <t>Detect user's DeFi protocol positions (yield farms, lending, staking)</t>
  </si>
  <si>
    <t>Each protocol has its own data structure; significant ongoing engineering</t>
  </si>
  <si>
    <t>XL</t>
  </si>
  <si>
    <t>3.3.1.FE</t>
  </si>
  <si>
    <t>3.3.1.BE</t>
  </si>
  <si>
    <t>3.3.1.QA</t>
  </si>
  <si>
    <t>3.3.2</t>
  </si>
  <si>
    <t>Track DeFi position value over time</t>
  </si>
  <si>
    <t>Position valuation is non-trivial given changing token prices and rewards</t>
  </si>
  <si>
    <t>3.3.2.FE</t>
  </si>
  <si>
    <t>3.3.2.BE</t>
  </si>
  <si>
    <t>3.3.2.QA</t>
  </si>
  <si>
    <t>3.3.3</t>
  </si>
  <si>
    <t>Alert on DeFi-specific events (liquidation risk, reward claims, protocol changes)</t>
  </si>
  <si>
    <t>High-value features but unsuitable for MVP</t>
  </si>
  <si>
    <t>3.3.1, Epic 9</t>
  </si>
  <si>
    <t>3.3.3.FE</t>
  </si>
  <si>
    <t>3.3.3.BE</t>
  </si>
  <si>
    <t>3.3.3.QA</t>
  </si>
  <si>
    <t>3.4</t>
  </si>
  <si>
    <t>Crypto Data Normalisation</t>
  </si>
  <si>
    <t>Backlog section 3.4 from Budgie AI Product Backlog v0.3. Child feature rows below are the estimate rows.</t>
  </si>
  <si>
    <t>3.4.1</t>
  </si>
  <si>
    <t>Normalise crypto holdings into a consistent internal model (shared with bank accounts where sensible)</t>
  </si>
  <si>
    <t>Foundational - affects how unified views render; MVP scope is exchange data only</t>
  </si>
  <si>
    <t>3.4.1.FE</t>
  </si>
  <si>
    <t>3.4.1.BE</t>
  </si>
  <si>
    <t>3.4.1.QA</t>
  </si>
  <si>
    <t>3.4.2</t>
  </si>
  <si>
    <t>Fiat valuation of crypto holdings using live price feeds</t>
  </si>
  <si>
    <t>Required for any unified net worth view</t>
  </si>
  <si>
    <t>3.4.2.FE</t>
  </si>
  <si>
    <t>3.4.2.BE</t>
  </si>
  <si>
    <t>3.4.2.QA</t>
  </si>
  <si>
    <t>3.4.3</t>
  </si>
  <si>
    <t>Handle tokens without reliable price data</t>
  </si>
  <si>
    <t>Common edge case; users hold obscure tokens</t>
  </si>
  <si>
    <t>3.4.3.FE</t>
  </si>
  <si>
    <t>3.4.3.BE</t>
  </si>
  <si>
    <t>3.4.3.QA</t>
  </si>
  <si>
    <t>3.5</t>
  </si>
  <si>
    <t>Backlog section 3.5 from Budgie AI Product Backlog v0.3. Child feature rows below are the estimate rows.</t>
  </si>
  <si>
    <t>3.5.1</t>
  </si>
  <si>
    <t>View list of connected crypto accounts and wallets</t>
  </si>
  <si>
    <t>Parallels Epic 2.3.1 for banks; MVP scope is exchange accounts only</t>
  </si>
  <si>
    <t>3.5.1.FE</t>
  </si>
  <si>
    <t>3.5.1.BE</t>
  </si>
  <si>
    <t>3.5.1.QA</t>
  </si>
  <si>
    <t>3.5.2</t>
  </si>
  <si>
    <t>Disconnect / remove a crypto account or wallet</t>
  </si>
  <si>
    <t>Must clean up data per privacy requirements</t>
  </si>
  <si>
    <t>Epic 12</t>
  </si>
  <si>
    <t>3.5.2.FE</t>
  </si>
  <si>
    <t>3.5.2.BE</t>
  </si>
  <si>
    <t>3.5.2.QA</t>
  </si>
  <si>
    <t>3.5.3</t>
  </si>
  <si>
    <t>Refresh on-demand and scheduled</t>
  </si>
  <si>
    <t>Crypto markets move fast - users expect up-to-date data</t>
  </si>
  <si>
    <t>3.5.3.FE</t>
  </si>
  <si>
    <t>3.5.3.BE</t>
  </si>
  <si>
    <t>3.5.3.QA</t>
  </si>
  <si>
    <t>Epic 4: AI Coaching &amp; Personality</t>
  </si>
  <si>
    <t>4.1</t>
  </si>
  <si>
    <t>Budgie Personality Definition</t>
  </si>
  <si>
    <t>Backlog section 4.1 from Budgie AI Product Backlog v0.3. Child feature rows below are the estimate rows.</t>
  </si>
  <si>
    <t>4.1.1</t>
  </si>
  <si>
    <t>Define Budgie's character, voice, tone, and personality traits (document)</t>
  </si>
  <si>
    <t>Foundational - every other AI feature depends on this</t>
  </si>
  <si>
    <t>Founder input, design partner</t>
  </si>
  <si>
    <t>4.1.1.FE</t>
  </si>
  <si>
    <t>4.1.1.BE</t>
  </si>
  <si>
    <t>4.1.1.QA</t>
  </si>
  <si>
    <t>4.1.2</t>
  </si>
  <si>
    <t>Define conversational style guide (phrasing, humour level, warmth, formality)</t>
  </si>
  <si>
    <t>How Budgie speaks is as important as what Budgie says</t>
  </si>
  <si>
    <t>4.1.2.FE</t>
  </si>
  <si>
    <t>4.1.2.BE</t>
  </si>
  <si>
    <t>4.1.2.QA</t>
  </si>
  <si>
    <t>4.1.3</t>
  </si>
  <si>
    <t>Define Budgie's boundaries - what it will and won't say</t>
  </si>
  <si>
    <t>Regulatory guardrails, sensitive topics, areas of avoidance</t>
  </si>
  <si>
    <t>4.1.1, Epic 13</t>
  </si>
  <si>
    <t>4.1.3.FE</t>
  </si>
  <si>
    <t>4.1.3.BE</t>
  </si>
  <si>
    <t>4.1.3.QA</t>
  </si>
  <si>
    <t>4.1.4</t>
  </si>
  <si>
    <t>Visual representation of Budgie (avatar, mascot, or stylistic cue)</t>
  </si>
  <si>
    <t>The character needs a face, even if minimal</t>
  </si>
  <si>
    <t>Design partner</t>
  </si>
  <si>
    <t>4.1.4.FE</t>
  </si>
  <si>
    <t>4.1.4.BE</t>
  </si>
  <si>
    <t>4.1.4.QA</t>
  </si>
  <si>
    <t>4.1.5</t>
  </si>
  <si>
    <t>Enforce Budgie's public voice as consistent across all external surfaces (social, email, support, website) — one character, no per-surface variation</t>
  </si>
  <si>
    <t>Workshop confirmed 21 April: the public voice is fixed. Implementation note not a feature in its own right, but needs an owner — usually the content approval process (Epic 13.5).</t>
  </si>
  <si>
    <t>4.1.5.FE</t>
  </si>
  <si>
    <t>4.1.5.BE</t>
  </si>
  <si>
    <t>4.1.5.QA</t>
  </si>
  <si>
    <t>4.1.6</t>
  </si>
  <si>
    <t>In-app user tone preference — user can adjust in-chat tone (more formal/casual) within a session; preference does not persist across sessions</t>
  </si>
  <si>
    <t xml:space="preserve"> Workshop 21 April: single-voice MVP with lightweight per-session dial. Selectable personality *types* deferred to later release — this is the minimal form.</t>
  </si>
  <si>
    <t>4.1.6.FE</t>
  </si>
  <si>
    <t>4.1.6.BE</t>
  </si>
  <si>
    <t>4.1.6.QA</t>
  </si>
  <si>
    <t>4.2</t>
  </si>
  <si>
    <t>Core AI Infrastructure</t>
  </si>
  <si>
    <t>Backlog section 4.2 from Budgie AI Product Backlog v0.3. Child feature rows below are the estimate rows.</t>
  </si>
  <si>
    <t>4.2.1</t>
  </si>
  <si>
    <t>Select LLM provider(s) and commercial terms</t>
  </si>
  <si>
    <t>Claude, GPT, or similar - pricing, latency, data handling all factor in</t>
  </si>
  <si>
    <t>Epic 12 (data policies)</t>
  </si>
  <si>
    <t>4.2.1.FE</t>
  </si>
  <si>
    <t>4.2.1.BE</t>
  </si>
  <si>
    <t>4.2.1.QA</t>
  </si>
  <si>
    <t>4.2.2</t>
  </si>
  <si>
    <t>Prompt engineering foundation - system prompts embedding Budgie's personality</t>
  </si>
  <si>
    <t>Significant investment; ongoing refinement</t>
  </si>
  <si>
    <t>4.1.1, 4.2.1</t>
  </si>
  <si>
    <t>4.2.2.FE</t>
  </si>
  <si>
    <t>4.2.2.BE</t>
  </si>
  <si>
    <t>4.2.2.QA</t>
  </si>
  <si>
    <t>4.2.3</t>
  </si>
  <si>
    <t>Context assembly - injecting relevant user data into prompts at the right moments</t>
  </si>
  <si>
    <t>Critical for explainability and quality</t>
  </si>
  <si>
    <t>4.2.1, Epic 2, Epic 5</t>
  </si>
  <si>
    <t>4.2.3.FE</t>
  </si>
  <si>
    <t>4.2.3.BE</t>
  </si>
  <si>
    <t>4.2.3.QA</t>
  </si>
  <si>
    <t>4.2.4</t>
  </si>
  <si>
    <t>Response filtering and guardrails - preventing off-topic, unsafe, or out-of-scope outputs</t>
  </si>
  <si>
    <t>Essential for regulatory and brand safety</t>
  </si>
  <si>
    <t>4.2.1, 4.1.3</t>
  </si>
  <si>
    <t>4.2.4.FE</t>
  </si>
  <si>
    <t>4.2.4.BE</t>
  </si>
  <si>
    <t>4.2.4.QA</t>
  </si>
  <si>
    <t>4.2.5</t>
  </si>
  <si>
    <t>LLM cost and usage monitoring per user and in aggregate</t>
  </si>
  <si>
    <t>LLM costs are a unit economics factor that must be tracked from day one</t>
  </si>
  <si>
    <t>4.2.1, Epic 14</t>
  </si>
  <si>
    <t>4.2.5.FE</t>
  </si>
  <si>
    <t>4.2.5.BE</t>
  </si>
  <si>
    <t>4.2.5.QA</t>
  </si>
  <si>
    <t>4.2.6</t>
  </si>
  <si>
    <t>Retrieval Augmented Generation (RAG) with curated source library - limit external knowledge to credible sources (e.g. Investopedia, regulatory sites) with source citations shown in responses</t>
  </si>
  <si>
    <t>Design team decision - prevents misinformation by restricting what the AI can reference beyond user data. Citations increase transparency and trust.</t>
  </si>
  <si>
    <t>4.2.1, 4.2.4</t>
  </si>
  <si>
    <t>4.2.6.FE</t>
  </si>
  <si>
    <t>4.2.6.BE</t>
  </si>
  <si>
    <t>4.2.6.QA</t>
  </si>
  <si>
    <t>4.2.7</t>
  </si>
  <si>
    <t>4.2.7.FE</t>
  </si>
  <si>
    <t>Deterministic calculation tool library — the LLM calls dedicated tools for all arithmetic (totals, rates, averages, projections) rather than computing inline</t>
  </si>
  <si>
    <t>4.2.7.BE</t>
  </si>
  <si>
    <t>4.2.7.QA</t>
  </si>
  <si>
    <t>4.3</t>
  </si>
  <si>
    <t>Contextual AI Engagement</t>
  </si>
  <si>
    <t>Backlog section 4.3 from Budgie AI Product Backlog v0.3. Child feature rows below are the estimate rows.</t>
  </si>
  <si>
    <t>4.3.1</t>
  </si>
  <si>
    <t>Identify key "moments" where contextual AI engages (post-transaction, goal milestone, threshold breach, etc.)</t>
  </si>
  <si>
    <t>Design decision - not every screen needs AI</t>
  </si>
  <si>
    <t>4.3.1.FE</t>
  </si>
  <si>
    <t>4.3.1.BE</t>
  </si>
  <si>
    <t>4.3.1.QA</t>
  </si>
  <si>
    <t>4.3.2</t>
  </si>
  <si>
    <t>In-context AI comments/insights embedded at those moments (not in a separate chatbox)</t>
  </si>
  <si>
    <t>Core differentiator - AI *embedded*, not bolted on (Market Discovery 10.2)</t>
  </si>
  <si>
    <t>4.3.1, 4.2.3</t>
  </si>
  <si>
    <t>4.3.2.FE</t>
  </si>
  <si>
    <t>4.3.2.BE</t>
  </si>
  <si>
    <t>4.3.2.QA</t>
  </si>
  <si>
    <t>4.3.3</t>
  </si>
  <si>
    <t>User-initiated AI interaction from any screen (tap Budgie to ask)</t>
  </si>
  <si>
    <t>Complements Epic 8; can be deferred if Epic 8 covers the ask-anywhere need</t>
  </si>
  <si>
    <t>4.2.1, Epic 8</t>
  </si>
  <si>
    <t>4.3.3.FE</t>
  </si>
  <si>
    <t>4.3.3.BE</t>
  </si>
  <si>
    <t>4.3.3.QA</t>
  </si>
  <si>
    <t>4.4</t>
  </si>
  <si>
    <t>Proactive Coaching</t>
  </si>
  <si>
    <t>Backlog section 4.4 from Budgie AI Product Backlog v0.3. Child feature rows below are the estimate rows.</t>
  </si>
  <si>
    <t>4.4.1</t>
  </si>
  <si>
    <t>Daily check-in framework - Budgie initiates a short contextual greeting/insight</t>
  </si>
  <si>
    <t>Habit loop - must be useful, varied, and non-annoying</t>
  </si>
  <si>
    <t>4.2.3, Epic 9</t>
  </si>
  <si>
    <t>4.4.1.FE</t>
  </si>
  <si>
    <t>4.4.1.BE</t>
  </si>
  <si>
    <t>4.4.1.QA</t>
  </si>
  <si>
    <t>4.4.2</t>
  </si>
  <si>
    <t>Content variation engine - avoid repetition in daily check-ins</t>
  </si>
  <si>
    <t>One of the hardest problems - users churn when AI feels repetitive</t>
  </si>
  <si>
    <t>4.4.2.FE</t>
  </si>
  <si>
    <t>4.4.2.BE</t>
  </si>
  <si>
    <t>4.4.2.QA</t>
  </si>
  <si>
    <t>4.4.3</t>
  </si>
  <si>
    <t>User control over check-in frequency and style</t>
  </si>
  <si>
    <t>Prevents the "annoying notification" failure mode</t>
  </si>
  <si>
    <t>4.4.3.FE</t>
  </si>
  <si>
    <t>4.4.3.BE</t>
  </si>
  <si>
    <t>4.4.3.QA</t>
  </si>
  <si>
    <t>4.4.4</t>
  </si>
  <si>
    <t>Proactive insights triggered by specific data events (unusual spending, goal at risk, etc.)</t>
  </si>
  <si>
    <t>The predictive/warning capability - a key differentiator</t>
  </si>
  <si>
    <t>4.2.3, Epic 5, Epic 6</t>
  </si>
  <si>
    <t>4.4.4.FE</t>
  </si>
  <si>
    <t>4.4.4.BE</t>
  </si>
  <si>
    <t>4.4.4.QA</t>
  </si>
  <si>
    <t>4.4.5</t>
  </si>
  <si>
    <t>Longer-horizon predictive coaching (spending pattern extrapolation, cash-flow forecasting)</t>
  </si>
  <si>
    <t>Requires sufficient data history; genuinely predictive AI is hard</t>
  </si>
  <si>
    <t>4.4.5.FE</t>
  </si>
  <si>
    <t>4.4.5.BE</t>
  </si>
  <si>
    <t>4.4.5.QA</t>
  </si>
  <si>
    <t>4.4.6</t>
  </si>
  <si>
    <t>Weekly coaching session framework — system-scheduled, comprehensive coaching engagement modelled on an in-person financial advisor session</t>
  </si>
  <si>
    <t>20 April workshop — the weekly cadence and advisor-session format are the defining product choice here. Users cannot self-initiate; scheduled weekly with user notification. Entry flow takes the user from a notification into the session UI</t>
  </si>
  <si>
    <t>4.4.6.FE</t>
  </si>
  <si>
    <t>4.4.6.BE</t>
  </si>
  <si>
    <t>4.4.6.QA</t>
  </si>
  <si>
    <t>4.4.7</t>
  </si>
  <si>
    <t>Weekly session content orchestration — for each user's weekly session, curate what's covered (progress review, themes from the week, flagged changes, trade-offs)</t>
  </si>
  <si>
    <t>Distinct layer from the framework — this decides *what* a given user's session contains, drawing on their data, goals, and FHS movement. Content quality is the felt-value of the session.</t>
  </si>
  <si>
    <t>4.4.6, 4.2.3, Epic 5, Epic 6, Epic 7</t>
  </si>
  <si>
    <t>4.4.7.FE</t>
  </si>
  <si>
    <t>4.4.7.BE</t>
  </si>
  <si>
    <t>4.4.7.QA</t>
  </si>
  <si>
    <t>4.4.8</t>
  </si>
  <si>
    <t>Monthly review card on dashboard — month-over-month trends, monthly financial highlights, recalibration</t>
  </si>
  <si>
    <t>4.4.8.FE</t>
  </si>
  <si>
    <t>4.4.8.BE</t>
  </si>
  <si>
    <t>4.4.8.QA</t>
  </si>
  <si>
    <t>4.4.9</t>
  </si>
  <si>
    <t>Yearly review card on dashboard — year-over-year retrospective, annual narrative, next-year goal setting</t>
  </si>
  <si>
    <t>4.4.9.FE</t>
  </si>
  <si>
    <t>4.4.9.BE</t>
  </si>
  <si>
    <t>4.4.9.QA</t>
  </si>
  <si>
    <t>4.5</t>
  </si>
  <si>
    <t>Explainability</t>
  </si>
  <si>
    <t>Backlog section 4.5 from Budgie AI Product Backlog v0.3. Child feature rows below are the estimate rows.</t>
  </si>
  <si>
    <t>4.5.1</t>
  </si>
  <si>
    <t>All AI insights are traceable to underlying data (show the "why")</t>
  </si>
  <si>
    <t>Market Discovery 8.2 - essential for trust and compliance</t>
  </si>
  <si>
    <t>4.5.1.FE</t>
  </si>
  <si>
    <t>4.5.1.BE</t>
  </si>
  <si>
    <t>4.5.1.QA</t>
  </si>
  <si>
    <t>4.5.2</t>
  </si>
  <si>
    <t>"Show me why" / "show me the numbers" interaction on AI messages</t>
  </si>
  <si>
    <t>User-initiated deeper explanation</t>
  </si>
  <si>
    <t>4.5.2.FE</t>
  </si>
  <si>
    <t>4.5.2.BE</t>
  </si>
  <si>
    <t>4.5.2.QA</t>
  </si>
  <si>
    <t>4.5.3</t>
  </si>
  <si>
    <t>Enforce that all quantitative claims come from actual user data, not LLM generation</t>
  </si>
  <si>
    <t>Hallucination prevention - critical for financial trust</t>
  </si>
  <si>
    <t>4.2.3, 4.2.4</t>
  </si>
  <si>
    <t>4.5.3.FE</t>
  </si>
  <si>
    <t>4.5.3.BE</t>
  </si>
  <si>
    <t>4.5.3.QA</t>
  </si>
  <si>
    <t>4.5.4</t>
  </si>
  <si>
    <t>Audit log of AI interactions for dispute and review purposes</t>
  </si>
  <si>
    <t>Regulatory and liability requirement (Market Discovery 13.3.3)</t>
  </si>
  <si>
    <t>Epic 12, Epic 13</t>
  </si>
  <si>
    <t>4.5.4.FE</t>
  </si>
  <si>
    <t>4.5.4.BE</t>
  </si>
  <si>
    <t>4.5.4.QA</t>
  </si>
  <si>
    <t>4.6</t>
  </si>
  <si>
    <t>Memory &amp; Personalisation</t>
  </si>
  <si>
    <t>Backlog section 4.6 from Budgie AI Product Backlog v0.3. Child feature rows below are the estimate rows.</t>
  </si>
  <si>
    <t>4.6.1</t>
  </si>
  <si>
    <t>Short-term conversation memory within a session</t>
  </si>
  <si>
    <t>Standard for conversational AI</t>
  </si>
  <si>
    <t>4.6.1.FE</t>
  </si>
  <si>
    <t>4.6.1.BE</t>
  </si>
  <si>
    <t>4.6.1.QA</t>
  </si>
  <si>
    <t>4.6.2</t>
  </si>
  <si>
    <t>Long-term memory - Budgie remembers key user facts, preferences, goals over time</t>
  </si>
  <si>
    <t>Key to making Budgie feel personal rather than generic</t>
  </si>
  <si>
    <t>4.2.3, Epic 12</t>
  </si>
  <si>
    <t>4.6.2.FE</t>
  </si>
  <si>
    <t>4.6.2.BE</t>
  </si>
  <si>
    <t>4.6.2.QA</t>
  </si>
  <si>
    <t>4.6.3</t>
  </si>
  <si>
    <t>User can view, edit, and delete what Budgie remembers about them</t>
  </si>
  <si>
    <t>Privacy and trust requirement</t>
  </si>
  <si>
    <t>4.6.2, Epic 12</t>
  </si>
  <si>
    <t>4.6.3.FE</t>
  </si>
  <si>
    <t>4.6.3.BE</t>
  </si>
  <si>
    <t>4.6.3.QA</t>
  </si>
  <si>
    <t>4.6.4</t>
  </si>
  <si>
    <t>Personalisation deepens over time as more data is gathered</t>
  </si>
  <si>
    <t>Natural evolution of 4.6.2; not strictly MVP</t>
  </si>
  <si>
    <t>4.6.4.FE</t>
  </si>
  <si>
    <t>4.6.4.BE</t>
  </si>
  <si>
    <t>4.6.4.QA</t>
  </si>
  <si>
    <t>4.7</t>
  </si>
  <si>
    <t>Budgie as Brand Voice (Cross-Surface)</t>
  </si>
  <si>
    <t>Backlog section 4.7 from Budgie AI Product Backlog v0.3. Child feature rows below are the estimate rows.</t>
  </si>
  <si>
    <t>4.7.1</t>
  </si>
  <si>
    <t>Shared personality guidelines for Budgie across app, email, push notifications, and social media</t>
  </si>
  <si>
    <t>Budgie is the public face of the brand (Market Discovery 10.2)</t>
  </si>
  <si>
    <t>4.1.1, 4.1.2</t>
  </si>
  <si>
    <t>4.7.1.FE</t>
  </si>
  <si>
    <t>4.7.1.BE</t>
  </si>
  <si>
    <t>4.7.1.QA</t>
  </si>
  <si>
    <t>4.7.2</t>
  </si>
  <si>
    <t>Content approval / voice consistency process for Budgie's social media posts</t>
  </si>
  <si>
    <t>Social media is regulated like any other financial advertising (Market Discovery 13.1.4)</t>
  </si>
  <si>
    <t>4.7.1, Epic 13</t>
  </si>
  <si>
    <t>4.7.2.FE</t>
  </si>
  <si>
    <t>Content approval admin / voice consistency process for Budgie's social media posts</t>
  </si>
  <si>
    <t>4.7.2.BE</t>
  </si>
  <si>
    <t>4.7.2.QA</t>
  </si>
  <si>
    <t>4.7.3</t>
  </si>
  <si>
    <t>Transactional email and notification copy written in Budgie's voice</t>
  </si>
  <si>
    <t>Consistency is the differentiator - even receipts should sound like Budgie</t>
  </si>
  <si>
    <t>4.7.1, Epic 9</t>
  </si>
  <si>
    <t>4.7.3.FE</t>
  </si>
  <si>
    <t>4.7.3.BE</t>
  </si>
  <si>
    <t>4.7.3.QA</t>
  </si>
  <si>
    <t>Epic 5: Budget &amp; Expense Management</t>
  </si>
  <si>
    <t>5.1</t>
  </si>
  <si>
    <t>Transaction Categorisation</t>
  </si>
  <si>
    <t>Backlog section 5.1 from Budgie AI Product Backlog v0.3. Child feature rows below are the estimate rows.</t>
  </si>
  <si>
    <t>Mixed / See child rows</t>
  </si>
  <si>
    <t>5.1.1</t>
  </si>
  <si>
    <t>Build or integrate a transaction categorisation engine</t>
  </si>
  <si>
    <t>Build-vs-buy decision; third-party options exist but need Asian market validation</t>
  </si>
  <si>
    <t>5.1.1.FE</t>
  </si>
  <si>
    <t>5.1.1.BE</t>
  </si>
  <si>
    <t>5.1.1.QA</t>
  </si>
  <si>
    <t>5.1.2</t>
  </si>
  <si>
    <t>Define the category taxonomy (e.g. Food, Transport, Housing, Entertainment, etc.)</t>
  </si>
  <si>
    <t>Foundational - affects everything downstream</t>
  </si>
  <si>
    <t>5.1.2.FE</t>
  </si>
  <si>
    <t>5.1.2.BE</t>
  </si>
  <si>
    <t>5.1.2.QA</t>
  </si>
  <si>
    <t>5.1.3</t>
  </si>
  <si>
    <t>Auto-categorise incoming transactions</t>
  </si>
  <si>
    <t>Core feature users expect</t>
  </si>
  <si>
    <t>5.1.1, 5.1.2</t>
  </si>
  <si>
    <t>5.1.3.FE</t>
  </si>
  <si>
    <t>5.1.3.BE</t>
  </si>
  <si>
    <t>5.1.3.QA</t>
  </si>
  <si>
    <t>5.1.4</t>
  </si>
  <si>
    <t>User can recategorise transactions manually</t>
  </si>
  <si>
    <t>Essential - auto-categorisation is never 100% accurate</t>
  </si>
  <si>
    <t>5.1.4.FE</t>
  </si>
  <si>
    <t>5.1.4.BE</t>
  </si>
  <si>
    <t>5.1.4.QA</t>
  </si>
  <si>
    <t>5.1.5</t>
  </si>
  <si>
    <t>Learn from user corrections to improve future categorisation</t>
  </si>
  <si>
    <t>Per-user improvement; meaningful but not MVP-blocking</t>
  </si>
  <si>
    <t>5.1.5.FE</t>
  </si>
  <si>
    <t>5.1.5.BE</t>
  </si>
  <si>
    <t>5.1.5.QA</t>
  </si>
  <si>
    <t>5.1.6</t>
  </si>
  <si>
    <t>Support custom user-defined categories</t>
  </si>
  <si>
    <t>Power-user feature</t>
  </si>
  <si>
    <t>5.1.6.FE</t>
  </si>
  <si>
    <t>5.1.6.BE</t>
  </si>
  <si>
    <t>5.1.6.QA</t>
  </si>
  <si>
    <t>5.1.7</t>
  </si>
  <si>
    <t>Handle split transactions (one charge across multiple categories)</t>
  </si>
  <si>
    <t>Common edge case but complex UX</t>
  </si>
  <si>
    <t>5.1.7.FE</t>
  </si>
  <si>
    <t>5.1.7.BE</t>
  </si>
  <si>
    <t>5.1.7.QA</t>
  </si>
  <si>
    <t>5.2</t>
  </si>
  <si>
    <t>Spending Analysis</t>
  </si>
  <si>
    <t>Backlog section 5.2 from Budgie AI Product Backlog v0.3. Child feature rows below are the estimate rows.</t>
  </si>
  <si>
    <t>5.2.1</t>
  </si>
  <si>
    <t>Monthly spending summary by category</t>
  </si>
  <si>
    <t>Core dashboard element</t>
  </si>
  <si>
    <t>5.2.1.FE</t>
  </si>
  <si>
    <t>5.2.1.BE</t>
  </si>
  <si>
    <t>5.2.1.QA</t>
  </si>
  <si>
    <t>5.2.2</t>
  </si>
  <si>
    <t>Spending trends over time (weekly/monthly/quarterly views)</t>
  </si>
  <si>
    <t>Shows patterns the user may not have noticed</t>
  </si>
  <si>
    <t>5.2.2.FE</t>
  </si>
  <si>
    <t>5.2.2.BE</t>
  </si>
  <si>
    <t>5.2.2.QA</t>
  </si>
  <si>
    <t>5.2.3</t>
  </si>
  <si>
    <t>Spending vs income comparison</t>
  </si>
  <si>
    <t>Simple but high-value view</t>
  </si>
  <si>
    <t>5.2.1, Epic 2</t>
  </si>
  <si>
    <t>5.2.3.FE</t>
  </si>
  <si>
    <t>5.2.3.BE</t>
  </si>
  <si>
    <t>5.2.3.QA</t>
  </si>
  <si>
    <t>5.2.4</t>
  </si>
  <si>
    <t>Identify unusual or anomalous transactions</t>
  </si>
  <si>
    <t>Feeds into proactive AI insights</t>
  </si>
  <si>
    <t>5.1.3, Epic 4</t>
  </si>
  <si>
    <t>5.2.4.FE</t>
  </si>
  <si>
    <t>5.2.4.BE</t>
  </si>
  <si>
    <t>5.2.4.QA</t>
  </si>
  <si>
    <t>5.2.5</t>
  </si>
  <si>
    <t>Cross-account spending view (unified across all connected accounts)</t>
  </si>
  <si>
    <t>Critical for the "fragmented finances" value prop</t>
  </si>
  <si>
    <t>5.2.5.FE</t>
  </si>
  <si>
    <t>5.2.5.BE</t>
  </si>
  <si>
    <t>5.2.5.QA</t>
  </si>
  <si>
    <t>5.2.6</t>
  </si>
  <si>
    <t>Merchant-level spending view ("how much have I spent at X?")</t>
  </si>
  <si>
    <t>Useful but not MVP-critical</t>
  </si>
  <si>
    <t>5.2.6.FE</t>
  </si>
  <si>
    <t>5.2.6.BE</t>
  </si>
  <si>
    <t>5.2.6.QA</t>
  </si>
  <si>
    <t>5.3</t>
  </si>
  <si>
    <t>Budget Creation &amp; Tracking</t>
  </si>
  <si>
    <t>Backlog section 5.3 from Budgie AI Product Backlog v0.3. Child feature rows below are the estimate rows.</t>
  </si>
  <si>
    <t>5.3.1</t>
  </si>
  <si>
    <t>User creates monthly budgets per category</t>
  </si>
  <si>
    <t>Core budgeting feature</t>
  </si>
  <si>
    <t>5.3.1.FE</t>
  </si>
  <si>
    <t>5.3.1.BE</t>
  </si>
  <si>
    <t>5.3.1.QA</t>
  </si>
  <si>
    <t>5.3.2</t>
  </si>
  <si>
    <t>Real-time tracking of spending against budget</t>
  </si>
  <si>
    <t>Updates as transactions come in</t>
  </si>
  <si>
    <t>5.3.1, 5.1.3</t>
  </si>
  <si>
    <t>5.3.2.FE</t>
  </si>
  <si>
    <t>5.3.2.BE</t>
  </si>
  <si>
    <t>5.3.2.QA</t>
  </si>
  <si>
    <t>5.3.3</t>
  </si>
  <si>
    <t>Proactive warning when approaching budget limit</t>
  </si>
  <si>
    <t>Founder differentiator - warn before, not after (Market Discovery 4.1)</t>
  </si>
  <si>
    <t>5.3.2, Epic 9</t>
  </si>
  <si>
    <t>5.3.3.FE</t>
  </si>
  <si>
    <t>5.3.3.BE</t>
  </si>
  <si>
    <t>5.3.3.QA</t>
  </si>
  <si>
    <t>5.3.4</t>
  </si>
  <si>
    <t>Budget overspend alerts</t>
  </si>
  <si>
    <t>Backup to 5.3.3</t>
  </si>
  <si>
    <t>5.3.4.FE</t>
  </si>
  <si>
    <t>5.3.4.BE</t>
  </si>
  <si>
    <t>5.3.4.QA</t>
  </si>
  <si>
    <t>5.3.5</t>
  </si>
  <si>
    <t>Budgie-suggested budgets based on the user's actual spending history</t>
  </si>
  <si>
    <t>Removes the blank-page problem for new users</t>
  </si>
  <si>
    <t>5.3.5.FE</t>
  </si>
  <si>
    <t>5.3.5.BE</t>
  </si>
  <si>
    <t>5.3.5.QA</t>
  </si>
  <si>
    <t>5.3.6</t>
  </si>
  <si>
    <t>Budget rollover (unspent money carries to next month)</t>
  </si>
  <si>
    <t>Popular feature in budgeting apps (YNAB-style)</t>
  </si>
  <si>
    <t>5.3.6.FE</t>
  </si>
  <si>
    <t>5.3.6.BE</t>
  </si>
  <si>
    <t>5.3.6.QA</t>
  </si>
  <si>
    <t>5.3.7</t>
  </si>
  <si>
    <t>Shared budgets (household, couples, roommates)</t>
  </si>
  <si>
    <t>Significantly more complex - deferred</t>
  </si>
  <si>
    <t>Epic 10</t>
  </si>
  <si>
    <t>5.3.7.FE</t>
  </si>
  <si>
    <t>5.3.7.BE</t>
  </si>
  <si>
    <t>5.3.7.QA</t>
  </si>
  <si>
    <t>5.4</t>
  </si>
  <si>
    <t>Subscription &amp; Recurring Transaction Tracking</t>
  </si>
  <si>
    <t>Backlog section 5.4 from Budgie AI Product Backlog v0.3. Child feature rows below are the estimate rows.</t>
  </si>
  <si>
    <t>5.4.1</t>
  </si>
  <si>
    <t>Detect recurring payments and subscriptions automatically</t>
  </si>
  <si>
    <t>Rocket Money's core value prop; table stakes for a modern budgeting app</t>
  </si>
  <si>
    <t>5.4.1.FE</t>
  </si>
  <si>
    <t>5.4.1.BE</t>
  </si>
  <si>
    <t>5.4.1.QA</t>
  </si>
  <si>
    <t>5.4.2</t>
  </si>
  <si>
    <t>Subscription dashboard - list all detected subscriptions with totals</t>
  </si>
  <si>
    <t>High-value view for users</t>
  </si>
  <si>
    <t>5.4.2.FE</t>
  </si>
  <si>
    <t>5.4.2.BE</t>
  </si>
  <si>
    <t>5.4.2.QA</t>
  </si>
  <si>
    <t>5.4.3</t>
  </si>
  <si>
    <t>Alert on subscription price changes</t>
  </si>
  <si>
    <t>Nice-to-have; demonstrates active monitoring</t>
  </si>
  <si>
    <t>5.4.1, Epic 9</t>
  </si>
  <si>
    <t>5.4.3.FE</t>
  </si>
  <si>
    <t>5.4.3.BE</t>
  </si>
  <si>
    <t>5.4.3.QA</t>
  </si>
  <si>
    <t>5.4.4</t>
  </si>
  <si>
    <t>Alert on unused subscriptions (no engagement after N months)</t>
  </si>
  <si>
    <t>Genuinely useful but harder to detect reliably</t>
  </si>
  <si>
    <t>5.4.4.FE</t>
  </si>
  <si>
    <t>5.4.4.BE</t>
  </si>
  <si>
    <t>5.4.4.QA</t>
  </si>
  <si>
    <t>5.5</t>
  </si>
  <si>
    <t>Income Tracking</t>
  </si>
  <si>
    <t>Backlog section 5.5 from Budgie AI Product Backlog v0.3. Child feature rows below are the estimate rows.</t>
  </si>
  <si>
    <t>5.5.1</t>
  </si>
  <si>
    <t>Detect and categorise income transactions</t>
  </si>
  <si>
    <t>Often just salary but may include multiple sources</t>
  </si>
  <si>
    <t>5.5.1.FE</t>
  </si>
  <si>
    <t>5.5.1.BE</t>
  </si>
  <si>
    <t>5.5.1.QA</t>
  </si>
  <si>
    <t>5.5.2</t>
  </si>
  <si>
    <t>Income trend view</t>
  </si>
  <si>
    <t>Simple but important, especially for variable income earners</t>
  </si>
  <si>
    <t>5.5.2.FE</t>
  </si>
  <si>
    <t>5.5.2.BE</t>
  </si>
  <si>
    <t>5.5.2.QA</t>
  </si>
  <si>
    <t>5.5.3</t>
  </si>
  <si>
    <t>Expected vs actual income comparison</t>
  </si>
  <si>
    <t>Useful for freelancers, commission earners</t>
  </si>
  <si>
    <t>5.5.3.FE</t>
  </si>
  <si>
    <t>5.5.3.BE</t>
  </si>
  <si>
    <t>5.5.3.QA</t>
  </si>
  <si>
    <t>Epic 6: Goal Planning</t>
  </si>
  <si>
    <t>6.1</t>
  </si>
  <si>
    <t>Goal Definition &amp; Setup</t>
  </si>
  <si>
    <t>Backlog section 6.1 from Budgie AI Product Backlog v0.3. Child feature rows below are the estimate rows.</t>
  </si>
  <si>
    <t>6.1.1</t>
  </si>
  <si>
    <t>User creates a savings goal with target amount and target date</t>
  </si>
  <si>
    <t>Core goal creation flow</t>
  </si>
  <si>
    <t>6.1.1.FE</t>
  </si>
  <si>
    <t>6.1.1.BE</t>
  </si>
  <si>
    <t>6.1.1.QA</t>
  </si>
  <si>
    <t>6.1.2</t>
  </si>
  <si>
    <t>User creates a debt payoff goal with current balance and target payoff date</t>
  </si>
  <si>
    <t>Debt goals have different mechanics from savings - separate flow</t>
  </si>
  <si>
    <t>6.1.2.FE</t>
  </si>
  <si>
    <t>6.1.2.BE</t>
  </si>
  <si>
    <t>6.1.2.QA</t>
  </si>
  <si>
    <t>6.1.3</t>
  </si>
  <si>
    <t>Pre-defined goal templates (house deposit, car, wedding, emergency fund, credit card payoff)</t>
  </si>
  <si>
    <t>Reduces blank-page friction; reflects identified personas</t>
  </si>
  <si>
    <t>6.1.1, 6.1.2</t>
  </si>
  <si>
    <t>6.1.3.FE</t>
  </si>
  <si>
    <t>6.1.3.BE</t>
  </si>
  <si>
    <t>6.1.3.QA</t>
  </si>
  <si>
    <t>6.1.4</t>
  </si>
  <si>
    <t>Budgie-guided goal setup - AI helps the user define realistic targets</t>
  </si>
  <si>
    <t>Differentiator - the AI provides coaching during setup, not just tracking</t>
  </si>
  <si>
    <t>6.1.1, Epic 4</t>
  </si>
  <si>
    <t>6.1.4.FE</t>
  </si>
  <si>
    <t>6.1.4.BE</t>
  </si>
  <si>
    <t>6.1.4.QA</t>
  </si>
  <si>
    <t>6.1.5</t>
  </si>
  <si>
    <t>Link a goal to a specific account or set of accounts</t>
  </si>
  <si>
    <t>Users need to know which account the goal relates to</t>
  </si>
  <si>
    <t>6.1.1, Epic 2</t>
  </si>
  <si>
    <t>6.1.5.FE</t>
  </si>
  <si>
    <t>6.1.5.BE</t>
  </si>
  <si>
    <t>6.1.5.QA</t>
  </si>
  <si>
    <t>6.1.6</t>
  </si>
  <si>
    <t>Multiple concurrent goals per user</t>
  </si>
  <si>
    <t>Realistic - most users have several goals at once</t>
  </si>
  <si>
    <t>6.1.6.FE</t>
  </si>
  <si>
    <t>6.1.6.BE</t>
  </si>
  <si>
    <t>6.1.6.QA</t>
  </si>
  <si>
    <t>6.2</t>
  </si>
  <si>
    <t>Goal Roadmap &amp; Projections</t>
  </si>
  <si>
    <t>Backlog section 6.2 from Budgie AI Product Backlog v0.3. Child feature rows below are the estimate rows.</t>
  </si>
  <si>
    <t>6.2.1</t>
  </si>
  <si>
    <t>Calculate required monthly contribution to hit target</t>
  </si>
  <si>
    <t>Basic maths but needs to handle compound considerations for debt goals</t>
  </si>
  <si>
    <t>6.2.1.FE</t>
  </si>
  <si>
    <t>6.2.1.BE</t>
  </si>
  <si>
    <t>6.2.1.QA</t>
  </si>
  <si>
    <t>6.2.2</t>
  </si>
  <si>
    <t>Project goal completion date based on current behaviour</t>
  </si>
  <si>
    <t>"At your current pace, you'll hit this in X months"</t>
  </si>
  <si>
    <t>6.2.2.FE</t>
  </si>
  <si>
    <t>6.2.2.BE</t>
  </si>
  <si>
    <t>6.2.2.QA</t>
  </si>
  <si>
    <t>6.2.3</t>
  </si>
  <si>
    <t>Dynamic adjustment - if user has more money, suggest putting more toward goal</t>
  </si>
  <si>
    <t>Founder differentiator (Market Discovery 4.1) - requires spending pattern analysis</t>
  </si>
  <si>
    <t>6.2.1, Epic 5</t>
  </si>
  <si>
    <t>6.2.3.FE</t>
  </si>
  <si>
    <t>6.2.3.BE</t>
  </si>
  <si>
    <t>6.2.3.QA</t>
  </si>
  <si>
    <t>6.2.4</t>
  </si>
  <si>
    <t>Dynamic adjustment - if user has less, show revised timeline and trade-offs</t>
  </si>
  <si>
    <t>The other side of flexibility - honesty rather than false hope</t>
  </si>
  <si>
    <t>6.2.4.FE</t>
  </si>
  <si>
    <t>6.2.4.BE</t>
  </si>
  <si>
    <t>6.2.4.QA</t>
  </si>
  <si>
    <t>6.2.5</t>
  </si>
  <si>
    <t>"What if" scenarios - show impact of changing contribution amounts</t>
  </si>
  <si>
    <t>Nice-to-have; complements Epic 8 scenario planning</t>
  </si>
  <si>
    <t>6.2.5.FE</t>
  </si>
  <si>
    <t>6.2.5.BE</t>
  </si>
  <si>
    <t>6.2.5.QA</t>
  </si>
  <si>
    <t>6.2.6</t>
  </si>
  <si>
    <t>Debt payoff strategy suggestions (avalanche vs snowball)</t>
  </si>
  <si>
    <t>Common financial coaching guidance; needs careful positioning to avoid advisory regulation</t>
  </si>
  <si>
    <t>6.2.6.FE</t>
  </si>
  <si>
    <t>6.2.6.BE</t>
  </si>
  <si>
    <t>6.2.6.QA</t>
  </si>
  <si>
    <t>6.3</t>
  </si>
  <si>
    <t>Goal Tracking &amp; Progress</t>
  </si>
  <si>
    <t>Backlog section 6.3 from Budgie AI Product Backlog v0.3. Child feature rows below are the estimate rows.</t>
  </si>
  <si>
    <t>6.3.1</t>
  </si>
  <si>
    <t>Visual progress indicator per goal</t>
  </si>
  <si>
    <t>Standard; motivating</t>
  </si>
  <si>
    <t>6.3.1.FE</t>
  </si>
  <si>
    <t>6.3.1.BE</t>
  </si>
  <si>
    <t>6.3.1.QA</t>
  </si>
  <si>
    <t>6.3.2</t>
  </si>
  <si>
    <t>Contribution tracking - automatic or manual</t>
  </si>
  <si>
    <t>Track what's actually going toward the goal</t>
  </si>
  <si>
    <t>6.1.5, Epic 2</t>
  </si>
  <si>
    <t>6.3.2.FE</t>
  </si>
  <si>
    <t>6.3.2.BE</t>
  </si>
  <si>
    <t>6.3.2.QA</t>
  </si>
  <si>
    <t>6.3.3</t>
  </si>
  <si>
    <t>Goal history - see progress over time</t>
  </si>
  <si>
    <t>Shows momentum</t>
  </si>
  <si>
    <t>6.3.3.FE</t>
  </si>
  <si>
    <t>6.3.3.BE</t>
  </si>
  <si>
    <t>6.3.3.QA</t>
  </si>
  <si>
    <t>6.3.4</t>
  </si>
  <si>
    <t>Milestone celebrations when user hits 25%, 50%, 75%, 100%</t>
  </si>
  <si>
    <t>Engagement driver; Budgie in-character reaction</t>
  </si>
  <si>
    <t>6.3.1, Epic 9</t>
  </si>
  <si>
    <t>6.3.4.FE</t>
  </si>
  <si>
    <t>6.3.4.BE</t>
  </si>
  <si>
    <t>6.3.4.QA</t>
  </si>
  <si>
    <t>6.3.5</t>
  </si>
  <si>
    <t>Warn when goal is at risk (behind schedule, insufficient contribution)</t>
  </si>
  <si>
    <t>Proactive coaching tied directly to user intent</t>
  </si>
  <si>
    <t>6.2.2, Epic 9</t>
  </si>
  <si>
    <t>6.3.5.FE</t>
  </si>
  <si>
    <t>6.3.5.BE</t>
  </si>
  <si>
    <t>6.3.5.QA</t>
  </si>
  <si>
    <t>6.4</t>
  </si>
  <si>
    <t>Goal Management</t>
  </si>
  <si>
    <t>Backlog section 6.4 from Budgie AI Product Backlog v0.3. Child feature rows below are the estimate rows.</t>
  </si>
  <si>
    <t>6.4.1</t>
  </si>
  <si>
    <t>Edit or update an existing goal</t>
  </si>
  <si>
    <t>Life changes; goals should too</t>
  </si>
  <si>
    <t>6.4.1.FE</t>
  </si>
  <si>
    <t>6.4.1.BE</t>
  </si>
  <si>
    <t>6.4.1.QA</t>
  </si>
  <si>
    <t>6.4.2</t>
  </si>
  <si>
    <t>Pause or abandon a goal</t>
  </si>
  <si>
    <t>Users shouldn't feel trapped by goals they've outgrown</t>
  </si>
  <si>
    <t>6.4.2.FE</t>
  </si>
  <si>
    <t>6.4.2.BE</t>
  </si>
  <si>
    <t>6.4.2.QA</t>
  </si>
  <si>
    <t>6.4.3</t>
  </si>
  <si>
    <t>Mark a goal as completed and archive</t>
  </si>
  <si>
    <t>Celebrate, then move on</t>
  </si>
  <si>
    <t>6.4.3.FE</t>
  </si>
  <si>
    <t>6.4.3.BE</t>
  </si>
  <si>
    <t>6.4.3.QA</t>
  </si>
  <si>
    <t>6.4.4</t>
  </si>
  <si>
    <t>Goal history / past goals view</t>
  </si>
  <si>
    <t>Shows lifetime progress</t>
  </si>
  <si>
    <t>6.4.4.FE</t>
  </si>
  <si>
    <t>6.4.4.BE</t>
  </si>
  <si>
    <t>6.4.4.QA</t>
  </si>
  <si>
    <t>6.5</t>
  </si>
  <si>
    <t>Goal-Aware Coaching Integration</t>
  </si>
  <si>
    <t>Backlog section 6.5 from Budgie AI Product Backlog v0.3. Child feature rows below are the estimate rows.</t>
  </si>
  <si>
    <t>6.5.1</t>
  </si>
  <si>
    <t>Budgie references active goals in daily check-ins and insights</t>
  </si>
  <si>
    <t>"You saved X toward your house goal this week" - connects budgeting to meaning</t>
  </si>
  <si>
    <t>6.5.1.FE</t>
  </si>
  <si>
    <t>6.5.1.BE</t>
  </si>
  <si>
    <t>6.5.1.QA</t>
  </si>
  <si>
    <t>6.5.2</t>
  </si>
  <si>
    <t>Budgie suggests trade-offs across goals when user has constrained cash flow</t>
  </si>
  <si>
    <t>"You could hit both goals but later, or prioritise one and hit it sooner"</t>
  </si>
  <si>
    <t>6.2.3, Epic 4</t>
  </si>
  <si>
    <t>6.5.2.FE</t>
  </si>
  <si>
    <t>6.5.2.BE</t>
  </si>
  <si>
    <t>6.5.2.QA</t>
  </si>
  <si>
    <t>Epic 7 :Financial Health Score</t>
  </si>
  <si>
    <t>7.1</t>
  </si>
  <si>
    <t>Score Definition</t>
  </si>
  <si>
    <t>Backlog section 7.1 from Budgie AI Product Backlog v0.3. Child feature rows below are the estimate rows.</t>
  </si>
  <si>
    <t>7.1.1</t>
  </si>
  <si>
    <t>Define the Financial Health Score methodology (components, weights, formula)</t>
  </si>
  <si>
    <t>Foundational decision - influences credibility and defensibility</t>
  </si>
  <si>
    <t>Founder input</t>
  </si>
  <si>
    <t>7.1.1.FE</t>
  </si>
  <si>
    <t>7.1.1.BE</t>
  </si>
  <si>
    <t>7.1.1.QA</t>
  </si>
  <si>
    <t>7.1.2</t>
  </si>
  <si>
    <t>Define score range and bands (e.g. 0-1000 with named bands like "Building", "Healthy", "Thriving")</t>
  </si>
  <si>
    <t>Bands give meaning to the number</t>
  </si>
  <si>
    <t>7.1.2.FE</t>
  </si>
  <si>
    <t>7.1.2.BE</t>
  </si>
  <si>
    <t>7.1.2.QA</t>
  </si>
  <si>
    <t>7.1.3</t>
  </si>
  <si>
    <t>Document methodology transparently for users who want to understand how it's calculated</t>
  </si>
  <si>
    <t>Explainability principle - users must be able to see what goes into the score</t>
  </si>
  <si>
    <t>7.1.1, 4.5.1</t>
  </si>
  <si>
    <t>7.1.3.FE</t>
  </si>
  <si>
    <t>7.1.3.BE</t>
  </si>
  <si>
    <t>7.1.3.QA</t>
  </si>
  <si>
    <t>7.2</t>
  </si>
  <si>
    <t>Score Calculation</t>
  </si>
  <si>
    <t>Backlog section 7.2 from Budgie AI Product Backlog v0.3. Child feature rows below are the estimate rows.</t>
  </si>
  <si>
    <t>7.2.1</t>
  </si>
  <si>
    <t>Calculate initial score from onboarding answers (pre-bank connection)</t>
  </si>
  <si>
    <t>Early value moment (Market Discovery 4.1)</t>
  </si>
  <si>
    <t>Epic 1, 7.1.1</t>
  </si>
  <si>
    <t>7.2.1.FE</t>
  </si>
  <si>
    <t>7.2.1.BE</t>
  </si>
  <si>
    <t>7.2.1.QA</t>
  </si>
  <si>
    <t>7.2.2</t>
  </si>
  <si>
    <t>Recalculate score using actual bank data once connected</t>
  </si>
  <si>
    <t>Refined accuracy once real data is available</t>
  </si>
  <si>
    <t>Epic 2, 7.1.1</t>
  </si>
  <si>
    <t>7.2.2.FE</t>
  </si>
  <si>
    <t>7.2.2.BE</t>
  </si>
  <si>
    <t>7.2.2.QA</t>
  </si>
  <si>
    <t>7.2.3</t>
  </si>
  <si>
    <t>Recalculate on a scheduled basis (weekly or monthly)</t>
  </si>
  <si>
    <t>Ongoing tracking</t>
  </si>
  <si>
    <t>7.2.3.FE</t>
  </si>
  <si>
    <t>7.2.3.BE</t>
  </si>
  <si>
    <t>7.2.3.QA</t>
  </si>
  <si>
    <t>7.2.4</t>
  </si>
  <si>
    <t>Real-time recalculation on significant events (large transaction, budget breach, goal milestone)</t>
  </si>
  <si>
    <t>Nice-to-have; scheduled recalculation is MVP-sufficient</t>
  </si>
  <si>
    <t>7.2.2, Epic 9</t>
  </si>
  <si>
    <t>7.2.4.FE</t>
  </si>
  <si>
    <t>7.2.4.BE</t>
  </si>
  <si>
    <t>7.2.4.QA</t>
  </si>
  <si>
    <t>7.3</t>
  </si>
  <si>
    <t>Score Display &amp; Components</t>
  </si>
  <si>
    <t>Backlog section 7.3 from Budgie AI Product Backlog v0.3. Child feature rows below are the estimate rows.</t>
  </si>
  <si>
    <t>7.3.1</t>
  </si>
  <si>
    <t>Prominent display of current score on home screen</t>
  </si>
  <si>
    <t>The score should be impossible to miss</t>
  </si>
  <si>
    <t>7.3.1.FE</t>
  </si>
  <si>
    <t>7.3.1.BE</t>
  </si>
  <si>
    <t>7.3.1.QA</t>
  </si>
  <si>
    <t>7.3.2</t>
  </si>
  <si>
    <t>Breakdown view - show the components contributing to the score</t>
  </si>
  <si>
    <t>Savings rate, spending habits, debt, budget discipline as separate dimensions</t>
  </si>
  <si>
    <t>7.3.2.FE</t>
  </si>
  <si>
    <t>7.3.2.BE</t>
  </si>
  <si>
    <t>7.3.2.QA</t>
  </si>
  <si>
    <t>7.3.3</t>
  </si>
  <si>
    <t>Score history view over time (trend graph)</t>
  </si>
  <si>
    <t>Shows progress or decline - motivating either way</t>
  </si>
  <si>
    <t>7.3.3.FE</t>
  </si>
  <si>
    <t>7.3.3.BE</t>
  </si>
  <si>
    <t>7.3.3.QA</t>
  </si>
  <si>
    <t>7.3.4</t>
  </si>
  <si>
    <t>Comparison to a benchmark (e.g. "your score vs typical users like you")</t>
  </si>
  <si>
    <t>Powerful but needs meaningful benchmark data - may require user base scale</t>
  </si>
  <si>
    <t>7.3.4.FE</t>
  </si>
  <si>
    <t>7.3.4.BE</t>
  </si>
  <si>
    <t>7.3.4.QA</t>
  </si>
  <si>
    <t>7.3.5</t>
  </si>
  <si>
    <t>Score-related insights explaining recent changes</t>
  </si>
  <si>
    <t>"Your score went up 15 points because you hit your savings goal"</t>
  </si>
  <si>
    <t>7.2.3, Epic 4</t>
  </si>
  <si>
    <t>7.3.5.FE</t>
  </si>
  <si>
    <t>7.3.5.BE</t>
  </si>
  <si>
    <t>7.3.5.QA</t>
  </si>
  <si>
    <t>7.4</t>
  </si>
  <si>
    <t>Score-Driven Engagement</t>
  </si>
  <si>
    <t>Backlog section 7.4 from Budgie AI Product Backlog v0.3. Child feature rows below are the estimate rows.</t>
  </si>
  <si>
    <t>7.4.1</t>
  </si>
  <si>
    <t>Budgie provides specific, actionable suggestions to improve the score</t>
  </si>
  <si>
    <t>Turns the score into a coaching tool</t>
  </si>
  <si>
    <t>7.3.2, Epic 4</t>
  </si>
  <si>
    <t>7.4.1.FE</t>
  </si>
  <si>
    <t>7.4.1.BE</t>
  </si>
  <si>
    <t>7.4.1.QA</t>
  </si>
  <si>
    <t>7.4.2</t>
  </si>
  <si>
    <t>Alert on significant score changes (up or down)</t>
  </si>
  <si>
    <t>Attention-grabbing; motivates engagement</t>
  </si>
  <si>
    <t>7.2.3, Epic 9</t>
  </si>
  <si>
    <t>7.4.2.FE</t>
  </si>
  <si>
    <t>7.4.2.BE</t>
  </si>
  <si>
    <t>7.4.2.QA</t>
  </si>
  <si>
    <t>7.4.3</t>
  </si>
  <si>
    <t>Celebrate crossing into a new band ("You're now Thriving!")</t>
  </si>
  <si>
    <t>Emotional engagement moment</t>
  </si>
  <si>
    <t>7.1.2, Epic 9</t>
  </si>
  <si>
    <t>7.4.3.FE</t>
  </si>
  <si>
    <t>7.4.3.BE</t>
  </si>
  <si>
    <t>7.4.3.QA</t>
  </si>
  <si>
    <t>7.4.4</t>
  </si>
  <si>
    <t>Annual or periodic score summary ("Your Budgie Year in Review")</t>
  </si>
  <si>
    <t>Spotify Wrapped-style retrospective - highly shareable</t>
  </si>
  <si>
    <t>7.4.4.FE</t>
  </si>
  <si>
    <t>7.4.4.BE</t>
  </si>
  <si>
    <t>7.4.4.QA</t>
  </si>
  <si>
    <t>7.5</t>
  </si>
  <si>
    <t>Score Sharing</t>
  </si>
  <si>
    <t>Backlog section 7.5 from Budgie AI Product Backlog v0.3. Child feature rows below are the estimate rows.</t>
  </si>
  <si>
    <t>7.5.1</t>
  </si>
  <si>
    <t>User can share their score or band (not the underlying data) externally</t>
  </si>
  <si>
    <t>Viral mechanic if privacy is handled correctly - band-only is safer than number</t>
  </si>
  <si>
    <t>7.5.1.FE</t>
  </si>
  <si>
    <t>7.5.1.BE</t>
  </si>
  <si>
    <t>7.5.1.QA</t>
  </si>
  <si>
    <t>7.5.2</t>
  </si>
  <si>
    <t>Privacy controls on sharing</t>
  </si>
  <si>
    <t>Ensure users never accidentally share sensitive financial details</t>
  </si>
  <si>
    <t>7.5.1, Epic 12</t>
  </si>
  <si>
    <t>7.5.2.FE</t>
  </si>
  <si>
    <t>7.5.2.BE</t>
  </si>
  <si>
    <t>7.5.2.QA</t>
  </si>
  <si>
    <t>Epic 8: Ask Anything - Natural Language Queries</t>
  </si>
  <si>
    <t>8.1</t>
  </si>
  <si>
    <t>Ask Anything - Natural Language Queries</t>
  </si>
  <si>
    <t>Query Interface</t>
  </si>
  <si>
    <t>Backlog section 8.1 from Budgie AI Product Backlog v0.3. Child feature rows below are the estimate rows.</t>
  </si>
  <si>
    <t>8.1.1</t>
  </si>
  <si>
    <t>Text input for natural language questions</t>
  </si>
  <si>
    <t>Core UX element</t>
  </si>
  <si>
    <t>8.1.1.FE</t>
  </si>
  <si>
    <t>8.1.1.BE</t>
  </si>
  <si>
    <t>8.1.1.QA</t>
  </si>
  <si>
    <t>8.1.2</t>
  </si>
  <si>
    <t>Voice input option</t>
  </si>
  <si>
    <t>Nice-to-have; hands-free coaching use case</t>
  </si>
  <si>
    <t>8.1.2.FE</t>
  </si>
  <si>
    <t>8.1.2.BE</t>
  </si>
  <si>
    <t>8.1.2.QA</t>
  </si>
  <si>
    <t>8.1.3</t>
  </si>
  <si>
    <t>Suggested question prompts to guide new users</t>
  </si>
  <si>
    <t>Prevents blank-page problem; teaches users what Budgie can do</t>
  </si>
  <si>
    <t>8.1.3.FE</t>
  </si>
  <si>
    <t>8.1.3.BE</t>
  </si>
  <si>
    <t>8.1.3.QA</t>
  </si>
  <si>
    <t>8.1.4</t>
  </si>
  <si>
    <t>Query history - user can revisit previous questions and answers</t>
  </si>
  <si>
    <t>Useful for reference and trust-building</t>
  </si>
  <si>
    <t>8.1.4.FE</t>
  </si>
  <si>
    <t>8.1.4.BE</t>
  </si>
  <si>
    <t>8.1.4.QA</t>
  </si>
  <si>
    <t>8.1.5</t>
  </si>
  <si>
    <t>Seed new chats with a daily or weekly summary to avoid the blank-start problem</t>
  </si>
  <si>
    <t xml:space="preserve"> Workshop 21 April: when a user opens a new chat, Budgie starts with a contextual summary (today's brief or this week's review) rather than an empty page. Increases engagement and surfaces relevant coaching moments.</t>
  </si>
  <si>
    <t>8.1.5.FE</t>
  </si>
  <si>
    <t>8.1.5.BE</t>
  </si>
  <si>
    <t>8.1.5.QA</t>
  </si>
  <si>
    <t>8.1.6</t>
  </si>
  <si>
    <t>Chat branching and categorisation — organise and split chat threads by topic</t>
  </si>
  <si>
    <t>Workshop 21 April: flagged as a future feature beyond MVP multi-thread basics.</t>
  </si>
  <si>
    <t>8.1.6.FE</t>
  </si>
  <si>
    <t>8.1.6.BE</t>
  </si>
  <si>
    <t>8.1.6.QA</t>
  </si>
  <si>
    <t>8.2</t>
  </si>
  <si>
    <t>Data-Grounded Question Answering</t>
  </si>
  <si>
    <t>Backlog section 8.2 from Budgie AI Product Backlog v0.3. Child feature rows below are the estimate rows.</t>
  </si>
  <si>
    <t>8.2.1</t>
  </si>
  <si>
    <t>Classify user question type (spending query, balance query, trend query, affordability, etc.)</t>
  </si>
  <si>
    <t>Routing decision - different question types need different handling</t>
  </si>
  <si>
    <t>8.2.1.FE</t>
  </si>
  <si>
    <t>8.2.1.BE</t>
  </si>
  <si>
    <t>8.2.1.QA</t>
  </si>
  <si>
    <t>8.2.2</t>
  </si>
  <si>
    <t>Retrieve and assemble the relevant data from user's accounts for the query</t>
  </si>
  <si>
    <t>Retrieval layer - this is the hardest part</t>
  </si>
  <si>
    <t>4.2.3, Epic 2, Epic 5</t>
  </si>
  <si>
    <t>8.2.2.FE</t>
  </si>
  <si>
    <t>8.2.2.BE</t>
  </si>
  <si>
    <t>8.2.2.QA</t>
  </si>
  <si>
    <t>8.2.3</t>
  </si>
  <si>
    <t>Generate natural language answer grounded in actual data</t>
  </si>
  <si>
    <t>LLM-powered but constrained to retrieved facts</t>
  </si>
  <si>
    <t>8.2.2, 4.2.2</t>
  </si>
  <si>
    <t>8.2.3.FE</t>
  </si>
  <si>
    <t>8.2.3.BE</t>
  </si>
  <si>
    <t>8.2.3.QA</t>
  </si>
  <si>
    <t>8.2.4</t>
  </si>
  <si>
    <t>Show supporting data alongside the answer (receipts, charts, account references)</t>
  </si>
  <si>
    <t>Explainability in practice - user sees the evidence</t>
  </si>
  <si>
    <t>8.2.3, 4.5.1</t>
  </si>
  <si>
    <t>8.2.4.FE</t>
  </si>
  <si>
    <t>8.2.4.BE</t>
  </si>
  <si>
    <t>8.2.4.QA</t>
  </si>
  <si>
    <t>8.2.5</t>
  </si>
  <si>
    <t>Handle ambiguous questions with clarifying follow-ups</t>
  </si>
  <si>
    <t>"Do you mean last month or this month?"</t>
  </si>
  <si>
    <t>8.2.5.FE</t>
  </si>
  <si>
    <t>8.2.5.BE</t>
  </si>
  <si>
    <t>8.2.5.QA</t>
  </si>
  <si>
    <t>8.2.6</t>
  </si>
  <si>
    <t>Out-of-scope question detection and graceful refusal</t>
  </si>
  <si>
    <t>Must refuse investment advice, market predictions, etc.</t>
  </si>
  <si>
    <t>4.2.4, Epic 13</t>
  </si>
  <si>
    <t>8.2.6.FE</t>
  </si>
  <si>
    <t>8.2.6.BE</t>
  </si>
  <si>
    <t>8.2.6.QA</t>
  </si>
  <si>
    <t>8.3</t>
  </si>
  <si>
    <t>Common Question Categories</t>
  </si>
  <si>
    <t>Backlog section 8.3 from Budgie AI Product Backlog v0.3. Child feature rows below are the estimate rows.</t>
  </si>
  <si>
    <t>8.3.1</t>
  </si>
  <si>
    <t>Spending queries ("how much did I spend on food last month?")</t>
  </si>
  <si>
    <t>High-frequency question type</t>
  </si>
  <si>
    <t>Epic 5</t>
  </si>
  <si>
    <t>8.3.1.FE</t>
  </si>
  <si>
    <t>8.3.1.BE</t>
  </si>
  <si>
    <t>8.3.1.QA</t>
  </si>
  <si>
    <t>8.3.2</t>
  </si>
  <si>
    <t>Balance and net worth queries ("what's my total across all accounts?")</t>
  </si>
  <si>
    <t>Core aggregation question</t>
  </si>
  <si>
    <t>8.3.2.FE</t>
  </si>
  <si>
    <t>8.3.2.BE</t>
  </si>
  <si>
    <t>8.3.2.QA</t>
  </si>
  <si>
    <t>8.3.3</t>
  </si>
  <si>
    <t>Trend queries ("is my spending going up?")</t>
  </si>
  <si>
    <t>Requires comparison logic</t>
  </si>
  <si>
    <t>8.3.3.FE</t>
  </si>
  <si>
    <t>8.3.3.BE</t>
  </si>
  <si>
    <t>8.3.3.QA</t>
  </si>
  <si>
    <t>8.3.4</t>
  </si>
  <si>
    <t>Affordability queries ("can I afford a $500 dinner this weekend?")</t>
  </si>
  <si>
    <t>Requires understanding current balance, upcoming bills, budgets, goals</t>
  </si>
  <si>
    <t>Epic 5, Epic 6</t>
  </si>
  <si>
    <t>8.3.4.FE</t>
  </si>
  <si>
    <t>8.3.4.BE</t>
  </si>
  <si>
    <t>8.3.4.QA</t>
  </si>
  <si>
    <t>8.3.5</t>
  </si>
  <si>
    <t>Goal-related queries ("how am I doing on my house goal?")</t>
  </si>
  <si>
    <t>Reinforces goal engagement</t>
  </si>
  <si>
    <t>Epic 6</t>
  </si>
  <si>
    <t>8.3.5.FE</t>
  </si>
  <si>
    <t>8.3.5.BE</t>
  </si>
  <si>
    <t>8.3.5.QA</t>
  </si>
  <si>
    <t>8.3.6</t>
  </si>
  <si>
    <t>Subscription queries ("what am I paying for monthly?")</t>
  </si>
  <si>
    <t>Uses subscription detection</t>
  </si>
  <si>
    <t>8.3.6.FE</t>
  </si>
  <si>
    <t>8.3.6.BE</t>
  </si>
  <si>
    <t>8.3.6.QA</t>
  </si>
  <si>
    <t>8.4</t>
  </si>
  <si>
    <t>Scenario Planning</t>
  </si>
  <si>
    <t>Backlog section 8.4 from Budgie AI Product Backlog v0.3. Child feature rows below are the estimate rows.</t>
  </si>
  <si>
    <t>8.4.1</t>
  </si>
  <si>
    <t>Simple scenario queries ("what if I saved $200 more a month?")</t>
  </si>
  <si>
    <t>8.4.1.FE</t>
  </si>
  <si>
    <t>8.4.1.BE</t>
  </si>
  <si>
    <t>8.4.1.QA</t>
  </si>
  <si>
    <t>8.4.2</t>
  </si>
  <si>
    <t>Complex scenario queries ("what if I took a pay cut of 20%?")</t>
  </si>
  <si>
    <t>Requires holistic financial modelling - v2+ territory for real depth</t>
  </si>
  <si>
    <t>8.4.1, Epic 5</t>
  </si>
  <si>
    <t>8.4.2.FE</t>
  </si>
  <si>
    <t>8.4.2.BE</t>
  </si>
  <si>
    <t>8.4.2.QA</t>
  </si>
  <si>
    <t>8.4.3</t>
  </si>
  <si>
    <t>Scenario comparison (side-by-side "what if" outcomes)</t>
  </si>
  <si>
    <t>Power user feature</t>
  </si>
  <si>
    <t>8.4.3.FE</t>
  </si>
  <si>
    <t>8.4.3.BE</t>
  </si>
  <si>
    <t>8.4.3.QA</t>
  </si>
  <si>
    <t>8.4.4</t>
  </si>
  <si>
    <t>Scenario persistence (save and revisit scenarios)</t>
  </si>
  <si>
    <t>Transforms scenario planning from one-off to iterative</t>
  </si>
  <si>
    <t>8.4.4.FE</t>
  </si>
  <si>
    <t>8.4.4.BE</t>
  </si>
  <si>
    <t>8.4.4.QA</t>
  </si>
  <si>
    <t>8.5</t>
  </si>
  <si>
    <t>Quality &amp; Safety Controls</t>
  </si>
  <si>
    <t>Backlog section 8.5 from Budgie AI Product Backlog v0.3. Child feature rows below are the estimate rows.</t>
  </si>
  <si>
    <t>8.5.1</t>
  </si>
  <si>
    <t>Uncertainty flagging - Budgie states when it doesn't have enough data</t>
  </si>
  <si>
    <t>Honesty over false confidence</t>
  </si>
  <si>
    <t>8.5.1.FE</t>
  </si>
  <si>
    <t>8.5.1.BE</t>
  </si>
  <si>
    <t>8.5.1.QA</t>
  </si>
  <si>
    <t>8.5.2</t>
  </si>
  <si>
    <t>"I don't know" handling - graceful response when an answer isn't available</t>
  </si>
  <si>
    <t>Better than a hallucinated answer</t>
  </si>
  <si>
    <t>8.5.2.FE</t>
  </si>
  <si>
    <t>8.5.2.BE</t>
  </si>
  <si>
    <t>8.5.2.QA</t>
  </si>
  <si>
    <t>8.5.3</t>
  </si>
  <si>
    <t>User feedback on answer quality (thumbs up/down)</t>
  </si>
  <si>
    <t>Quality monitoring and improvement loop</t>
  </si>
  <si>
    <t>8.5.3.FE</t>
  </si>
  <si>
    <t>8.5.3.BE</t>
  </si>
  <si>
    <t>8.5.3.QA</t>
  </si>
  <si>
    <t>8.5.4</t>
  </si>
  <si>
    <t>Escalation or redirection for questions requiring human judgement (e.g. financial advisor)</t>
  </si>
  <si>
    <t>"This sounds like you'd benefit from speaking to a licensed advisor"</t>
  </si>
  <si>
    <t>8.5.4.FE</t>
  </si>
  <si>
    <t>8.5.4.BE</t>
  </si>
  <si>
    <t>8.5.4.QA</t>
  </si>
  <si>
    <t>8.6</t>
  </si>
  <si>
    <t>Usage &amp; Cost Controls</t>
  </si>
  <si>
    <t>Backlog section 8.6 from Budgie AI Product Backlog v0.3. Child feature rows below are the estimate rows.</t>
  </si>
  <si>
    <t>8.6.1</t>
  </si>
  <si>
    <t>Rate limiting per user (free vs paid tiers)</t>
  </si>
  <si>
    <t>Commercial necessity given LLM costs</t>
  </si>
  <si>
    <t>4.2.5, Epic 11</t>
  </si>
  <si>
    <t>8.6.1.FE</t>
  </si>
  <si>
    <t>8.6.1.BE</t>
  </si>
  <si>
    <t>8.6.1.QA</t>
  </si>
  <si>
    <t>8.6.2</t>
  </si>
  <si>
    <t>Monitoring of per-user and aggregate LLM spend</t>
  </si>
  <si>
    <t>Tracks unit economics</t>
  </si>
  <si>
    <t>4.2.5, Epic 14</t>
  </si>
  <si>
    <t>8.6.2.FE</t>
  </si>
  <si>
    <t>8.6.2.BE</t>
  </si>
  <si>
    <t>8.6.2.QA</t>
  </si>
  <si>
    <t>8.6.3</t>
  </si>
  <si>
    <t>Caching of common queries to reduce cost</t>
  </si>
  <si>
    <t>Optimisation; may not be MVP-critical depending on usage patterns</t>
  </si>
  <si>
    <t>8.6.3.FE</t>
  </si>
  <si>
    <t>8.6.3.BE</t>
  </si>
  <si>
    <t>8.6.3.QA</t>
  </si>
  <si>
    <t>Epic 9: Notifications &amp; Proactive Engagement</t>
  </si>
  <si>
    <t>9.1</t>
  </si>
  <si>
    <t>Notifications &amp; Proactive Engagement</t>
  </si>
  <si>
    <t>Notification Infrastructure</t>
  </si>
  <si>
    <t>Backlog section 9.1 from Budgie AI Product Backlog v0.3. Child feature rows below are the estimate rows.</t>
  </si>
  <si>
    <t>9.1.1</t>
  </si>
  <si>
    <t>Select and integrate a push notification service (e.g. Firebase Cloud Messaging, OneSignal, Expo)</t>
  </si>
  <si>
    <t>Foundational infrastructure</t>
  </si>
  <si>
    <t>9.1.1.FE</t>
  </si>
  <si>
    <t>9.1.1.BE</t>
  </si>
  <si>
    <t>9.1.1.QA</t>
  </si>
  <si>
    <t>9.1.2</t>
  </si>
  <si>
    <t>Push notification delivery on iOS and Android</t>
  </si>
  <si>
    <t>Platform-specific configuration</t>
  </si>
  <si>
    <t>9.1.2.FE</t>
  </si>
  <si>
    <t>9.1.2.BE</t>
  </si>
  <si>
    <t>9.1.2.QA</t>
  </si>
  <si>
    <t>9.1.3</t>
  </si>
  <si>
    <t>In-app notification centre / inbox</t>
  </si>
  <si>
    <t>Users miss push notifications; inbox provides a catch-up surface</t>
  </si>
  <si>
    <t>9.1.3.FE</t>
  </si>
  <si>
    <t>9.1.3.BE</t>
  </si>
  <si>
    <t>9.1.3.QA</t>
  </si>
  <si>
    <t>9.1.4</t>
  </si>
  <si>
    <t>Email notification delivery (transactional)</t>
  </si>
  <si>
    <t>Backup channel and for users who disable push</t>
  </si>
  <si>
    <t>9.1.1, Epic 12</t>
  </si>
  <si>
    <t>9.1.4.FE</t>
  </si>
  <si>
    <t>9.1.4.BE</t>
  </si>
  <si>
    <t>9.1.4.QA</t>
  </si>
  <si>
    <t>9.1.5</t>
  </si>
  <si>
    <t>Notification preference centre (granular on/off by type and channel)</t>
  </si>
  <si>
    <t>Essential - users will leave otherwise</t>
  </si>
  <si>
    <t>9.1.1, 9.1.2, 9.1.3, 9.1.4</t>
  </si>
  <si>
    <t>9.1.5.FE</t>
  </si>
  <si>
    <t>9.1.5.BE</t>
  </si>
  <si>
    <t>9.1.5.QA</t>
  </si>
  <si>
    <t>9.2</t>
  </si>
  <si>
    <t>Notification Types</t>
  </si>
  <si>
    <t>Backlog section 9.2 from Budgie AI Product Backlog v0.3. Child feature rows below are the estimate rows.</t>
  </si>
  <si>
    <t>9.2.1</t>
  </si>
  <si>
    <t>Daily check-in push from Budgie</t>
  </si>
  <si>
    <t>The habit-forming notification</t>
  </si>
  <si>
    <t>Epic 4.4.1</t>
  </si>
  <si>
    <t>9.2.1.FE</t>
  </si>
  <si>
    <t>9.2.1.BE</t>
  </si>
  <si>
    <t>9.2.1.QA</t>
  </si>
  <si>
    <t>9.2.2</t>
  </si>
  <si>
    <t>Budget warning (approaching or exceeding budget)</t>
  </si>
  <si>
    <t>Founder differentiator - warn before, not after</t>
  </si>
  <si>
    <t>Epic 5.3.3</t>
  </si>
  <si>
    <t>9.2.2.FE</t>
  </si>
  <si>
    <t>9.2.2.BE</t>
  </si>
  <si>
    <t>9.2.2.QA</t>
  </si>
  <si>
    <t>9.2.3</t>
  </si>
  <si>
    <t>Goal milestone reached</t>
  </si>
  <si>
    <t>Celebration moment</t>
  </si>
  <si>
    <t>Epic 6.3.4</t>
  </si>
  <si>
    <t>9.2.3.FE</t>
  </si>
  <si>
    <t>9.2.3.BE</t>
  </si>
  <si>
    <t>9.2.3.QA</t>
  </si>
  <si>
    <t>9.2.4</t>
  </si>
  <si>
    <t>Goal at risk (behind schedule)</t>
  </si>
  <si>
    <t>Proactive coaching</t>
  </si>
  <si>
    <t>Epic 6.3.5</t>
  </si>
  <si>
    <t>9.2.4.FE</t>
  </si>
  <si>
    <t>9.2.4.BE</t>
  </si>
  <si>
    <t>9.2.4.QA</t>
  </si>
  <si>
    <t>9.2.5</t>
  </si>
  <si>
    <t>Significant score change</t>
  </si>
  <si>
    <t>Score as engagement anchor</t>
  </si>
  <si>
    <t>Epic 7.4.2</t>
  </si>
  <si>
    <t>9.2.5.FE</t>
  </si>
  <si>
    <t>9.2.5.BE</t>
  </si>
  <si>
    <t>9.2.5.QA</t>
  </si>
  <si>
    <t>9.2.6</t>
  </si>
  <si>
    <t>Unusual or anomalous transaction</t>
  </si>
  <si>
    <t>Trust-building - Budgie is watching out for them</t>
  </si>
  <si>
    <t>Epic 5.2.4</t>
  </si>
  <si>
    <t>9.2.6.FE</t>
  </si>
  <si>
    <t>9.2.6.BE</t>
  </si>
  <si>
    <t>9.2.6.QA</t>
  </si>
  <si>
    <t>9.2.7</t>
  </si>
  <si>
    <t>Upcoming bill or subscription reminder</t>
  </si>
  <si>
    <t>Reduces "I forgot to budget for that" moments</t>
  </si>
  <si>
    <t>Epic 5.4</t>
  </si>
  <si>
    <t>9.2.7.FE</t>
  </si>
  <si>
    <t>9.2.7.BE</t>
  </si>
  <si>
    <t>9.2.7.QA</t>
  </si>
  <si>
    <t>9.2.8</t>
  </si>
  <si>
    <t>Weekly summary digest</t>
  </si>
  <si>
    <t>Slower-paced overview for passive users</t>
  </si>
  <si>
    <t>Epic 5.2</t>
  </si>
  <si>
    <t>9.2.8.FE</t>
  </si>
  <si>
    <t>9.2.8.BE</t>
  </si>
  <si>
    <t>9.2.8.QA</t>
  </si>
  <si>
    <t>9.2.9</t>
  </si>
  <si>
    <t>Re-authentication required (bank connection expired)</t>
  </si>
  <si>
    <t>Critical operational notification - unfixed means data stops flowing</t>
  </si>
  <si>
    <t>Epic 2.3.3</t>
  </si>
  <si>
    <t>9.2.9.FE</t>
  </si>
  <si>
    <t>9.2.9.BE</t>
  </si>
  <si>
    <t>9.2.9.QA</t>
  </si>
  <si>
    <t>9.2.10</t>
  </si>
  <si>
    <t>Account connection success/failure</t>
  </si>
  <si>
    <t>Transparency during onboarding and reconnection</t>
  </si>
  <si>
    <t>Epic 2.1.5</t>
  </si>
  <si>
    <t>9.2.10.FE</t>
  </si>
  <si>
    <t>9.2.10.BE</t>
  </si>
  <si>
    <t>9.2.10.QA</t>
  </si>
  <si>
    <t>9.3</t>
  </si>
  <si>
    <t>Timing &amp; Cadence</t>
  </si>
  <si>
    <t>Backlog section 9.3 from Budgie AI Product Backlog v0.3. Child feature rows below are the estimate rows.</t>
  </si>
  <si>
    <t>9.3.1</t>
  </si>
  <si>
    <t>User-configurable time-of-day for daily check-in</t>
  </si>
  <si>
    <t>Respect time zones and user preference - a morning person is different from an evening person</t>
  </si>
  <si>
    <t>9.3.1.FE</t>
  </si>
  <si>
    <t>9.3.1.BE</t>
  </si>
  <si>
    <t>9.3.1.QA</t>
  </si>
  <si>
    <t>9.3.2</t>
  </si>
  <si>
    <t>Notification throttling - cap the number of notifications per day</t>
  </si>
  <si>
    <t>Prevents cascade of alerts on a busy day</t>
  </si>
  <si>
    <t>9.3.2.FE</t>
  </si>
  <si>
    <t>9.3.2.BE</t>
  </si>
  <si>
    <t>9.3.2.QA</t>
  </si>
  <si>
    <t>9.3.3</t>
  </si>
  <si>
    <t>Intelligent batching - combine related low-priority notifications</t>
  </si>
  <si>
    <t>Reduces spam feel while preserving information</t>
  </si>
  <si>
    <t>9.3.3.FE</t>
  </si>
  <si>
    <t>9.3.3.BE</t>
  </si>
  <si>
    <t>9.3.3.QA</t>
  </si>
  <si>
    <t>9.3.4</t>
  </si>
  <si>
    <t>Quiet hours - no notifications during user-defined windows</t>
  </si>
  <si>
    <t>Basic respect for sleep</t>
  </si>
  <si>
    <t>9.3.4.FE</t>
  </si>
  <si>
    <t>9.3.4.BE</t>
  </si>
  <si>
    <t>9.3.4.QA</t>
  </si>
  <si>
    <t>9.4</t>
  </si>
  <si>
    <t>Content &amp; Voice</t>
  </si>
  <si>
    <t>Backlog section 9.4 from Budgie AI Product Backlog v0.3. Child feature rows below are the estimate rows.</t>
  </si>
  <si>
    <t>9.4.1</t>
  </si>
  <si>
    <t>All notifications authored in Budgie's voice</t>
  </si>
  <si>
    <t>Part of cross-surface personality consistency</t>
  </si>
  <si>
    <t>Epic 4.7.3</t>
  </si>
  <si>
    <t>9.4.1.FE</t>
  </si>
  <si>
    <t>9.4.1.BE</t>
  </si>
  <si>
    <t>9.4.1.QA</t>
  </si>
  <si>
    <t>9.4.2</t>
  </si>
  <si>
    <t>Dynamic notification content - avoid repetition across similar notifications</t>
  </si>
  <si>
    <t>Daily check-ins and weekly digests can become stale fast</t>
  </si>
  <si>
    <t>Epic 4.4.2</t>
  </si>
  <si>
    <t>9.4.2.FE</t>
  </si>
  <si>
    <t>9.4.2.BE</t>
  </si>
  <si>
    <t>9.4.2.QA</t>
  </si>
  <si>
    <t>9.4.3</t>
  </si>
  <si>
    <t>Personalised notification content based on user data</t>
  </si>
  <si>
    <t>"You spent $X on coffee this week" feels different from "Weekly summary"</t>
  </si>
  <si>
    <t>Epic 4.2.3</t>
  </si>
  <si>
    <t>9.4.3.FE</t>
  </si>
  <si>
    <t>9.4.3.BE</t>
  </si>
  <si>
    <t>9.4.3.QA</t>
  </si>
  <si>
    <t>9.4.4</t>
  </si>
  <si>
    <t>Rich notification content (with images, charts, or CTAs)</t>
  </si>
  <si>
    <t>Platform-specific; increases engagement but adds complexity</t>
  </si>
  <si>
    <t>9.4.4.FE</t>
  </si>
  <si>
    <t>9.4.4.BE</t>
  </si>
  <si>
    <t>9.4.4.QA</t>
  </si>
  <si>
    <t>9.5</t>
  </si>
  <si>
    <t>Delivery Reliability &amp; Analytics</t>
  </si>
  <si>
    <t>Backlog section 9.5 from Budgie AI Product Backlog v0.3. Child feature rows below are the estimate rows.</t>
  </si>
  <si>
    <t>9.5.1</t>
  </si>
  <si>
    <t>Delivery tracking - did the notification reach the user?</t>
  </si>
  <si>
    <t>Standard push service capability</t>
  </si>
  <si>
    <t>9.1.1, Epic 14</t>
  </si>
  <si>
    <t>9.5.1.FE</t>
  </si>
  <si>
    <t>9.5.1.BE</t>
  </si>
  <si>
    <t>9.5.1.QA</t>
  </si>
  <si>
    <t>9.5.2</t>
  </si>
  <si>
    <t>Engagement tracking - did the user tap, dismiss, or ignore?</t>
  </si>
  <si>
    <t>Feedback loop for content optimisation</t>
  </si>
  <si>
    <t>9.5.1, Epic 14</t>
  </si>
  <si>
    <t>9.5.2.FE</t>
  </si>
  <si>
    <t>9.5.2.BE</t>
  </si>
  <si>
    <t>9.5.2.QA</t>
  </si>
  <si>
    <t>9.5.3</t>
  </si>
  <si>
    <t>Unsubscribe / preference-change signals</t>
  </si>
  <si>
    <t>Early warning of notification fatigue</t>
  </si>
  <si>
    <t>9.1.5, Epic 14</t>
  </si>
  <si>
    <t>9.5.3.FE</t>
  </si>
  <si>
    <t>9.5.3.BE</t>
  </si>
  <si>
    <t>9.5.3.QA</t>
  </si>
  <si>
    <t>Epic 10: Social Features</t>
  </si>
  <si>
    <t>10.1</t>
  </si>
  <si>
    <t>Social Features</t>
  </si>
  <si>
    <t>Outward Sharing (External)</t>
  </si>
  <si>
    <t>Backlog section 10.1 from Budgie AI Product Backlog v0.3. Child feature rows below are the estimate rows.</t>
  </si>
  <si>
    <t>10.1.1</t>
  </si>
  <si>
    <t>Shareable milestone card - user shares a goal hit or score improvement to external platforms (WhatsApp, Instagram, X)</t>
  </si>
  <si>
    <t>Founder confirmed as MVP - intended as a marketing/traction mechanic</t>
  </si>
  <si>
    <t>Epic 6.3.4, Epic 7.4.3</t>
  </si>
  <si>
    <t>10.1.1.FE</t>
  </si>
  <si>
    <t>10.1.1.BE</t>
  </si>
  <si>
    <t>10.1.1.QA</t>
  </si>
  <si>
    <t>10.1.2</t>
  </si>
  <si>
    <t>Pre-designed share card templates featuring Budgie's character</t>
  </si>
  <si>
    <t>Branded sharing drives brand recognition</t>
  </si>
  <si>
    <t>10.1.1, Epic 4.1.4</t>
  </si>
  <si>
    <t>10.1.2.FE</t>
  </si>
  <si>
    <t>10.1.2.BE</t>
  </si>
  <si>
    <t>10.1.2.QA</t>
  </si>
  <si>
    <t>10.1.3</t>
  </si>
  <si>
    <t>Privacy controls on shared content - nothing sensitive by default</t>
  </si>
  <si>
    <t>User shares a band or a % milestone, never raw financial numbers</t>
  </si>
  <si>
    <t>10.1.1, Epic 12</t>
  </si>
  <si>
    <t>10.1.3.FE</t>
  </si>
  <si>
    <t>10.1.3.BE</t>
  </si>
  <si>
    <t>10.1.3.QA</t>
  </si>
  <si>
    <t>10.1.4</t>
  </si>
  <si>
    <t>Referral tracking on shared content</t>
  </si>
  <si>
    <t>If sharing drives installs, measure it</t>
  </si>
  <si>
    <t>10.1.1, Epic 14</t>
  </si>
  <si>
    <t>10.1.4.FE</t>
  </si>
  <si>
    <t>10.1.4.BE</t>
  </si>
  <si>
    <t>10.1.4.QA</t>
  </si>
  <si>
    <t>10.2</t>
  </si>
  <si>
    <t>Internal Social (In-App Community)</t>
  </si>
  <si>
    <t>Backlog section 10.2 from Budgie AI Product Backlog v0.3. Child feature rows below are the estimate rows.</t>
  </si>
  <si>
    <t>10.2.1</t>
  </si>
  <si>
    <t>User profile - display name, avatar, optional bio</t>
  </si>
  <si>
    <t>Needed before any in-app social</t>
  </si>
  <si>
    <t>10.2.1.FE</t>
  </si>
  <si>
    <t>10.2.1.BE</t>
  </si>
  <si>
    <t>10.2.1.QA</t>
  </si>
  <si>
    <t>10.2.2</t>
  </si>
  <si>
    <t>Friend/connection system - users can connect with other users</t>
  </si>
  <si>
    <t>Classic social graph - significant complexity</t>
  </si>
  <si>
    <t>10.2.2.FE</t>
  </si>
  <si>
    <t>10.2.2.BE</t>
  </si>
  <si>
    <t>10.2.2.QA</t>
  </si>
  <si>
    <t>10.2.3</t>
  </si>
  <si>
    <t>In-app milestone feed - see friends' achievements</t>
  </si>
  <si>
    <t>Core community feature if pursued</t>
  </si>
  <si>
    <t>10.2.3.FE</t>
  </si>
  <si>
    <t>10.2.3.BE</t>
  </si>
  <si>
    <t>10.2.3.QA</t>
  </si>
  <si>
    <t>10.2.4</t>
  </si>
  <si>
    <t>Reactions and comments on shared milestones</t>
  </si>
  <si>
    <t>Content moderation requirements start here</t>
  </si>
  <si>
    <t>10.2.4.FE</t>
  </si>
  <si>
    <t>10.2.4.BE</t>
  </si>
  <si>
    <t>10.2.4.QA</t>
  </si>
  <si>
    <t>10.2.5</t>
  </si>
  <si>
    <t>Privacy controls on in-app social (public, friends only, off)</t>
  </si>
  <si>
    <t>Essential if any in-app social is built</t>
  </si>
  <si>
    <t>10.2.5.FE</t>
  </si>
  <si>
    <t>10.2.5.BE</t>
  </si>
  <si>
    <t>10.2.5.QA</t>
  </si>
  <si>
    <t>10.3</t>
  </si>
  <si>
    <t>Group Features</t>
  </si>
  <si>
    <t>Backlog section 10.3 from Budgie AI Product Backlog v0.3. Child feature rows below are the estimate rows.</t>
  </si>
  <si>
    <t>10.3.1</t>
  </si>
  <si>
    <t>Challenge groups (e.g. "30-day no-spend challenge")</t>
  </si>
  <si>
    <t>Potentially powerful retention mechanic</t>
  </si>
  <si>
    <t>10.3.1.FE</t>
  </si>
  <si>
    <t>10.3.1.BE</t>
  </si>
  <si>
    <t>10.3.1.QA</t>
  </si>
  <si>
    <t>10.3.2</t>
  </si>
  <si>
    <t>Shared goals across multiple users (e.g. couples, households)</t>
  </si>
  <si>
    <t>Referenced as deferred in Epic 6.3.7</t>
  </si>
  <si>
    <t>Epic 6, 10.2.2</t>
  </si>
  <si>
    <t>10.3.2.FE</t>
  </si>
  <si>
    <t>10.3.2.BE</t>
  </si>
  <si>
    <t>10.3.2.QA</t>
  </si>
  <si>
    <t>10.3.3</t>
  </si>
  <si>
    <t>Leaderboards (optional, opt-in)</t>
  </si>
  <si>
    <t>Gamification that some users love and others hate</t>
  </si>
  <si>
    <t>10.3.3.FE</t>
  </si>
  <si>
    <t>10.3.3.BE</t>
  </si>
  <si>
    <t>10.3.3.QA</t>
  </si>
  <si>
    <t>10.4</t>
  </si>
  <si>
    <t>Content Moderation &amp; Safety</t>
  </si>
  <si>
    <t>Backlog section 10.4 from Budgie AI Product Backlog v0.3. Child feature rows below are the estimate rows.</t>
  </si>
  <si>
    <t>10.4.1</t>
  </si>
  <si>
    <t>Reporting mechanism for inappropriate user content</t>
  </si>
  <si>
    <t>Required the moment user-generated content exists</t>
  </si>
  <si>
    <t>10.4.1.FE</t>
  </si>
  <si>
    <t>10.4.1.BE</t>
  </si>
  <si>
    <t>10.4.1.QA</t>
  </si>
  <si>
    <t>10.4.2</t>
  </si>
  <si>
    <t>Automated content moderation for user-posted text</t>
  </si>
  <si>
    <t>Manual moderation doesn't scale</t>
  </si>
  <si>
    <t>10.4.2.FE</t>
  </si>
  <si>
    <t>10.4.2.BE</t>
  </si>
  <si>
    <t>10.4.2.QA</t>
  </si>
  <si>
    <t>10.4.3</t>
  </si>
  <si>
    <t>Block / mute other users</t>
  </si>
  <si>
    <t>Standard social safety feature</t>
  </si>
  <si>
    <t>10.4.3.FE</t>
  </si>
  <si>
    <t>10.4.3.BE</t>
  </si>
  <si>
    <t>10.4.3.QA</t>
  </si>
  <si>
    <t>10.5</t>
  </si>
  <si>
    <t>Architectural Foundations (MVP)</t>
  </si>
  <si>
    <t>Backlog section 10.5 from Budgie AI Product Backlog v0.3. Child feature rows below are the estimate rows.</t>
  </si>
  <si>
    <t>10.5.1</t>
  </si>
  <si>
    <t>User identity model designed to support future display name and avatar</t>
  </si>
  <si>
    <t>Avoid having to rebuild identity when social arrives</t>
  </si>
  <si>
    <t>10.5.1.FE</t>
  </si>
  <si>
    <t>10.5.1.BE</t>
  </si>
  <si>
    <t>10.5.1.QA</t>
  </si>
  <si>
    <t>10.5.2</t>
  </si>
  <si>
    <t>Privacy model flexible enough to accommodate "share-able" vs "personal-only" data classification</t>
  </si>
  <si>
    <t>Data architecture decision with long-lived implications</t>
  </si>
  <si>
    <t>10.5.2.FE</t>
  </si>
  <si>
    <t>10.5.2.BE</t>
  </si>
  <si>
    <t>10.5.2.QA</t>
  </si>
  <si>
    <t>Epic 11: Pricing &amp; Subscription</t>
  </si>
  <si>
    <t>11.1</t>
  </si>
  <si>
    <t>Pricing &amp; Subscription</t>
  </si>
  <si>
    <t>Tier Definition &amp; Entitlements</t>
  </si>
  <si>
    <t>Backlog section 11.1 from Budgie AI Product Backlog v0.3. Child feature rows below are the estimate rows.</t>
  </si>
  <si>
    <t>11.1.1</t>
  </si>
  <si>
    <t>Define features and usage limits per tier (Free, Basic, Premium)</t>
  </si>
  <si>
    <t>First tier decision confirmed: **Free tier includes unlimited bank and crypto connections** to maximise stickiness. Paid tiers add advanced budgeting, deeper AI coaching, and scenario planning. Full tier definition still required.</t>
  </si>
  <si>
    <t>11.1.1.FE</t>
  </si>
  <si>
    <t>11.1.1.BE</t>
  </si>
  <si>
    <t>11.1.1.QA</t>
  </si>
  <si>
    <t>11.1.2</t>
  </si>
  <si>
    <t>Document tier boundaries in a single source of truth</t>
  </si>
  <si>
    <t>Must be referenced by every feature that has tier-dependent behaviour</t>
  </si>
  <si>
    <t>11.1.2.FE</t>
  </si>
  <si>
    <t>11.1.2.BE</t>
  </si>
  <si>
    <t>11.1.2.QA</t>
  </si>
  <si>
    <t>11.1.3</t>
  </si>
  <si>
    <t>Entitlement system - runtime check of what the current user is allowed to do</t>
  </si>
  <si>
    <t>Foundational; every feature checks this</t>
  </si>
  <si>
    <t>11.1.3.FE</t>
  </si>
  <si>
    <t>11.1.3.BE</t>
  </si>
  <si>
    <t>11.1.3.QA</t>
  </si>
  <si>
    <t>11.1.4</t>
  </si>
  <si>
    <t>Graceful degradation when a user hits a tier limit (upgrade prompt, not a dead end)</t>
  </si>
  <si>
    <t>Conversion moment - must feel helpful, not punitive</t>
  </si>
  <si>
    <t>11.1.4.FE</t>
  </si>
  <si>
    <t>11.1.4.BE</t>
  </si>
  <si>
    <t>11.1.4.QA</t>
  </si>
  <si>
    <t>11.2</t>
  </si>
  <si>
    <t>Payment &amp; Subscription Integration</t>
  </si>
  <si>
    <t>Backlog section 11.2 from Budgie AI Product Backlog v0.3. Child feature rows below are the estimate rows.</t>
  </si>
  <si>
    <t>11.2.1</t>
  </si>
  <si>
    <t>Integrate Apple In-App Purchase for iOS</t>
  </si>
  <si>
    <t>Required by Apple for subscriptions; no alternative</t>
  </si>
  <si>
    <t>11.2.1.FE</t>
  </si>
  <si>
    <t>11.2.1.BE</t>
  </si>
  <si>
    <t>11.2.1.QA</t>
  </si>
  <si>
    <t>11.2.2</t>
  </si>
  <si>
    <t>Integrate Google Play Billing for Android</t>
  </si>
  <si>
    <t>Required by Google for subscriptions</t>
  </si>
  <si>
    <t>11.2.2.FE</t>
  </si>
  <si>
    <t>11.2.2.BE</t>
  </si>
  <si>
    <t>11.2.2.QA</t>
  </si>
  <si>
    <t>11.2.3</t>
  </si>
  <si>
    <t>Use a subscription management platform (e.g. RevenueCat) to unify iOS and Android subscription state</t>
  </si>
  <si>
    <t>Strongly recommended - building subscription management in-house is a tax with no reward</t>
  </si>
  <si>
    <t>11.2.1, 11.2.2</t>
  </si>
  <si>
    <t>11.2.3.FE</t>
  </si>
  <si>
    <t>11.2.3.BE</t>
  </si>
  <si>
    <t>11.2.3.QA</t>
  </si>
  <si>
    <t>11.2.4</t>
  </si>
  <si>
    <t>Server-side subscription validation</t>
  </si>
  <si>
    <t>Prevents client-side spoofing; standard practice</t>
  </si>
  <si>
    <t>11.2.4.FE</t>
  </si>
  <si>
    <t>11.2.4.BE</t>
  </si>
  <si>
    <t>11.2.4.QA</t>
  </si>
  <si>
    <t>11.3</t>
  </si>
  <si>
    <t>Free Trial</t>
  </si>
  <si>
    <t>Backlog section 11.3 from Budgie AI Product Backlog v0.3. Child feature rows below are the estimate rows.</t>
  </si>
  <si>
    <t>11.3.1</t>
  </si>
  <si>
    <t>Time-bounded free trial (e.g. 7 or 14 days of Premium features)</t>
  </si>
  <si>
    <t>Founder described a trial model (Market Discovery 9.1)</t>
  </si>
  <si>
    <t>11.1.3, 11.2.3</t>
  </si>
  <si>
    <t>11.3.1.FE</t>
  </si>
  <si>
    <t>11.3.1.BE</t>
  </si>
  <si>
    <t>11.3.1.QA</t>
  </si>
  <si>
    <t>11.3.2</t>
  </si>
  <si>
    <t>Trial expiry handling - auto-downgrade to Basic/Free with notification</t>
  </si>
  <si>
    <t>Communication is critical here - surprise cancellations cause churn</t>
  </si>
  <si>
    <t>11.3.1, Epic 9</t>
  </si>
  <si>
    <t>11.3.2.FE</t>
  </si>
  <si>
    <t>11.3.2.BE</t>
  </si>
  <si>
    <t>11.3.2.QA</t>
  </si>
  <si>
    <t>11.3.3</t>
  </si>
  <si>
    <t>Trial recovery flow - user can upgrade before trial ends</t>
  </si>
  <si>
    <t>Conversion optimisation</t>
  </si>
  <si>
    <t>11.3.3.FE</t>
  </si>
  <si>
    <t>11.3.3.BE</t>
  </si>
  <si>
    <t>11.3.3.QA</t>
  </si>
  <si>
    <t>11.4</t>
  </si>
  <si>
    <t>Subscription Lifecycle Management</t>
  </si>
  <si>
    <t>Backlog section 11.4 from Budgie AI Product Backlog v0.3. Child feature rows below are the estimate rows.</t>
  </si>
  <si>
    <t>11.4.1</t>
  </si>
  <si>
    <t>Upgrade flow - user moves from Free/Basic to Premium</t>
  </si>
  <si>
    <t>Must be friction-free at the moment of intent</t>
  </si>
  <si>
    <t>11.4.1.FE</t>
  </si>
  <si>
    <t>11.4.1.BE</t>
  </si>
  <si>
    <t>11.4.1.QA</t>
  </si>
  <si>
    <t>11.4.2</t>
  </si>
  <si>
    <t>Downgrade flow - user steps down a tier</t>
  </si>
  <si>
    <t>Less common but must work; handle data/feature access gracefully</t>
  </si>
  <si>
    <t>11.4.2.FE</t>
  </si>
  <si>
    <t>11.4.2.BE</t>
  </si>
  <si>
    <t>11.4.2.QA</t>
  </si>
  <si>
    <t>11.4.3</t>
  </si>
  <si>
    <t>Cancellation flow - standard cancellation with retention offer</t>
  </si>
  <si>
    <t>Both platforms require easy cancellation; retention offers allowed</t>
  </si>
  <si>
    <t>11.4.3.FE</t>
  </si>
  <si>
    <t>11.4.3.BE</t>
  </si>
  <si>
    <t>11.4.3.QA</t>
  </si>
  <si>
    <t>11.4.4</t>
  </si>
  <si>
    <t>Payment failure handling (dunning)</t>
  </si>
  <si>
    <t>Subscriptions fail - cards expire, payments decline. Needs thoughtful user comms.</t>
  </si>
  <si>
    <t>11.4.4.FE</t>
  </si>
  <si>
    <t>11.4.4.BE</t>
  </si>
  <si>
    <t>11.4.4.QA</t>
  </si>
  <si>
    <t>11.4.5</t>
  </si>
  <si>
    <t>Subscription status visible to user in-app</t>
  </si>
  <si>
    <t>Trust and transparency</t>
  </si>
  <si>
    <t>11.4.5.FE</t>
  </si>
  <si>
    <t>11.4.5.BE</t>
  </si>
  <si>
    <t>11.4.5.QA</t>
  </si>
  <si>
    <t>11.5</t>
  </si>
  <si>
    <t>Pricing Strategy &amp; Display</t>
  </si>
  <si>
    <t>Backlog section 11.5 from Budgie AI Product Backlog v0.3. Child feature rows below are the estimate rows.</t>
  </si>
  <si>
    <t>11.5.1</t>
  </si>
  <si>
    <t>Pricing page / paywall screen</t>
  </si>
  <si>
    <t>Where the upgrade conversion happens - high design investment</t>
  </si>
  <si>
    <t>11.5.1.FE</t>
  </si>
  <si>
    <t>11.5.1.BE</t>
  </si>
  <si>
    <t>11.5.1.QA</t>
  </si>
  <si>
    <t>11.5.2</t>
  </si>
  <si>
    <t>Support for regional pricing</t>
  </si>
  <si>
    <t>Useful when expanding to HK / EU / US; not strictly MVP</t>
  </si>
  <si>
    <t>11.5.2.FE</t>
  </si>
  <si>
    <t>11.5.2.BE</t>
  </si>
  <si>
    <t>11.5.2.QA</t>
  </si>
  <si>
    <t>11.5.3</t>
  </si>
  <si>
    <t>Support for annual plans with discount</t>
  </si>
  <si>
    <t>Improves LTV and reduces churn - common pattern</t>
  </si>
  <si>
    <t>11.5.3.FE</t>
  </si>
  <si>
    <t>11.5.3.BE</t>
  </si>
  <si>
    <t>11.5.3.QA</t>
  </si>
  <si>
    <t>11.5.4</t>
  </si>
  <si>
    <t>Promotional pricing / coupon codes</t>
  </si>
  <si>
    <t>Useful for marketing campaigns post-launch</t>
  </si>
  <si>
    <t>11.5.4.FE</t>
  </si>
  <si>
    <t>11.5.4.BE</t>
  </si>
  <si>
    <t>11.5.4.QA</t>
  </si>
  <si>
    <t>11.6</t>
  </si>
  <si>
    <t>Revenue Tracking &amp; Analytics</t>
  </si>
  <si>
    <t>Backlog section 11.6 from Budgie AI Product Backlog v0.3. Child feature rows below are the estimate rows.</t>
  </si>
  <si>
    <t>11.6.1</t>
  </si>
  <si>
    <t>Revenue dashboards - MRR, ARR, conversion, churn</t>
  </si>
  <si>
    <t>Essential for founder and investors</t>
  </si>
  <si>
    <t>11.2.3, Epic 14</t>
  </si>
  <si>
    <t>11.6.1.FE</t>
  </si>
  <si>
    <t>11.6.1.BE</t>
  </si>
  <si>
    <t>11.6.1.QA</t>
  </si>
  <si>
    <t>11.6.2</t>
  </si>
  <si>
    <t>Cohort analysis - retention and revenue by cohort</t>
  </si>
  <si>
    <t>Required for meaningful unit economics discussion</t>
  </si>
  <si>
    <t>11.6.1, Epic 14</t>
  </si>
  <si>
    <t>11.6.3</t>
  </si>
  <si>
    <t>Integration with RevenueCat dashboards or equivalent</t>
  </si>
  <si>
    <t>Near-free if using RevenueCat</t>
  </si>
  <si>
    <t>Epic 12: Data &amp; Privacy Infrastructure</t>
  </si>
  <si>
    <t>12.1</t>
  </si>
  <si>
    <t>Data &amp; Privacy Infrastructure</t>
  </si>
  <si>
    <t>Identity &amp; Account Infrastructure</t>
  </si>
  <si>
    <t>Backlog section 12.1 from Budgie AI Product Backlog v0.3. Child feature rows below are the estimate rows.</t>
  </si>
  <si>
    <t>12.1.1</t>
  </si>
  <si>
    <t>User account creation and authentication</t>
  </si>
  <si>
    <t>Google and Apple social login only for MVP - no username/password or phone number. Reduces complexity, ties to verified identities for potential KYC, eliminates password management</t>
  </si>
  <si>
    <t>12.1.1.FE</t>
  </si>
  <si>
    <t>12.1.1.BE</t>
  </si>
  <si>
    <t>12.1.1.QA</t>
  </si>
  <si>
    <t>12.1.2</t>
  </si>
  <si>
    <t>Secure token/session storage for social login credentials</t>
  </si>
  <si>
    <t>Standard but non-negotiable</t>
  </si>
  <si>
    <t>12.1.2.FE</t>
  </si>
  <si>
    <t>12.1.2.BE</t>
  </si>
  <si>
    <t>12.1.2.QA</t>
  </si>
  <si>
    <t>12.1.3</t>
  </si>
  <si>
    <t>Multi-factor authentication (MFA)</t>
  </si>
  <si>
    <t>Table stakes for financial apps - users expect it and regulators favour it</t>
  </si>
  <si>
    <t>12.1.3.FE</t>
  </si>
  <si>
    <t>12.1.3.BE</t>
  </si>
  <si>
    <t>12.1.3.QA</t>
  </si>
  <si>
    <t>12.1.4</t>
  </si>
  <si>
    <t>Session management and token refresh</t>
  </si>
  <si>
    <t>Balance security (short sessions) and UX (not constantly re-authenticating)</t>
  </si>
  <si>
    <t>12.1.4.FE</t>
  </si>
  <si>
    <t>12.1.4.BE</t>
  </si>
  <si>
    <t>12.1.4.QA</t>
  </si>
  <si>
    <t>12.1.5</t>
  </si>
  <si>
    <t>Account recovery flows (social login re-authentication)</t>
  </si>
  <si>
    <t>Simplified by social login - no password reset needed</t>
  </si>
  <si>
    <t>12.1.5.FE</t>
  </si>
  <si>
    <t>12.1.5.BE</t>
  </si>
  <si>
    <t>12.1.5.QA</t>
  </si>
  <si>
    <t>12.1.6</t>
  </si>
  <si>
    <t>Device management - user can see and revoke active devices</t>
  </si>
  <si>
    <t>Good security hygiene feature; not MVP-blocking</t>
  </si>
  <si>
    <t>12.1.6.FE</t>
  </si>
  <si>
    <t>12.1.6.BE</t>
  </si>
  <si>
    <t>12.1.6.QA</t>
  </si>
  <si>
    <t>12.2</t>
  </si>
  <si>
    <t>Data Storage Architecture</t>
  </si>
  <si>
    <t>Backlog section 12.2 from Budgie AI Product Backlog v0.3. Child feature rows below are the estimate rows.</t>
  </si>
  <si>
    <t>12.2.1</t>
  </si>
  <si>
    <t>Decide data residency strategy - where user data is stored physically</t>
  </si>
  <si>
    <t>Market Discovery 13.2.3 - must be decided before any build</t>
  </si>
  <si>
    <t>Legal review</t>
  </si>
  <si>
    <t>12.2.1.FE</t>
  </si>
  <si>
    <t>12.2.1.BE</t>
  </si>
  <si>
    <t>12.2.1.QA</t>
  </si>
  <si>
    <t>12.2.2</t>
  </si>
  <si>
    <t>Encryption at rest for all user data</t>
  </si>
  <si>
    <t>Industry standard; regulatory expectation</t>
  </si>
  <si>
    <t>12.2.2.FE</t>
  </si>
  <si>
    <t>12.2.2.BE</t>
  </si>
  <si>
    <t>12.2.2.QA</t>
  </si>
  <si>
    <t>12.2.3</t>
  </si>
  <si>
    <t>Encryption in transit (TLS everywhere)</t>
  </si>
  <si>
    <t>Standard for any modern app</t>
  </si>
  <si>
    <t>12.2.3.FE</t>
  </si>
  <si>
    <t>12.2.3.BE</t>
  </si>
  <si>
    <t>12.2.3.QA</t>
  </si>
  <si>
    <t>12.2.4</t>
  </si>
  <si>
    <t>Separation of sensitive data (financial details, PII) from less-sensitive operational data</t>
  </si>
  <si>
    <t>Architectural decision; enables finer-grained access control and audit</t>
  </si>
  <si>
    <t>12.2.4.FE</t>
  </si>
  <si>
    <t>12.2.4.BE</t>
  </si>
  <si>
    <t>12.2.4.QA</t>
  </si>
  <si>
    <t>12.2.5</t>
  </si>
  <si>
    <t>Backup and disaster recovery</t>
  </si>
  <si>
    <t>Financial data loss is catastrophic</t>
  </si>
  <si>
    <t>12.2.5.FE</t>
  </si>
  <si>
    <t>12.2.5.BE</t>
  </si>
  <si>
    <t>12.2.5.QA</t>
  </si>
  <si>
    <t>12.2.6</t>
  </si>
  <si>
    <t>Key management for encryption keys</t>
  </si>
  <si>
    <t>Where keys live matters - typically a managed service (AWS KMS, GCP KMS)</t>
  </si>
  <si>
    <t>12.2.6.FE</t>
  </si>
  <si>
    <t>12.2.6.BE</t>
  </si>
  <si>
    <t>12.2.6.QA</t>
  </si>
  <si>
    <t>12.3</t>
  </si>
  <si>
    <t>Consent Management</t>
  </si>
  <si>
    <t>Backlog section 12.3 from Budgie AI Product Backlog v0.3. Child feature rows below are the estimate rows.</t>
  </si>
  <si>
    <t>12.3.1</t>
  </si>
  <si>
    <t>Granular consent flows - separate consents for core product, AI processing, and marketing. Data monetisation consent deferred to v1.1 but the consent architecture should be designed to support it without rework</t>
  </si>
  <si>
    <t>Market Discovery 13.2.1 - data monetisation confirmed not MVP (Market Discovery 9.3)</t>
  </si>
  <si>
    <t>12.3.1.FE</t>
  </si>
  <si>
    <t>12.3.1.BE</t>
  </si>
  <si>
    <t>12.3.1.QA</t>
  </si>
  <si>
    <t>12.3.2</t>
  </si>
  <si>
    <t>Consent state storage and history</t>
  </si>
  <si>
    <t>Auditable record of what the user agreed to and when</t>
  </si>
  <si>
    <t>12.3.2.FE</t>
  </si>
  <si>
    <t>12.3.2.BE</t>
  </si>
  <si>
    <t>12.3.2.QA</t>
  </si>
  <si>
    <t>12.3.3</t>
  </si>
  <si>
    <t>Consent withdrawal mechanism - user can revoke any specific consent</t>
  </si>
  <si>
    <t>Required by PDPA/PDPO; not just an "unsubscribe" button</t>
  </si>
  <si>
    <t>12.3.3.FE</t>
  </si>
  <si>
    <t>12.3.3.BE</t>
  </si>
  <si>
    <t>12.3.3.QA</t>
  </si>
  <si>
    <t>12.3.4</t>
  </si>
  <si>
    <t>Downstream enforcement - systems respect current consent state in real time</t>
  </si>
  <si>
    <t>A user who revokes ad-targeting consent must immediately stop being targeted</t>
  </si>
  <si>
    <t>12.3.4.FE</t>
  </si>
  <si>
    <t>12.3.4.BE</t>
  </si>
  <si>
    <t>12.3.4.QA</t>
  </si>
  <si>
    <t>12.3.5</t>
  </si>
  <si>
    <t>Consent prompts at relevant moments (in-app context, not just onboarding)</t>
  </si>
  <si>
    <t>Contextual consent for AI processing, account connections, etc.</t>
  </si>
  <si>
    <t>12.3.5.FE</t>
  </si>
  <si>
    <t>12.3.5.BE</t>
  </si>
  <si>
    <t>12.3.5.QA</t>
  </si>
  <si>
    <t>12.4</t>
  </si>
  <si>
    <t>User Data Rights</t>
  </si>
  <si>
    <t>Backlog section 12.4 from Budgie AI Product Backlog v0.3. Child feature rows below are the estimate rows.</t>
  </si>
  <si>
    <t>12.4.1</t>
  </si>
  <si>
    <t>User can view all personal data Budgie holds</t>
  </si>
  <si>
    <t>PDPA/PDPO access right</t>
  </si>
  <si>
    <t>12.4.1.FE</t>
  </si>
  <si>
    <t>12.4.1.BE</t>
  </si>
  <si>
    <t>12.4.1.QA</t>
  </si>
  <si>
    <t>12.4.2</t>
  </si>
  <si>
    <t>User can export their data in a portable format (JSON/CSV)</t>
  </si>
  <si>
    <t>Data portability; good practice even where not mandated</t>
  </si>
  <si>
    <t>12.4.2.FE</t>
  </si>
  <si>
    <t>12.4.2.BE</t>
  </si>
  <si>
    <t>12.4.2.QA</t>
  </si>
  <si>
    <t>12.4.3</t>
  </si>
  <si>
    <t>User can correct their personal data</t>
  </si>
  <si>
    <t>Required by PDPA/PDPO</t>
  </si>
  <si>
    <t>12.4.3.FE</t>
  </si>
  <si>
    <t>12.4.3.BE</t>
  </si>
  <si>
    <t>12.4.3.QA</t>
  </si>
  <si>
    <t>12.4.4</t>
  </si>
  <si>
    <t>User can delete their account and all associated data</t>
  </si>
  <si>
    <t>Market Discovery 13.2.5 - "all data" must really mean all data</t>
  </si>
  <si>
    <t>12.2.4, 12.5</t>
  </si>
  <si>
    <t>12.4.4.FE</t>
  </si>
  <si>
    <t>12.4.4.BE</t>
  </si>
  <si>
    <t>12.4.4.QA</t>
  </si>
  <si>
    <t>12.4.5</t>
  </si>
  <si>
    <t>Verifiable deletion including third-party data (LLM providers, data processors)</t>
  </si>
  <si>
    <t>Harder than it sounds - must chase deletion downstream</t>
  </si>
  <si>
    <t>12.4.5.FE</t>
  </si>
  <si>
    <t>12.4.5.BE</t>
  </si>
  <si>
    <t>12.4.5.QA</t>
  </si>
  <si>
    <t>12.5</t>
  </si>
  <si>
    <t>Third-Party Data Handling</t>
  </si>
  <si>
    <t>Backlog section 12.5 from Budgie AI Product Backlog v0.3. Child feature rows below are the estimate rows.</t>
  </si>
  <si>
    <t>12.5.1</t>
  </si>
  <si>
    <t>Document all data processors (Finverse, LLM providers, payment processors, analytics)</t>
  </si>
  <si>
    <t>Required for transparency and privacy policy</t>
  </si>
  <si>
    <t>12.5.1.FE</t>
  </si>
  <si>
    <t>12.5.1.BE</t>
  </si>
  <si>
    <t>12.5.1.QA</t>
  </si>
  <si>
    <t>12.5.2</t>
  </si>
  <si>
    <t>Data processing agreements (DPAs) with all third-party processors</t>
  </si>
  <si>
    <t>Contractual compliance</t>
  </si>
  <si>
    <t>12.5.1, Legal review</t>
  </si>
  <si>
    <t>12.5.2.FE</t>
  </si>
  <si>
    <t>12.5.2.BE</t>
  </si>
  <si>
    <t>12.5.2.QA</t>
  </si>
  <si>
    <t>12.5.3</t>
  </si>
  <si>
    <t>Verify LLM provider data retention and training policies meet our consent model</t>
  </si>
  <si>
    <t>Market Discovery 13.2.4 - a key unresolved question</t>
  </si>
  <si>
    <t>12.5.1, Epic 4.2.1</t>
  </si>
  <si>
    <t>12.5.3.FE</t>
  </si>
  <si>
    <t>12.5.3.BE</t>
  </si>
  <si>
    <t>12.5.3.QA</t>
  </si>
  <si>
    <t>12.5.4</t>
  </si>
  <si>
    <t>Anonymisation or pseudonymisation of data sent to AI processing</t>
  </si>
  <si>
    <t>Reduces exposure even if provider policies change</t>
  </si>
  <si>
    <t>12.5.4.FE</t>
  </si>
  <si>
    <t>12.5.4.BE</t>
  </si>
  <si>
    <t>12.5.4.QA</t>
  </si>
  <si>
    <t>12.6</t>
  </si>
  <si>
    <t>Security Operations</t>
  </si>
  <si>
    <t>Backlog section 12.6 from Budgie AI Product Backlog v0.3. Child feature rows below are the estimate rows.</t>
  </si>
  <si>
    <t>12.6.1</t>
  </si>
  <si>
    <t>Audit logging of sensitive operations (logins, data access, data changes, deletions)</t>
  </si>
  <si>
    <t>Required for incident investigation and regulatory audit</t>
  </si>
  <si>
    <t>12.6.1.FE</t>
  </si>
  <si>
    <t>12.6.1.BE</t>
  </si>
  <si>
    <t>12.6.1.QA</t>
  </si>
  <si>
    <t>12.6.2</t>
  </si>
  <si>
    <t>Access control model for internal team (least privilege, role-based)</t>
  </si>
  <si>
    <t>Day-one discipline; much harder to retrofit</t>
  </si>
  <si>
    <t>12.6.2.FE</t>
  </si>
  <si>
    <t>12.6.2.BE</t>
  </si>
  <si>
    <t>12.6.2.QA</t>
  </si>
  <si>
    <t>12.6.3</t>
  </si>
  <si>
    <t>Incident response plan and runbooks</t>
  </si>
  <si>
    <t>Required by PDPA/PDPO for breach notification</t>
  </si>
  <si>
    <t>12.6.3.FE</t>
  </si>
  <si>
    <t>12.6.3.BE</t>
  </si>
  <si>
    <t>12.6.3.QA</t>
  </si>
  <si>
    <t>12.6.4</t>
  </si>
  <si>
    <t>Security monitoring and alerting</t>
  </si>
  <si>
    <t>Detect unusual access or anomalies</t>
  </si>
  <si>
    <t>12.6.4.FE</t>
  </si>
  <si>
    <t>12.6.4.BE</t>
  </si>
  <si>
    <t>12.6.4.QA</t>
  </si>
  <si>
    <t>12.6.5</t>
  </si>
  <si>
    <t>Penetration testing pre-launch</t>
  </si>
  <si>
    <t>Not cheap; outsourced to security firm</t>
  </si>
  <si>
    <t>Build complete</t>
  </si>
  <si>
    <t>12.6.5.FE</t>
  </si>
  <si>
    <t>12.6.5.BE</t>
  </si>
  <si>
    <t>12.6.5.QA</t>
  </si>
  <si>
    <t>12.6.6</t>
  </si>
  <si>
    <t>Ongoing security review cadence</t>
  </si>
  <si>
    <t>Annual or per-release</t>
  </si>
  <si>
    <t>12.6.6.FE</t>
  </si>
  <si>
    <t>12.6.6.BE</t>
  </si>
  <si>
    <t>12.6.6.QA</t>
  </si>
  <si>
    <t>Epic 13</t>
  </si>
  <si>
    <t>13.1</t>
  </si>
  <si>
    <t>Compliance &amp; Regulatory</t>
  </si>
  <si>
    <t>Corporate Entity &amp; Foundational Setup</t>
  </si>
  <si>
    <t>Backlog section 13.1 from Budgie AI Product Backlog v0.3. Child feature rows below are the estimate rows.</t>
  </si>
  <si>
    <t>13.1.1</t>
  </si>
  <si>
    <t>Confirm or establish legal entity for Budgie</t>
  </si>
  <si>
    <t>Blocking prerequisite (Market Discovery 13.5)</t>
  </si>
  <si>
    <t>Founder / Legal</t>
  </si>
  <si>
    <t>13.1.1.FE</t>
  </si>
  <si>
    <t>13.1.1.BE</t>
  </si>
  <si>
    <t>13.1.1.QA</t>
  </si>
  <si>
    <t>13.1.2</t>
  </si>
  <si>
    <t>Register entity for applicable business activities in chosen jurisdiction</t>
  </si>
  <si>
    <t>Depends on jurisdiction choice</t>
  </si>
  <si>
    <t>13.1.2.FE</t>
  </si>
  <si>
    <t>13.1.2.BE</t>
  </si>
  <si>
    <t>13.1.2.QA</t>
  </si>
  <si>
    <t>13.1.3</t>
  </si>
  <si>
    <t>Obtain professional indemnity / product liability insurance</t>
  </si>
  <si>
    <t>Protects against AI guidance disputes (Market Discovery 13.3)</t>
  </si>
  <si>
    <t>13.1.3.FE</t>
  </si>
  <si>
    <t>13.1.3.BE</t>
  </si>
  <si>
    <t>13.1.3.QA</t>
  </si>
  <si>
    <t>13.1.4</t>
  </si>
  <si>
    <t>Appoint a Data Protection Officer or equivalent</t>
  </si>
  <si>
    <t>PDPA requirement for most entities</t>
  </si>
  <si>
    <t>13.1.4.FE</t>
  </si>
  <si>
    <t>13.1.4.BE</t>
  </si>
  <si>
    <t>13.1.4.QA</t>
  </si>
  <si>
    <t>13.2</t>
  </si>
  <si>
    <t>Regulatory Engagement</t>
  </si>
  <si>
    <t>Backlog section 13.2 from Budgie AI Product Backlog v0.3. Child feature rows below are the estimate rows.</t>
  </si>
  <si>
    <t>13.2.1</t>
  </si>
  <si>
    <t>Legal review of MVP feature set against MAS Financial Advisers Act</t>
  </si>
  <si>
    <t>Critical - determines what features are safe to launch</t>
  </si>
  <si>
    <t>Legal counsel</t>
  </si>
  <si>
    <t>13.2.1.FE</t>
  </si>
  <si>
    <t>13.2.1.BE</t>
  </si>
  <si>
    <t>13.2.1.QA</t>
  </si>
  <si>
    <t>13.2.2</t>
  </si>
  <si>
    <t>Informal or formal engagement with MAS</t>
  </si>
  <si>
    <t>Market Discovery 13.1.1 recommends this</t>
  </si>
  <si>
    <t>13.2.2.FE</t>
  </si>
  <si>
    <t>13.2.2.BE</t>
  </si>
  <si>
    <t>13.2.2.QA</t>
  </si>
  <si>
    <t>13.2.3</t>
  </si>
  <si>
    <t>Evaluate MAS Sandbox as a launch vehicle</t>
  </si>
  <si>
    <t>Provides controlled environment for novel fintech products</t>
  </si>
  <si>
    <t>13.2.3.FE</t>
  </si>
  <si>
    <t>13.2.3.BE</t>
  </si>
  <si>
    <t>13.2.3.QA</t>
  </si>
  <si>
    <t>13.2.4</t>
  </si>
  <si>
    <t>Pre-launch legal review of Hong Kong entry requirements</t>
  </si>
  <si>
    <t>Hong Kong launch is post-MVP but warrants early assessment</t>
  </si>
  <si>
    <t>13.2.4.FE</t>
  </si>
  <si>
    <t>13.2.4.BE</t>
  </si>
  <si>
    <t>13.2.4.QA</t>
  </si>
  <si>
    <t>13.3</t>
  </si>
  <si>
    <t>Terms of Service &amp; Disclaimers</t>
  </si>
  <si>
    <t>Backlog section 13.3 from Budgie AI Product Backlog v0.3. Child feature rows below are the estimate rows.</t>
  </si>
  <si>
    <t>13.3.1</t>
  </si>
  <si>
    <t>Draft terms of service with clear non-advisory disclaimers</t>
  </si>
  <si>
    <t>Market Discovery 13.3.2 - accessible, not buried</t>
  </si>
  <si>
    <t>13.3.1.FE</t>
  </si>
  <si>
    <t>13.3.1.BE</t>
  </si>
  <si>
    <t>13.3.1.QA</t>
  </si>
  <si>
    <t>13.3.2</t>
  </si>
  <si>
    <t>Draft privacy policy aligned with PDPA and PDPO</t>
  </si>
  <si>
    <t>Mandatory for app store submission</t>
  </si>
  <si>
    <t>Epic 12, Legal counsel</t>
  </si>
  <si>
    <t>13.3.2.FE</t>
  </si>
  <si>
    <t>13.3.2.BE</t>
  </si>
  <si>
    <t>13.3.2.QA</t>
  </si>
  <si>
    <t>13.3.3</t>
  </si>
  <si>
    <t>In-app presentation of terms and privacy at signup (clear, not buried)</t>
  </si>
  <si>
    <t>Record of acceptance with timestamp</t>
  </si>
  <si>
    <t>13.3.1, 13.3.2</t>
  </si>
  <si>
    <t>13.3.3.FE</t>
  </si>
  <si>
    <t>13.3.3.BE</t>
  </si>
  <si>
    <t>13.3.3.QA</t>
  </si>
  <si>
    <t>13.3.4</t>
  </si>
  <si>
    <t>Re-consent flow when terms materially change</t>
  </si>
  <si>
    <t>Standard practice</t>
  </si>
  <si>
    <t>13.3.1, Epic 9</t>
  </si>
  <si>
    <t>13.3.4.FE</t>
  </si>
  <si>
    <t>13.3.4.BE</t>
  </si>
  <si>
    <t>13.3.4.QA</t>
  </si>
  <si>
    <t>13.3.5</t>
  </si>
  <si>
    <t>In-context disclaimers at high-risk moments (e.g. scenario planning, AI suggestions)</t>
  </si>
  <si>
    <t>Disclaimers should appear where they matter, not only on signup</t>
  </si>
  <si>
    <t>Epic 4, Epic 8</t>
  </si>
  <si>
    <t>13.3.5.FE</t>
  </si>
  <si>
    <t>13.3.5.BE</t>
  </si>
  <si>
    <t>13.3.5.QA</t>
  </si>
  <si>
    <t>13.4</t>
  </si>
  <si>
    <t>AI Behaviour &amp; Advisory Boundary</t>
  </si>
  <si>
    <t>Backlog section 13.4 from Budgie AI Product Backlog v0.3. Child feature rows below are the estimate rows.</t>
  </si>
  <si>
    <t>13.4.1</t>
  </si>
  <si>
    <t>Document AI behavioural boundaries - what Budgie will and won't say</t>
  </si>
  <si>
    <t>Maps to regulatory grey/red zones (Market Discovery 13.1.3)</t>
  </si>
  <si>
    <t>Epic 4.1.3, Legal counsel</t>
  </si>
  <si>
    <t>13.4.1.FE</t>
  </si>
  <si>
    <t>13.4.1.BE</t>
  </si>
  <si>
    <t>13.4.1.QA</t>
  </si>
  <si>
    <t>13.4.2</t>
  </si>
  <si>
    <t>Guardrails enforcement in AI responses</t>
  </si>
  <si>
    <t>Technical enforcement of 13.4.1</t>
  </si>
  <si>
    <t>Epic 4.2.4</t>
  </si>
  <si>
    <t>13.4.2.FE</t>
  </si>
  <si>
    <t>13.4.2.BE</t>
  </si>
  <si>
    <t>13.4.2.QA</t>
  </si>
  <si>
    <t>13.4.3</t>
  </si>
  <si>
    <t>Graceful refusal and redirect for out-of-scope queries</t>
  </si>
  <si>
    <t>When user asks for advice Budgie can't give</t>
  </si>
  <si>
    <t>13.4.2, Epic 8.2.6</t>
  </si>
  <si>
    <t>13.4.3.FE</t>
  </si>
  <si>
    <t>13.4.3.BE</t>
  </si>
  <si>
    <t>13.4.3.QA</t>
  </si>
  <si>
    <t>13.4.4</t>
  </si>
  <si>
    <t>AI interaction audit log for regulatory review and dispute resolution</t>
  </si>
  <si>
    <t>Cross-epic capability</t>
  </si>
  <si>
    <t>Epic 4.5.4, Epic 12.6.1</t>
  </si>
  <si>
    <t>13.4.4.FE</t>
  </si>
  <si>
    <t>13.4.4.BE</t>
  </si>
  <si>
    <t>13.4.4.QA</t>
  </si>
  <si>
    <t>13.5</t>
  </si>
  <si>
    <t>Marketing &amp; Communications Compliance</t>
  </si>
  <si>
    <t>Backlog section 13.5 from Budgie AI Product Backlog v0.3. Child feature rows below are the estimate rows.</t>
  </si>
  <si>
    <t>13.5.1</t>
  </si>
  <si>
    <t>Review website and marketing materials for advisory claims</t>
  </si>
  <si>
    <t>Website currently has "personal CFO" and DeFi advice language that must be reconciled with MVP scope (Market Discovery 10.2)</t>
  </si>
  <si>
    <t>13.5.1.FE</t>
  </si>
  <si>
    <t>13.5.1.BE</t>
  </si>
  <si>
    <t>13.5.1.QA</t>
  </si>
  <si>
    <t>13.5.2</t>
  </si>
  <si>
    <t>Content approval process for Budgie's social media posts</t>
  </si>
  <si>
    <t>Market Discovery 13.1.4 - social media under same rules as other advertising</t>
  </si>
  <si>
    <t>Epic 4.7.2</t>
  </si>
  <si>
    <t>13.5.2.FE</t>
  </si>
  <si>
    <t>13.5.2.BE</t>
  </si>
  <si>
    <t>13.5.2.QA</t>
  </si>
  <si>
    <t>13.5.3</t>
  </si>
  <si>
    <t>Content approval process for app store listings, screenshots, descriptions</t>
  </si>
  <si>
    <t>Claims in listings must match product capability (Market Discovery 13.4.3)</t>
  </si>
  <si>
    <t>13.5.3.FE</t>
  </si>
  <si>
    <t>13.5.3.BE</t>
  </si>
  <si>
    <t>13.5.3.QA</t>
  </si>
  <si>
    <t>13.5.4</t>
  </si>
  <si>
    <t>Retention of marketing communications for audit</t>
  </si>
  <si>
    <t>Standard in regulated financial marketing</t>
  </si>
  <si>
    <t>13.5.4.FE</t>
  </si>
  <si>
    <t>13.5.4.BE</t>
  </si>
  <si>
    <t>13.5.4.QA</t>
  </si>
  <si>
    <t>13.5.5</t>
  </si>
  <si>
    <t>Pre-approved canned templates for all external marketing communications, with audit logging per post</t>
  </si>
  <si>
    <t>Workshop 21 April: marketing comms (social, email, ad copy) use pre-approved templates rather than freely-generated content. Content approval happens once at template level, not per-post; each deployed post is logged against the template it came from. Provides compliance defensibility at scale (MD 13.1.4).</t>
  </si>
  <si>
    <t>13.5.5.FE</t>
  </si>
  <si>
    <t>13.5.5.BE</t>
  </si>
  <si>
    <t>13.5.5.QA</t>
  </si>
  <si>
    <t>13.6</t>
  </si>
  <si>
    <t>User Dispute &amp; Support Infrastructure</t>
  </si>
  <si>
    <t>Backlog section 13.6 from Budgie AI Product Backlog v0.3. Child feature rows below are the estimate rows.</t>
  </si>
  <si>
    <t>13.6.1</t>
  </si>
  <si>
    <t>User support channel (email minimum; in-app preferred)</t>
  </si>
  <si>
    <t>Also required by app stores</t>
  </si>
  <si>
    <t>13.6.1.FE</t>
  </si>
  <si>
    <t>13.6.1.BE</t>
  </si>
  <si>
    <t>13.6.1.QA</t>
  </si>
  <si>
    <t>13.6.2</t>
  </si>
  <si>
    <t>Complaint logging and tracking</t>
  </si>
  <si>
    <t>Regulatory expectation in financial services</t>
  </si>
  <si>
    <t>13.6.2.FE</t>
  </si>
  <si>
    <t>13.6.2.BE</t>
  </si>
  <si>
    <t>13.6.2.QA</t>
  </si>
  <si>
    <t>13.6.3</t>
  </si>
  <si>
    <t>Process for escalation of complaints involving AI guidance</t>
  </si>
  <si>
    <t>Needed to review what the AI actually said and why</t>
  </si>
  <si>
    <t>13.6.2, 13.4.4</t>
  </si>
  <si>
    <t>13.6.3.FE</t>
  </si>
  <si>
    <t>13.6.3.BE</t>
  </si>
  <si>
    <t>13.6.3.QA</t>
  </si>
  <si>
    <t>13.7</t>
  </si>
  <si>
    <t>Ongoing Compliance Operations</t>
  </si>
  <si>
    <t>Backlog section 13.7 from Budgie AI Product Backlog v0.3. Child feature rows below are the estimate rows.</t>
  </si>
  <si>
    <t>13.7.1</t>
  </si>
  <si>
    <t>Regulatory change monitoring - track MAS, HKMA, and app store policy changes</t>
  </si>
  <si>
    <t>Lightweight but necessary; could be a founder/operations task rather than product</t>
  </si>
  <si>
    <t>13.7.1.FE</t>
  </si>
  <si>
    <t>13.7.1.BE</t>
  </si>
  <si>
    <t>13.7.1.QA</t>
  </si>
  <si>
    <t>13.7.2</t>
  </si>
  <si>
    <t>Annual compliance review process</t>
  </si>
  <si>
    <t>Organisational discipline</t>
  </si>
  <si>
    <t>13.7.2.FE</t>
  </si>
  <si>
    <t>13.7.2.BE</t>
  </si>
  <si>
    <t>13.7.2.QA</t>
  </si>
  <si>
    <t>13.7.3</t>
  </si>
  <si>
    <t>Incident disclosure process for breaches or regulatory events</t>
  </si>
  <si>
    <t>Bridges data privacy and financial regulatory reporting</t>
  </si>
  <si>
    <t>Epic 12.6.3</t>
  </si>
  <si>
    <t>13.7.3.FE</t>
  </si>
  <si>
    <t>13.7.3.BE</t>
  </si>
  <si>
    <t>13.7.3.QA</t>
  </si>
  <si>
    <t>14.1</t>
  </si>
  <si>
    <t>Analytics &amp; Instrumentation</t>
  </si>
  <si>
    <t>Analytics Infrastructure</t>
  </si>
  <si>
    <t>Backlog section 14.1 from Budgie AI Product Backlog v0.3. Child feature rows below are the estimate rows.</t>
  </si>
  <si>
    <t>14.1.1</t>
  </si>
  <si>
    <t>Select analytics platform(s) - product analytics (Amplitude / Mixpanel / PostHog) + marketing attribution (Branch / AppsFlyer)</t>
  </si>
  <si>
    <t>Build-vs-buy is firmly buy; DPAs required</t>
  </si>
  <si>
    <t>Epic 12.5</t>
  </si>
  <si>
    <t>14.1.1.FE</t>
  </si>
  <si>
    <t>14.1.1.BE</t>
  </si>
  <si>
    <t>14.1.1.QA</t>
  </si>
  <si>
    <t>14.1.2</t>
  </si>
  <si>
    <t>Implement event tracking SDK in mobile app</t>
  </si>
  <si>
    <t>Standard integration</t>
  </si>
  <si>
    <t>14.1.2.FE</t>
  </si>
  <si>
    <t>14.1.2.BE</t>
  </si>
  <si>
    <t>14.1.2.QA</t>
  </si>
  <si>
    <t>14.1.3</t>
  </si>
  <si>
    <t>Define event taxonomy - naming conventions, event schema, properties</t>
  </si>
  <si>
    <t>Critical for data quality; messy taxonomies become unusable fast</t>
  </si>
  <si>
    <t>14.1.3.FE</t>
  </si>
  <si>
    <t>14.1.3.BE</t>
  </si>
  <si>
    <t>14.1.3.QA</t>
  </si>
  <si>
    <t>14.1.4</t>
  </si>
  <si>
    <t>Server-side event tracking for authoritative events (subscriptions, account deletions)</t>
  </si>
  <si>
    <t>Client events can be lost or blocked; server-side is the source of truth for business-critical metrics</t>
  </si>
  <si>
    <t>14.1.4.FE</t>
  </si>
  <si>
    <t>14.1.4.BE</t>
  </si>
  <si>
    <t>14.1.4.QA</t>
  </si>
  <si>
    <t>14.1.5</t>
  </si>
  <si>
    <t>Data warehouse for long-term analytics (e.g. BigQuery, Snowflake)</t>
  </si>
  <si>
    <t>Nice-to-have at MVP; essential once the team has data analysts</t>
  </si>
  <si>
    <t>14.1.5.FE</t>
  </si>
  <si>
    <t>14.1.5.BE</t>
  </si>
  <si>
    <t>14.1.5.QA</t>
  </si>
  <si>
    <t>14.2</t>
  </si>
  <si>
    <t>Onboarding &amp; Activation Funnel</t>
  </si>
  <si>
    <t>Backlog section 14.2 from Budgie AI Product Backlog v0.3. Child feature rows below are the estimate rows.</t>
  </si>
  <si>
    <t>14.2.1</t>
  </si>
  <si>
    <t>Track every step of the onboarding funnel</t>
  </si>
  <si>
    <t>Highest-value analytics area</t>
  </si>
  <si>
    <t>Epic 1.6.1, 14.1.2</t>
  </si>
  <si>
    <t>14.2.1.FE</t>
  </si>
  <si>
    <t>14.2.1.BE</t>
  </si>
  <si>
    <t>14.2.1.QA</t>
  </si>
  <si>
    <t>14.2.2</t>
  </si>
  <si>
    <t>Drop-off analysis at each step</t>
  </si>
  <si>
    <t>Identifies friction points</t>
  </si>
  <si>
    <t>14.2.2.FE</t>
  </si>
  <si>
    <t>14.2.2.BE</t>
  </si>
  <si>
    <t>14.2.2.QA</t>
  </si>
  <si>
    <t>14.2.3</t>
  </si>
  <si>
    <t>Time-to-activation metric (first meaningful value moment - connecting an account, setting a goal, etc.)</t>
  </si>
  <si>
    <t>Activation is a better leading indicator than signups</t>
  </si>
  <si>
    <t>14.2.3.FE</t>
  </si>
  <si>
    <t>14.2.3.BE</t>
  </si>
  <si>
    <t>14.2.3.QA</t>
  </si>
  <si>
    <t>14.2.4</t>
  </si>
  <si>
    <t>Cohort analysis of activation by acquisition source</t>
  </si>
  <si>
    <t>Different channels produce different quality users</t>
  </si>
  <si>
    <t>14.2.3, 14.5.1</t>
  </si>
  <si>
    <t>14.2.4.FE</t>
  </si>
  <si>
    <t>14.2.4.BE</t>
  </si>
  <si>
    <t>14.2.4.QA</t>
  </si>
  <si>
    <t>14.3</t>
  </si>
  <si>
    <t>Engagement Metrics</t>
  </si>
  <si>
    <t>Backlog section 14.3 from Budgie AI Product Backlog v0.3. Child feature rows below are the estimate rows.</t>
  </si>
  <si>
    <t>14.3.1</t>
  </si>
  <si>
    <t>Daily / weekly / monthly active users (DAU / WAU / MAU)</t>
  </si>
  <si>
    <t>Core engagement trio</t>
  </si>
  <si>
    <t>14.3.1.FE</t>
  </si>
  <si>
    <t>14.3.1.BE</t>
  </si>
  <si>
    <t>14.3.1.QA</t>
  </si>
  <si>
    <t>14.3.2</t>
  </si>
  <si>
    <t>Session length and frequency</t>
  </si>
  <si>
    <t>Depth of engagement</t>
  </si>
  <si>
    <t>14.3.2.FE</t>
  </si>
  <si>
    <t>14.3.2.BE</t>
  </si>
  <si>
    <t>14.3.2.QA</t>
  </si>
  <si>
    <t>14.3.3</t>
  </si>
  <si>
    <t>Feature adoption rates - what percentage of users use each feature</t>
  </si>
  <si>
    <t>Shows which features earn their place</t>
  </si>
  <si>
    <t>14.3.3.FE</t>
  </si>
  <si>
    <t>14.3.3.BE</t>
  </si>
  <si>
    <t>14.3.3.QA</t>
  </si>
  <si>
    <t>14.3.4</t>
  </si>
  <si>
    <t>Retention curves (N-day retention, cohort retention)</t>
  </si>
  <si>
    <t>Critical investor metric</t>
  </si>
  <si>
    <t>14.3.4.FE</t>
  </si>
  <si>
    <t>14.3.4.BE</t>
  </si>
  <si>
    <t>14.3.4.QA</t>
  </si>
  <si>
    <t>14.3.5</t>
  </si>
  <si>
    <t>Notification engagement (delivered, opened, acted upon)</t>
  </si>
  <si>
    <t>Directly measures the proactive AI value</t>
  </si>
  <si>
    <t>Epic 9.5</t>
  </si>
  <si>
    <t>14.3.5.FE</t>
  </si>
  <si>
    <t>14.3.5.BE</t>
  </si>
  <si>
    <t>14.3.5.QA</t>
  </si>
  <si>
    <t>14.3.6</t>
  </si>
  <si>
    <t>AI interaction metrics (messages exchanged, feature usage, user feedback)</t>
  </si>
  <si>
    <t>Measures the core differentiator</t>
  </si>
  <si>
    <t>14.3.6.FE</t>
  </si>
  <si>
    <t>14.3.6.BE</t>
  </si>
  <si>
    <t>14.3.6.QA</t>
  </si>
  <si>
    <t>14.4</t>
  </si>
  <si>
    <t>Financial &amp; Subscription Metrics</t>
  </si>
  <si>
    <t>Backlog section 14.4 from Budgie AI Product Backlog v0.3. Child feature rows below are the estimate rows.</t>
  </si>
  <si>
    <t>14.4.1</t>
  </si>
  <si>
    <t>MRR (Monthly Recurring Revenue) tracking</t>
  </si>
  <si>
    <t>Primary SaaS metric</t>
  </si>
  <si>
    <t>Epic 11.6.1</t>
  </si>
  <si>
    <t>14.4.1.FE</t>
  </si>
  <si>
    <t>14.4.1.BE</t>
  </si>
  <si>
    <t>14.4.1.QA</t>
  </si>
  <si>
    <t>14.4.2</t>
  </si>
  <si>
    <t>Conversion rate - free to paid</t>
  </si>
  <si>
    <t>Core funnel metric</t>
  </si>
  <si>
    <t>14.4.1, Epic 11</t>
  </si>
  <si>
    <t>14.4.2.FE</t>
  </si>
  <si>
    <t>14.4.2.BE</t>
  </si>
  <si>
    <t>14.4.2.QA</t>
  </si>
  <si>
    <t>14.4.3</t>
  </si>
  <si>
    <t>Churn rate - monthly subscription cancellations</t>
  </si>
  <si>
    <t>Leading indicator of product-market fit</t>
  </si>
  <si>
    <t>14.4.3.FE</t>
  </si>
  <si>
    <t>14.4.3.BE</t>
  </si>
  <si>
    <t>14.4.3.QA</t>
  </si>
  <si>
    <t>14.4.4</t>
  </si>
  <si>
    <t>ARPU (Average Revenue Per User)</t>
  </si>
  <si>
    <t>Unit economics input</t>
  </si>
  <si>
    <t>14.4.4.FE</t>
  </si>
  <si>
    <t>14.4.4.BE</t>
  </si>
  <si>
    <t>14.4.4.QA</t>
  </si>
  <si>
    <t>14.4.5</t>
  </si>
  <si>
    <t>LTV:CAC ratio (requires CAC data from 14.5)</t>
  </si>
  <si>
    <t>Fundamental SaaS health metric</t>
  </si>
  <si>
    <t>14.4.4, 14.5</t>
  </si>
  <si>
    <t>14.4.5.FE</t>
  </si>
  <si>
    <t>14.4.5.BE</t>
  </si>
  <si>
    <t>14.4.5.QA</t>
  </si>
  <si>
    <t>14.5</t>
  </si>
  <si>
    <t>Acquisition &amp; Attribution</t>
  </si>
  <si>
    <t>Backlog section 14.5 from Budgie AI Product Backlog v0.3. Child feature rows below are the estimate rows.</t>
  </si>
  <si>
    <t>14.5.1</t>
  </si>
  <si>
    <t>Attribution tracking - where did users come from (app store, social, content, referral)</t>
  </si>
  <si>
    <t>Required to measure CAC per channel</t>
  </si>
  <si>
    <t>14.5.1.FE</t>
  </si>
  <si>
    <t>14.5.1.BE</t>
  </si>
  <si>
    <t>14.5.1.QA</t>
  </si>
  <si>
    <t>14.5.2</t>
  </si>
  <si>
    <t>Install attribution via third-party SDK (Branch / AppsFlyer)</t>
  </si>
  <si>
    <t>Mobile attribution is a specialist category</t>
  </si>
  <si>
    <t>14.5.2.FE</t>
  </si>
  <si>
    <t>14.5.2.BE</t>
  </si>
  <si>
    <t>14.5.2.QA</t>
  </si>
  <si>
    <t>14.5.3</t>
  </si>
  <si>
    <t>Referral code tracking for shared content</t>
  </si>
  <si>
    <t>Sharing confirmed as MVP; referral tracking should match</t>
  </si>
  <si>
    <t>Epic 10.1.4</t>
  </si>
  <si>
    <t>14.5.3.FE</t>
  </si>
  <si>
    <t>14.5.3.BE</t>
  </si>
  <si>
    <t>14.5.3.QA</t>
  </si>
  <si>
    <t>14.5.4</t>
  </si>
  <si>
    <t>Marketing spend tracking and CAC calculation</t>
  </si>
  <si>
    <t>Founder / operations may do this in a spreadsheet initially</t>
  </si>
  <si>
    <t>14.5.4.FE</t>
  </si>
  <si>
    <t>14.5.4.BE</t>
  </si>
  <si>
    <t>14.5.4.QA</t>
  </si>
  <si>
    <t>14.6</t>
  </si>
  <si>
    <t>AI-Specific Analytics</t>
  </si>
  <si>
    <t>Backlog section 14.6 from Budgie AI Product Backlog v0.3. Child feature rows below are the estimate rows.</t>
  </si>
  <si>
    <t>14.6.1</t>
  </si>
  <si>
    <t>LLM cost tracking per user and aggregate</t>
  </si>
  <si>
    <t>Critical unit economics input - LLM costs scale with usage</t>
  </si>
  <si>
    <t>Epic 4.2.5</t>
  </si>
  <si>
    <t>14.6.1.FE</t>
  </si>
  <si>
    <t>14.6.1.BE</t>
  </si>
  <si>
    <t>14.6.1.QA</t>
  </si>
  <si>
    <t>14.6.2</t>
  </si>
  <si>
    <t>AI response quality metrics (user thumbs up/down, follow-up questions, session abandonment)</t>
  </si>
  <si>
    <t>Quality signal loop</t>
  </si>
  <si>
    <t>Epic 8.5.3</t>
  </si>
  <si>
    <t>14.6.2.FE</t>
  </si>
  <si>
    <t>14.6.2.BE</t>
  </si>
  <si>
    <t>14.6.2.QA</t>
  </si>
  <si>
    <t>14.6.3</t>
  </si>
  <si>
    <t>AI guardrail trigger tracking (refusals, redirects, fallback responses)</t>
  </si>
  <si>
    <t>Helps identify edge cases and regulatory boundary misses</t>
  </si>
  <si>
    <t>Epic 13.4.2</t>
  </si>
  <si>
    <t>14.6.3.FE</t>
  </si>
  <si>
    <t>14.6.3.BE</t>
  </si>
  <si>
    <t>14.6.3.QA</t>
  </si>
  <si>
    <t>14.6.4</t>
  </si>
  <si>
    <t>Content variation effectiveness - are daily check-ins staying fresh?</t>
  </si>
  <si>
    <t>Harder to measure but critical for long-term engagement</t>
  </si>
  <si>
    <t>14.6.4.FE</t>
  </si>
  <si>
    <t>14.6.4.BE</t>
  </si>
  <si>
    <t>14.6.4.QA</t>
  </si>
  <si>
    <t>Operational &amp; Quality Metrics</t>
  </si>
  <si>
    <t>App crash repoOperational &amp; Quality Metricsrting (e.g. Sentry, Firebase Crashlytics)</t>
  </si>
  <si>
    <t>14.7.1</t>
  </si>
  <si>
    <t>App crash reporting (e.g. Sentry, Firebase Crashlytics)</t>
  </si>
  <si>
    <t>14.7.1.FE</t>
  </si>
  <si>
    <t>Mobile app stability is essential</t>
  </si>
  <si>
    <t>14.7.1.BE</t>
  </si>
  <si>
    <t>14.7.1.QA</t>
  </si>
  <si>
    <t>14.7.2</t>
  </si>
  <si>
    <t>API error rate monitoring (Finverse, LLM, internal APIs)</t>
  </si>
  <si>
    <t>Early warning of systemic issues</t>
  </si>
  <si>
    <t>14.7.2.FE</t>
  </si>
  <si>
    <t>14.7.2.BE</t>
  </si>
  <si>
    <t>14.7.2.QA</t>
  </si>
  <si>
    <t>14.7.3</t>
  </si>
  <si>
    <t>Performance monitoring (API latency, app launch time)</t>
  </si>
  <si>
    <t>Finance app users expect snappiness</t>
  </si>
  <si>
    <t>14.7.3.FE</t>
  </si>
  <si>
    <t>14.7.3.BE</t>
  </si>
  <si>
    <t>14.7.3.QA</t>
  </si>
  <si>
    <t>14.7.4</t>
  </si>
  <si>
    <t>Data pipeline health monitoring (transactions flowing, categorisation accuracy)</t>
  </si>
  <si>
    <t>Silent data failures erode trust</t>
  </si>
  <si>
    <t>Epic 2, Epic 5</t>
  </si>
  <si>
    <t>14.7.4.FE</t>
  </si>
  <si>
    <t>14.7.4.BE</t>
  </si>
  <si>
    <t>14.7.4.QA</t>
  </si>
  <si>
    <t>14.8</t>
  </si>
  <si>
    <t>Reporting &amp; Dashboards</t>
  </si>
  <si>
    <t>Backlog section 14.8 from Budgie AI Product Backlog v0.3. Child feature rows below are the estimate rows.</t>
  </si>
  <si>
    <t>14.8.1</t>
  </si>
  <si>
    <t>Founder-level KPI dashboard (DAU, MRR, conversion, churn, Financial Health Score distribution)</t>
  </si>
  <si>
    <t>Real-time view of traction</t>
  </si>
  <si>
    <t>14.3, 14.4</t>
  </si>
  <si>
    <t>14.8.1.FE</t>
  </si>
  <si>
    <t>14.8.1.BE</t>
  </si>
  <si>
    <t>14.8.1.QA</t>
  </si>
  <si>
    <t>14.8.2</t>
  </si>
  <si>
    <t>Investor-update dashboard / report template</t>
  </si>
  <si>
    <t>Makes monthly investor updates straightforward</t>
  </si>
  <si>
    <t>14.8.2.FE</t>
  </si>
  <si>
    <t>14.8.2.BE</t>
  </si>
  <si>
    <t>14.8.2.QA</t>
  </si>
  <si>
    <t>14.8.3</t>
  </si>
  <si>
    <t>Team-level operational dashboards (error rates, user support load, AI quality)</t>
  </si>
  <si>
    <t>Tactical rather than strategic</t>
  </si>
  <si>
    <t>14.7</t>
  </si>
  <si>
    <t>14.8.3.FE</t>
  </si>
  <si>
    <t>14.8.3.BE</t>
  </si>
  <si>
    <t>14.8.3.QA</t>
  </si>
  <si>
    <t>Epic 15</t>
  </si>
  <si>
    <t>15.1</t>
  </si>
  <si>
    <t>Internal Admin &amp; Back Office</t>
  </si>
  <si>
    <t>Admin Authentication &amp; Access Control</t>
  </si>
  <si>
    <t>Backlog section 15.1 from Budgie AI Product Backlog v0.3. Child feature rows below are the estimate rows.</t>
  </si>
  <si>
    <t>15.1.1</t>
  </si>
  <si>
    <t>Admin user accounts separate from consumer user accounts</t>
  </si>
  <si>
    <t>Different security model; different database</t>
  </si>
  <si>
    <t>Epic 12.1</t>
  </si>
  <si>
    <t>15.1.1.FE</t>
  </si>
  <si>
    <t>15.1.1.BE</t>
  </si>
  <si>
    <t>15.1.1.QA</t>
  </si>
  <si>
    <t>15.1.2</t>
  </si>
  <si>
    <t>Role-based access control (admin, support, marketing, read-only)</t>
  </si>
  <si>
    <t>Least-privilege principle</t>
  </si>
  <si>
    <t>15.1.2.FE</t>
  </si>
  <si>
    <t>15.1.2.BE</t>
  </si>
  <si>
    <t>15.1.2.QA</t>
  </si>
  <si>
    <t>15.1.3</t>
  </si>
  <si>
    <t>MFA required for all admin accounts</t>
  </si>
  <si>
    <t>Non-negotiable for internal access to user data</t>
  </si>
  <si>
    <t>15.1.3.FE</t>
  </si>
  <si>
    <t>15.1.3.BE</t>
  </si>
  <si>
    <t>15.1.3.QA</t>
  </si>
  <si>
    <t>15.1.4</t>
  </si>
  <si>
    <t>Audit log of all admin actions</t>
  </si>
  <si>
    <t>Who viewed what, when, and why</t>
  </si>
  <si>
    <t>Epic 12.6.1</t>
  </si>
  <si>
    <t>15.1.4.FE</t>
  </si>
  <si>
    <t>15.1.4.BE</t>
  </si>
  <si>
    <t>15.1.4.QA</t>
  </si>
  <si>
    <t>15.1.5</t>
  </si>
  <si>
    <t>Session management and forced timeout for admin sessions</t>
  </si>
  <si>
    <t>Stricter than consumer app</t>
  </si>
  <si>
    <t>15.1.5.FE</t>
  </si>
  <si>
    <t>15.1.5.BE</t>
  </si>
  <si>
    <t>15.1.5.QA</t>
  </si>
  <si>
    <t>15.2</t>
  </si>
  <si>
    <t>Customer Support Tooling</t>
  </si>
  <si>
    <t>Backlog section 15.2 from Budgie AI Product Backlog v0.3. Child feature rows below are the estimate rows.</t>
  </si>
  <si>
    <t>15.2.1</t>
  </si>
  <si>
    <t>User search and lookup by email, name, or user ID</t>
  </si>
  <si>
    <t>Foundational for any support interaction</t>
  </si>
  <si>
    <t>15.2.1.FE</t>
  </si>
  <si>
    <t>15.2.1.BE</t>
  </si>
  <si>
    <t>15.2.1.QA</t>
  </si>
  <si>
    <t>15.2.2</t>
  </si>
  <si>
    <t>User profile view - account status, subscription tier, connected accounts (metadata only, not balances)</t>
  </si>
  <si>
    <t>Support needs context without seeing sensitive financial detail</t>
  </si>
  <si>
    <t>15.2.2.FE</t>
  </si>
  <si>
    <t>15.2.2.BE</t>
  </si>
  <si>
    <t>15.2.2.QA</t>
  </si>
  <si>
    <t>15.2.3</t>
  </si>
  <si>
    <t>View user's recent AI interactions (for dispute resolution)</t>
  </si>
  <si>
    <t>Tied to AI audit log</t>
  </si>
  <si>
    <t>Epic 4.5.4, Epic 13.4.4</t>
  </si>
  <si>
    <t>15.2.3.FE</t>
  </si>
  <si>
    <t>15.2.3.BE</t>
  </si>
  <si>
    <t>15.2.3.QA</t>
  </si>
  <si>
    <t>15.2.4</t>
  </si>
  <si>
    <t>View user's notification history</t>
  </si>
  <si>
    <t>"Did I really get a notification about this?"</t>
  </si>
  <si>
    <t>Epic 9</t>
  </si>
  <si>
    <t>15.2.4.FE</t>
  </si>
  <si>
    <t>15.2.4.BE</t>
  </si>
  <si>
    <t>15.2.4.QA</t>
  </si>
  <si>
    <t>15.2.5</t>
  </si>
  <si>
    <t>Trigger common support actions - resend verification email, reset password, refund subscription</t>
  </si>
  <si>
    <t>Saves back-and-forth</t>
  </si>
  <si>
    <t>Epic 11, Epic 12</t>
  </si>
  <si>
    <t>15.2.5.FE</t>
  </si>
  <si>
    <t>15.2.5.BE</t>
  </si>
  <si>
    <t>15.2.5.QA</t>
  </si>
  <si>
    <t>15.2.6</t>
  </si>
  <si>
    <t>Integrate with Zoho CRM for support and marketing management</t>
  </si>
  <si>
    <t>Team decision - integrates with existing tools rather than building custom solutions</t>
  </si>
  <si>
    <t>15.2.6.FE</t>
  </si>
  <si>
    <t>15.2.6.BE</t>
  </si>
  <si>
    <t>15.2.6.QA</t>
  </si>
  <si>
    <t>15.2.7</t>
  </si>
  <si>
    <t>Internal notes on user accounts</t>
  </si>
  <si>
    <t>Support teams need to leave context for each other</t>
  </si>
  <si>
    <t>15.2.7.FE</t>
  </si>
  <si>
    <t>15.2.7.BE</t>
  </si>
  <si>
    <t>15.2.7.QA</t>
  </si>
  <si>
    <t>15.3</t>
  </si>
  <si>
    <t>Marketing &amp; Communications</t>
  </si>
  <si>
    <t>Backlog section 15.3 from Budgie AI Product Backlog v0.3. Child feature rows below are the estimate rows.</t>
  </si>
  <si>
    <t>15.3.1</t>
  </si>
  <si>
    <t>Marketing email list management - signups, waitlist, active users</t>
  </si>
  <si>
    <t>Respect consent state; cannot email users who haven't opted in</t>
  </si>
  <si>
    <t>Epic 12.3</t>
  </si>
  <si>
    <t>15.3.1.FE</t>
  </si>
  <si>
    <t>15.3.1.BE</t>
  </si>
  <si>
    <t>15.3.1.QA</t>
  </si>
  <si>
    <t>15.3.2</t>
  </si>
  <si>
    <t>Segmented lists (by tier, by activation state, by geography)</t>
  </si>
  <si>
    <t>Targeted marketing is more effective</t>
  </si>
  <si>
    <t>15.3.1, Epic 14</t>
  </si>
  <si>
    <t>15.3.2.FE</t>
  </si>
  <si>
    <t>15.3.2.BE</t>
  </si>
  <si>
    <t>15.3.2.QA</t>
  </si>
  <si>
    <t>15.3.3</t>
  </si>
  <si>
    <t>Integration with email service provider (e.g. Customer.io, SendGrid, Mailchimp)</t>
  </si>
  <si>
    <t>Build-vs-buy firmly buy</t>
  </si>
  <si>
    <t>15.3.3.FE</t>
  </si>
  <si>
    <t>15.3.3.BE</t>
  </si>
  <si>
    <t>15.3.3.QA</t>
  </si>
  <si>
    <t>15.3.4</t>
  </si>
  <si>
    <t>Export of marketing list for external campaigns</t>
  </si>
  <si>
    <t>With consent enforcement</t>
  </si>
  <si>
    <t>15.3.1, Epic 12.3</t>
  </si>
  <si>
    <t>15.3.4.FE</t>
  </si>
  <si>
    <t>15.3.4.BE</t>
  </si>
  <si>
    <t>15.3.4.QA</t>
  </si>
  <si>
    <t>15.3.5</t>
  </si>
  <si>
    <t>Campaign performance tracking (open rates, click rates, conversions)</t>
  </si>
  <si>
    <t>Usually provided by the ESP</t>
  </si>
  <si>
    <t>15.3.3, Epic 14</t>
  </si>
  <si>
    <t>15.3.5.FE</t>
  </si>
  <si>
    <t>15.3.5.BE</t>
  </si>
  <si>
    <t>15.3.5.QA</t>
  </si>
  <si>
    <t>15.4</t>
  </si>
  <si>
    <t>App Configuration &amp; Feature Flags</t>
  </si>
  <si>
    <t>Backlog section 15.4 from Budgie AI Product Backlog v0.3. Child feature rows below are the estimate rows.</t>
  </si>
  <si>
    <t>15.4.1</t>
  </si>
  <si>
    <t>Feature flag system - enable/disable features per user, cohort, or globally without app release</t>
  </si>
  <si>
    <t>Essential for safe rollouts and A/B testing</t>
  </si>
  <si>
    <t>Epic 11.1.3</t>
  </si>
  <si>
    <t>15.4.1.FE</t>
  </si>
  <si>
    <t>15.4.1.BE</t>
  </si>
  <si>
    <t>15.4.1.QA</t>
  </si>
  <si>
    <t>15.4.2</t>
  </si>
  <si>
    <t>Tier limit configuration - adjust what's included in Free/Basic/Premium without code changes</t>
  </si>
  <si>
    <t>Commercial flexibility</t>
  </si>
  <si>
    <t>Epic 11.1.1</t>
  </si>
  <si>
    <t>15.4.2.FE</t>
  </si>
  <si>
    <t>15.4.2.BE</t>
  </si>
  <si>
    <t>15.4.2.QA</t>
  </si>
  <si>
    <t>15.4.3</t>
  </si>
  <si>
    <t>AI parameter configuration - adjust prompts, guardrail strictness, check-in frequency defaults</t>
  </si>
  <si>
    <t>Lets the team iterate on AI behaviour without engineering time</t>
  </si>
  <si>
    <t>15.4.3.FE</t>
  </si>
  <si>
    <t>15.4.3.BE</t>
  </si>
  <si>
    <t>15.4.3.QA</t>
  </si>
  <si>
    <t>15.4.4</t>
  </si>
  <si>
    <t>Notification template management</t>
  </si>
  <si>
    <t>Edit notification copy, test variants</t>
  </si>
  <si>
    <t>15.4.4.FE</t>
  </si>
  <si>
    <t>15.4.4.BE</t>
  </si>
  <si>
    <t>15.4.4.QA</t>
  </si>
  <si>
    <t>15.4.5</t>
  </si>
  <si>
    <t>Category taxonomy management</t>
  </si>
  <si>
    <t>Add/edit transaction categories without app release</t>
  </si>
  <si>
    <t>Epic 5.1.2</t>
  </si>
  <si>
    <t>15.4.5.FE</t>
  </si>
  <si>
    <t>15.4.5.BE</t>
  </si>
  <si>
    <t>15.4.5.QA</t>
  </si>
  <si>
    <t>15.5</t>
  </si>
  <si>
    <t>Business Analytics &amp; Reporting</t>
  </si>
  <si>
    <t>Backlog section 15.5 from Budgie AI Product Backlog v0.3. Child feature rows below are the estimate rows.</t>
  </si>
  <si>
    <t>15.5.1</t>
  </si>
  <si>
    <t>Integrate analytics dashboards (from Epic 14.8) into the admin portal</t>
  </si>
  <si>
    <t>Single place for the team to check metrics</t>
  </si>
  <si>
    <t>Epic 14.8</t>
  </si>
  <si>
    <t>15.5.1.FE</t>
  </si>
  <si>
    <t>15.5.1.BE</t>
  </si>
  <si>
    <t>15.5.1.QA</t>
  </si>
  <si>
    <t>15.5.2</t>
  </si>
  <si>
    <t>Ad-hoc querying capability for product managers</t>
  </si>
  <si>
    <t>Usually via the analytics platform directly, not custom UI</t>
  </si>
  <si>
    <t>Epic 14.1.5</t>
  </si>
  <si>
    <t>15.5.2.FE</t>
  </si>
  <si>
    <t>15.5.2.BE</t>
  </si>
  <si>
    <t>15.5.2.QA</t>
  </si>
  <si>
    <t>15.5.3</t>
  </si>
  <si>
    <t>Financial reports (revenue, churn, cohort LTV)</t>
  </si>
  <si>
    <t>Useful for founder and investor updates</t>
  </si>
  <si>
    <t>Epic 11.6, Epic 14.4</t>
  </si>
  <si>
    <t>15.5.3.FE</t>
  </si>
  <si>
    <t>15.5.3.BE</t>
  </si>
  <si>
    <t>15.5.3.QA</t>
  </si>
  <si>
    <t>15.6</t>
  </si>
  <si>
    <t>Content &amp; Review Management</t>
  </si>
  <si>
    <t>Backlog section 15.6 from Budgie AI Product Backlog v0.3. Child feature rows below are the estimate rows.</t>
  </si>
  <si>
    <t>15.6.1</t>
  </si>
  <si>
    <t>Review queue for AI responses flagged for quality issues</t>
  </si>
  <si>
    <t>Human-in-the-loop quality control</t>
  </si>
  <si>
    <t>15.6.1.FE</t>
  </si>
  <si>
    <t>15.6.1.BE</t>
  </si>
  <si>
    <t>15.6.1.QA</t>
  </si>
  <si>
    <t>15.6.2</t>
  </si>
  <si>
    <t>Social media post approval workflow</t>
  </si>
  <si>
    <t>Compliance requirement</t>
  </si>
  <si>
    <t>Epic 4.7.2, Epic 13.5.2</t>
  </si>
  <si>
    <t>15.6.2.FE</t>
  </si>
  <si>
    <t>15.6.2.BE</t>
  </si>
  <si>
    <t>15.6.2.QA</t>
  </si>
  <si>
    <t>15.6.3</t>
  </si>
  <si>
    <t>User-reported content review queue</t>
  </si>
  <si>
    <t>Only relevant once user-generated content exists</t>
  </si>
  <si>
    <t>Epic 10.4.1</t>
  </si>
  <si>
    <t>15.6.3.FE</t>
  </si>
  <si>
    <t>15.6.3.BE</t>
  </si>
  <si>
    <t>15.6.3.QA</t>
  </si>
  <si>
    <t>15.7</t>
  </si>
  <si>
    <t>Operational Monitoring</t>
  </si>
  <si>
    <t>Backlog section 15.7 from Budgie AI Product Backlog v0.3. Child feature rows below are the estimate rows.</t>
  </si>
  <si>
    <t>15.7.1</t>
  </si>
  <si>
    <t>System health dashboard (API status, error rates, sync health)</t>
  </si>
  <si>
    <t>"Is Budgie working right now?"</t>
  </si>
  <si>
    <t>Epic 14.7</t>
  </si>
  <si>
    <t>15.7.1.FE</t>
  </si>
  <si>
    <t>15.7.1.BE</t>
  </si>
  <si>
    <t>15.7.1.QA</t>
  </si>
  <si>
    <t>15.7.2</t>
  </si>
  <si>
    <t>Alerting rules and on-call configuration</t>
  </si>
  <si>
    <t>24/7 finance app needs someone watching</t>
  </si>
  <si>
    <t>15.7.2.FE</t>
  </si>
  <si>
    <t>15.7.2.BE</t>
  </si>
  <si>
    <t>15.7.2.QA</t>
  </si>
  <si>
    <t>15.7.3</t>
  </si>
  <si>
    <t>Incident management integration</t>
  </si>
  <si>
    <t>Formal process for significant outages</t>
  </si>
  <si>
    <t>15.7.3.FE</t>
  </si>
  <si>
    <t>15.7.3.BE</t>
  </si>
  <si>
    <t>15.7.3.QA</t>
  </si>
  <si>
    <t>Epic 16: Localisation &amp; Internationalisation</t>
  </si>
  <si>
    <t>16.1</t>
  </si>
  <si>
    <t>Localisation &amp; Internationalisation</t>
  </si>
  <si>
    <t>Locale Restriction &amp; Jurisdiction Control</t>
  </si>
  <si>
    <t>Backlog section 16.1 from Budgie AI Product Backlog v0.3. Child feature rows below are the estimate rows.</t>
  </si>
  <si>
    <t>16.1.1</t>
  </si>
  <si>
    <t>Restrict app availability to approved markets via app store settings (Singapore only for MVP)</t>
  </si>
  <si>
    <t>Apple and Google both support geographic availability restrictions</t>
  </si>
  <si>
    <t>16.1.1.FE</t>
  </si>
  <si>
    <t>16.1.1.BE</t>
  </si>
  <si>
    <t>16.1.1.QA</t>
  </si>
  <si>
    <t>16.1.2</t>
  </si>
  <si>
    <t>Server-side locale check - verify user's jurisdiction on registration</t>
  </si>
  <si>
    <t>Belt-and-braces alongside app store restriction</t>
  </si>
  <si>
    <t>16.1.2.FE</t>
  </si>
  <si>
    <t>16.1.2.BE</t>
  </si>
  <si>
    <t>16.1.2.QA</t>
  </si>
  <si>
    <t>16.1.3</t>
  </si>
  <si>
    <t>Restrict Finverse bank connections to Singapore-registered institutions only</t>
  </si>
  <si>
    <t>User cannot add a HK or US bank account from a Singapore locale</t>
  </si>
  <si>
    <t>Epic 2, 16.1.2</t>
  </si>
  <si>
    <t>16.1.3.FE</t>
  </si>
  <si>
    <t>16.1.3.BE</t>
  </si>
  <si>
    <t>16.1.3.QA</t>
  </si>
  <si>
    <t>16.1.4</t>
  </si>
  <si>
    <t>Restrict crypto exchange connections to exchanges available/licensed in the user's locale</t>
  </si>
  <si>
    <t>Exchange availability varies by jurisdiction; must match the user's registered locale</t>
  </si>
  <si>
    <t>Epic 3, 16.1.2</t>
  </si>
  <si>
    <t>16.1.4.FE</t>
  </si>
  <si>
    <t>16.1.4.BE</t>
  </si>
  <si>
    <t>16.1.4.QA</t>
  </si>
  <si>
    <t>16.1.5</t>
  </si>
  <si>
    <t>Restrict DeFi wallet tracking to protocols and chains approved for the user's locale</t>
  </si>
  <si>
    <t>DeFi regulatory status varies by jurisdiction - some protocols may be restricted in certain markets</t>
  </si>
  <si>
    <t>16.1.5.FE</t>
  </si>
  <si>
    <t>16.1.5.BE</t>
  </si>
  <si>
    <t>16.1.5.QA</t>
  </si>
  <si>
    <t>16.1.6</t>
  </si>
  <si>
    <t>Locale-aware connection options - only show the user banks, exchanges, and DeFi options relevant to their registered jurisdiction</t>
  </si>
  <si>
    <t>UX implication - users shouldn't even see options they can't use</t>
  </si>
  <si>
    <t>16.1.3, 16.1.4, 16.1.5</t>
  </si>
  <si>
    <t>16.1.6.FE</t>
  </si>
  <si>
    <t>16.1.6.BE</t>
  </si>
  <si>
    <t>16.1.6.QA</t>
  </si>
  <si>
    <t>16.1.7</t>
  </si>
  <si>
    <t>Graceful handling for users outside supported locales (waitlist capture, not a dead end)</t>
  </si>
  <si>
    <t>Turn a restriction into a marketing opportunity - "we're not in your market yet, but sign up to be first"</t>
  </si>
  <si>
    <t>16.1.7.FE</t>
  </si>
  <si>
    <t>16.1.7.BE</t>
  </si>
  <si>
    <t>16.1.7.QA</t>
  </si>
  <si>
    <t>16.1.8</t>
  </si>
  <si>
    <t>Add Hong Kong as a supported locale (with HK-specific bank, exchange, and DeFi restrictions)</t>
  </si>
  <si>
    <t>Gated by regulatory readiness; each new locale requires its own connection whitelist</t>
  </si>
  <si>
    <t>16.1.2, Epic 13 (HK regulatory review)</t>
  </si>
  <si>
    <t>16.1.8.FE</t>
  </si>
  <si>
    <t>16.1.8.BE</t>
  </si>
  <si>
    <t>16.1.8.QA</t>
  </si>
  <si>
    <t>16.1.9</t>
  </si>
  <si>
    <t>Locale expansion framework - add new markets and their connection restrictions without code changes</t>
  </si>
  <si>
    <t>Configuration-driven rather than hardcoded; each locale is a bundle of: allowed banks, allowed exchanges, allowed chains, regulatory rules</t>
  </si>
  <si>
    <t>16.1.9.FE</t>
  </si>
  <si>
    <t>16.1.9.BE</t>
  </si>
  <si>
    <t>16.1.9.QA</t>
  </si>
  <si>
    <t>16.2</t>
  </si>
  <si>
    <t>Internationalisation Architecture</t>
  </si>
  <si>
    <t>Backlog section 16.2 from Budgie AI Product Backlog v0.3. Child feature rows below are the estimate rows.</t>
  </si>
  <si>
    <t>16.2.1</t>
  </si>
  <si>
    <t>i18n framework selection and integration into mobile app</t>
  </si>
  <si>
    <t>Must be done from day one - all UI strings externalised into language files</t>
  </si>
  <si>
    <t>16.2.1.FE</t>
  </si>
  <si>
    <t>16.2.1.BE</t>
  </si>
  <si>
    <t>16.2.1.QA</t>
  </si>
  <si>
    <t>16.2.2</t>
  </si>
  <si>
    <t>Externalise all user-facing strings (screens, buttons, labels, error messages)</t>
  </si>
  <si>
    <t>Foundational; every screen is affected</t>
  </si>
  <si>
    <t>16.2.2.FE</t>
  </si>
  <si>
    <t>16.2.2.BE</t>
  </si>
  <si>
    <t>16.2.2.QA</t>
  </si>
  <si>
    <t>16.2.3</t>
  </si>
  <si>
    <t>Currency formatting per locale (symbol, decimal separator, thousands separator)</t>
  </si>
  <si>
    <t>Financial app - getting this wrong destroys trust</t>
  </si>
  <si>
    <t>16.2.3.FE</t>
  </si>
  <si>
    <t>16.2.3.BE</t>
  </si>
  <si>
    <t>16.2.3.QA</t>
  </si>
  <si>
    <t>16.2.4</t>
  </si>
  <si>
    <t>Date and time formatting per locale</t>
  </si>
  <si>
    <t>DD/MM/YYYY vs MM/DD/YYYY etc.</t>
  </si>
  <si>
    <t>16.2.4.FE</t>
  </si>
  <si>
    <t>16.2.4.BE</t>
  </si>
  <si>
    <t>16.2.4.QA</t>
  </si>
  <si>
    <t>16.2.5</t>
  </si>
  <si>
    <t>Number formatting per locale</t>
  </si>
  <si>
    <t>Decimal and thousands separators vary</t>
  </si>
  <si>
    <t>16.2.5.FE</t>
  </si>
  <si>
    <t>16.2.5.BE</t>
  </si>
  <si>
    <t>16.2.5.QA</t>
  </si>
  <si>
    <t>16.2.6</t>
  </si>
  <si>
    <t>Right-to-left (RTL) layout support</t>
  </si>
  <si>
    <t>Only relevant if Arabic or Hebrew markets are in scope</t>
  </si>
  <si>
    <t>16.2.6.FE</t>
  </si>
  <si>
    <t>16.2.6.BE</t>
  </si>
  <si>
    <t>16.2.6.QA</t>
  </si>
  <si>
    <t>16.3</t>
  </si>
  <si>
    <t>Language Support</t>
  </si>
  <si>
    <t>Backlog section 16.3 from Budgie AI Product Backlog v0.3. Child feature rows below are the estimate rows.</t>
  </si>
  <si>
    <t>16.3.1</t>
  </si>
  <si>
    <t>English as default and fully supported language</t>
  </si>
  <si>
    <t>Baseline</t>
  </si>
  <si>
    <t>16.3.1.FE</t>
  </si>
  <si>
    <t>16.3.1.BE</t>
  </si>
  <si>
    <t>16.3.1.QA</t>
  </si>
  <si>
    <t>16.3.2</t>
  </si>
  <si>
    <t>Simplified Chinese (Mandarin) translation of all UI strings</t>
  </si>
  <si>
    <t>Significant translation effort; widens Singapore addressable market and prepares for HK</t>
  </si>
  <si>
    <t>16.3.2.FE</t>
  </si>
  <si>
    <t>16.3.2.BE</t>
  </si>
  <si>
    <t>16.3.2.QA</t>
  </si>
  <si>
    <t>16.3.3</t>
  </si>
  <si>
    <t>Language selection in user settings</t>
  </si>
  <si>
    <t>Even if only English at MVP, the mechanism must exist</t>
  </si>
  <si>
    <t>16.3.3.FE</t>
  </si>
  <si>
    <t>16.3.3.BE</t>
  </si>
  <si>
    <t>16.3.3.QA</t>
  </si>
  <si>
    <t>16.3.4</t>
  </si>
  <si>
    <t>Auto-detect preferred language from device settings</t>
  </si>
  <si>
    <t>Reduces friction</t>
  </si>
  <si>
    <t>16.3.4.FE</t>
  </si>
  <si>
    <t>16.3.4.BE</t>
  </si>
  <si>
    <t>16.3.4.QA</t>
  </si>
  <si>
    <t>16.3.5</t>
  </si>
  <si>
    <t>Traditional Chinese translation</t>
  </si>
  <si>
    <t>For Hong Kong and Taiwan markets</t>
  </si>
  <si>
    <t>16.3.5.FE</t>
  </si>
  <si>
    <t>16.3.5.BE</t>
  </si>
  <si>
    <t>16.3.5.QA</t>
  </si>
  <si>
    <t>16.3.6</t>
  </si>
  <si>
    <t>Additional SEA language translations (Malay, Thai, etc.)</t>
  </si>
  <si>
    <t>Per founder's expansion roadmap</t>
  </si>
  <si>
    <t>L per language</t>
  </si>
  <si>
    <t>16.3.6.FE</t>
  </si>
  <si>
    <t>16.3.6.BE</t>
  </si>
  <si>
    <t>16.3.6.QA</t>
  </si>
  <si>
    <t>16.4</t>
  </si>
  <si>
    <t>AI &amp; Notification Localisation</t>
  </si>
  <si>
    <t>Backlog section 16.4 from Budgie AI Product Backlog v0.3. Child feature rows below are the estimate rows.</t>
  </si>
  <si>
    <t>16.4.1</t>
  </si>
  <si>
    <t>Budgie's AI personality defined and tested in English</t>
  </si>
  <si>
    <t>Character, tone, and humour are language-specific</t>
  </si>
  <si>
    <t>Epic 4.1.1</t>
  </si>
  <si>
    <t>16.4.1.FE</t>
  </si>
  <si>
    <t>16.4.1.BE</t>
  </si>
  <si>
    <t>16.4.1.QA</t>
  </si>
  <si>
    <t>16.4.2</t>
  </si>
  <si>
    <t>Budgie's AI personality adapted for Mandarin (not just translated - culturally appropriate tone and idiom)</t>
  </si>
  <si>
    <t>Translation is not localisation - financial humour and coaching style differ culturally</t>
  </si>
  <si>
    <t>16.4.1, 16.3.2</t>
  </si>
  <si>
    <t>16.4.2.FE</t>
  </si>
  <si>
    <t>16.4.2.BE</t>
  </si>
  <si>
    <t>16.4.2.QA</t>
  </si>
  <si>
    <t>16.4.3</t>
  </si>
  <si>
    <t>LLM prompt templates per supported language</t>
  </si>
  <si>
    <t>Each language needs its own prompt engineering</t>
  </si>
  <si>
    <t>Epic 4.2.2, 16.4.2</t>
  </si>
  <si>
    <t>16.4.3.FE</t>
  </si>
  <si>
    <t>16.4.3.BE</t>
  </si>
  <si>
    <t>16.4.3.QA</t>
  </si>
  <si>
    <t>16.4.4</t>
  </si>
  <si>
    <t>Notification and email templates per supported language</t>
  </si>
  <si>
    <t>All outbound comms need localisation</t>
  </si>
  <si>
    <t>Epic 9, 16.3.2</t>
  </si>
  <si>
    <t>16.4.4.FE</t>
  </si>
  <si>
    <t>16.4.4.BE</t>
  </si>
  <si>
    <t>16.4.4.QA</t>
  </si>
  <si>
    <t>16.4.5</t>
  </si>
  <si>
    <t>AI can respond in the user's preferred language</t>
  </si>
  <si>
    <t>LLMs handle multi-language well but quality varies - needs testing</t>
  </si>
  <si>
    <t>16.4.3, Epic 4.2.1</t>
  </si>
  <si>
    <t>16.4.5.FE</t>
  </si>
  <si>
    <t>16.4.5.BE</t>
  </si>
  <si>
    <t>16.4.5.QA</t>
  </si>
  <si>
    <t>16.5</t>
  </si>
  <si>
    <t>Transaction &amp; Data Localisation</t>
  </si>
  <si>
    <t>Backlog section 16.5 from Budgie AI Product Backlog v0.3. Child feature rows below are the estimate rows.</t>
  </si>
  <si>
    <t>16.5.1</t>
  </si>
  <si>
    <t>Handle transaction descriptions in local languages (Mandarin merchant names, etc.)</t>
  </si>
  <si>
    <t>Singapore bank data may contain non-English text</t>
  </si>
  <si>
    <t>Epic 5.1.1</t>
  </si>
  <si>
    <t>16.5.1.FE</t>
  </si>
  <si>
    <t>16.5.1.BE</t>
  </si>
  <si>
    <t>16.5.1.QA</t>
  </si>
  <si>
    <t>16.5.2</t>
  </si>
  <si>
    <t>Category taxonomy localised per language</t>
  </si>
  <si>
    <t>Categories must make sense in each language</t>
  </si>
  <si>
    <t>Epic 5.1.2, 16.3.2</t>
  </si>
  <si>
    <t>16.5.2.FE</t>
  </si>
  <si>
    <t>16.5.2.BE</t>
  </si>
  <si>
    <t>16.5.2.QA</t>
  </si>
  <si>
    <t>16.5.3</t>
  </si>
  <si>
    <t>Financial Health Score explanation localised per language</t>
  </si>
  <si>
    <t>Score methodology must be understandable in each supported language</t>
  </si>
  <si>
    <t>Epic 7.1.3, 16.3.2</t>
  </si>
  <si>
    <t>16.5.3.FE</t>
  </si>
  <si>
    <t>16.5.3.BE</t>
  </si>
  <si>
    <t>16.5.3.QA</t>
  </si>
  <si>
    <t>16.6</t>
  </si>
  <si>
    <t>App Store Localisation</t>
  </si>
  <si>
    <t>Backlog section 16.6 from Budgie AI Product Backlog v0.3. Child feature rows below are the estimate rows.</t>
  </si>
  <si>
    <t>16.6.1</t>
  </si>
  <si>
    <t>English app store listing (title, description, screenshots, keywords)</t>
  </si>
  <si>
    <t>Baseline for Singapore launch</t>
  </si>
  <si>
    <t>16.6.1.FE</t>
  </si>
  <si>
    <t>16.6.1.BE</t>
  </si>
  <si>
    <t>16.6.1.QA</t>
  </si>
  <si>
    <t>16.6.2</t>
  </si>
  <si>
    <t>Mandarin app store listing</t>
  </si>
  <si>
    <t>Improves discoverability for Mandarin-searching users</t>
  </si>
  <si>
    <t>16.6.2.FE</t>
  </si>
  <si>
    <t>16.6.2.BE</t>
  </si>
  <si>
    <t>16.6.2.QA</t>
  </si>
  <si>
    <t>16.6.3</t>
  </si>
  <si>
    <t>Localised screenshots per language</t>
  </si>
  <si>
    <t>App store conversion optimisation</t>
  </si>
  <si>
    <t>16.6.3.FE</t>
  </si>
  <si>
    <t>16.6.3.BE</t>
  </si>
  <si>
    <t>16.6.3.QA</t>
  </si>
  <si>
    <t>Assumptions, Dependencies, and Estimation Notes</t>
  </si>
  <si>
    <t>ID</t>
  </si>
  <si>
    <t>Type</t>
  </si>
  <si>
    <t>Statement</t>
  </si>
  <si>
    <t>Why it matters</t>
  </si>
  <si>
    <t>Owner / source</t>
  </si>
  <si>
    <t>Status</t>
  </si>
  <si>
    <t>A1</t>
  </si>
  <si>
    <t>Assumption</t>
  </si>
  <si>
    <t>MVP is read-only; no money movement or trade execution in scope.</t>
  </si>
  <si>
    <t>Avoids major security/compliance/integration expansion.</t>
  </si>
  <si>
    <t>Product decision</t>
  </si>
  <si>
    <t>Open</t>
  </si>
  <si>
    <t>A2</t>
  </si>
  <si>
    <t>Bank aggregation initially targets Singapore via Finverse or equivalent.</t>
  </si>
  <si>
    <t>Provider coverage materially changes build effort.</t>
  </si>
  <si>
    <t>Discovery validation</t>
  </si>
  <si>
    <t>A3</t>
  </si>
  <si>
    <t>Crypto depth is post-MVP unless explicitly pulled forward.</t>
  </si>
  <si>
    <t>Prevents estimate inflation from broad wallet/protocol support.</t>
  </si>
  <si>
    <t>A4</t>
  </si>
  <si>
    <t>LLM responses must be grounded in structured internal data, not raw provider payloads.</t>
  </si>
  <si>
    <t>Changes AI architecture and data-prep effort.</t>
  </si>
  <si>
    <t>Architecture</t>
  </si>
  <si>
    <t>Fixed</t>
  </si>
  <si>
    <t>A5</t>
  </si>
  <si>
    <t>Financial Health Score v1 can be released with a simpler initial methodology.</t>
  </si>
  <si>
    <t>Allows staged sophistication.</t>
  </si>
  <si>
    <t>Product / analytics</t>
  </si>
  <si>
    <t>D1</t>
  </si>
  <si>
    <t>Dependency</t>
  </si>
  <si>
    <t>Provider contracts / access for bank aggregation.</t>
  </si>
  <si>
    <t>Without access, connectivity estimates remain low-confidence.</t>
  </si>
  <si>
    <t>Business</t>
  </si>
  <si>
    <t>D2</t>
  </si>
  <si>
    <t>Decision on subscription stack (RevenueCat vs direct billing management).</t>
  </si>
  <si>
    <t>Affects entitlement and billing integration work.</t>
  </si>
  <si>
    <t>Product / engineering</t>
  </si>
  <si>
    <t>D3</t>
  </si>
  <si>
    <t>Legal/compliance guidance on consent, disclaimers, and retention.</t>
  </si>
  <si>
    <t>Affects wording, logging, deletion, and AI behavior.</t>
  </si>
  <si>
    <t>Legal</t>
  </si>
  <si>
    <t>D4</t>
  </si>
  <si>
    <t>Selection of notification and analytics platforms.</t>
  </si>
  <si>
    <t>Impacts eventing and instrumentation design.</t>
  </si>
  <si>
    <t>Engineering</t>
  </si>
  <si>
    <t>R1</t>
  </si>
  <si>
    <t>Transaction categorization quality may need iterative tuning.</t>
  </si>
  <si>
    <t>Could add post-launch model/rules work.</t>
  </si>
  <si>
    <t>R2</t>
  </si>
  <si>
    <t>Bank re-authentication friction may impact product design and notifications.</t>
  </si>
  <si>
    <t>Could drive extra UX and operational complexity.</t>
  </si>
  <si>
    <t>Product</t>
  </si>
  <si>
    <t>R3</t>
  </si>
  <si>
    <t>AI guardrails and explainability may take longer than optimistic estimates.</t>
  </si>
  <si>
    <t>Often under-estimated in first-pass plans.</t>
  </si>
  <si>
    <t>Indicative Delivery Phasing</t>
  </si>
  <si>
    <t>Objective</t>
  </si>
  <si>
    <t>Representative scope</t>
  </si>
  <si>
    <t>Entry criteria</t>
  </si>
  <si>
    <t>Exit criteria</t>
  </si>
  <si>
    <t>Indicative effort (PD)</t>
  </si>
  <si>
    <t>MVP Core</t>
  </si>
  <si>
    <t>Demonstrate end-to-end product value</t>
  </si>
  <si>
    <t>Onboarding, bank linking, normalization, categorization, budgets, goals, score, AI Q&amp;A, notifications, analytics baseline</t>
  </si>
  <si>
    <t>Architecture agreed; provider decisions mostly made</t>
  </si>
  <si>
    <t>Usable internal beta with core flows working</t>
  </si>
  <si>
    <t>Best for investor / stakeholder sizing narrative</t>
  </si>
  <si>
    <t>Production Hardening</t>
  </si>
  <si>
    <t>Prepare for real-world launch posture</t>
  </si>
  <si>
    <t>Consent, audit, deletion/export, security hardening, billing validation, admin, ops baseline, deeper PII/guardrails</t>
  </si>
  <si>
    <t>MVP flows materially complete</t>
  </si>
  <si>
    <t>Launch-readiness review passed</t>
  </si>
  <si>
    <t>Often underestimated if omitted from first pass</t>
  </si>
  <si>
    <t>Post-MVP / Expansion</t>
  </si>
  <si>
    <t>Broaden product and market scope</t>
  </si>
  <si>
    <t>Crypto, localization, wider locale support, richer social/share, deeper analytics</t>
  </si>
  <si>
    <t>Stable MVP + hardening baseline</t>
  </si>
  <si>
    <t>Roadmap decision point</t>
  </si>
  <si>
    <t>Should be clearly separated from MVP estimate</t>
  </si>
  <si>
    <t>How to Use This Workbook</t>
  </si>
  <si>
    <t>Step</t>
  </si>
  <si>
    <t>Action</t>
  </si>
  <si>
    <t>Guidance</t>
  </si>
  <si>
    <t>1</t>
  </si>
  <si>
    <t>Edit the WBS sheet.</t>
  </si>
  <si>
    <t>Each feature now has a Feature Summary row plus three child rows for Frontend Development, Backend Development, and Testing / QA.</t>
  </si>
  <si>
    <t>2</t>
  </si>
  <si>
    <t>Enter estimates on the child rows.</t>
  </si>
  <si>
    <t>Put optimistic, likely, pessimistic, contingency, confidence, and risk on the FE / BE / QA rows, not on the summary rows.</t>
  </si>
  <si>
    <t>3</t>
  </si>
  <si>
    <t>Let summary rows roll up automatically.</t>
  </si>
  <si>
    <t>Feature Summary rows sum their three child rows. Section Summary rows sum the feature summaries below them.</t>
  </si>
  <si>
    <t>4</t>
  </si>
  <si>
    <t>Use Version Bucket for roadmap grouping.</t>
  </si>
  <si>
    <t>MVP, v1.1, and v2+ rollups now use the Version Bucket column.</t>
  </si>
  <si>
    <t>5</t>
  </si>
  <si>
    <t>Use Phase separately from Version Bucket.</t>
  </si>
  <si>
    <t>Keep delivery phasing as a separate planning dimension if you still need it.</t>
  </si>
  <si>
    <t>6</t>
  </si>
  <si>
    <t>Capture assumptions in one place.</t>
  </si>
  <si>
    <t>Use the Assumptions sheet so estimate changes remain explainable later.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</si>
</sst>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#,##0.00;(#,##0.00)"/>
  </numFmts>
  <fonts count="25">
    <font>
      <sz val="11.0"/>
      <color rgb="FF000000"/>
      <name val="Carlito"/>
      <scheme val="minor"/>
    </font>
    <font>
      <b/>
      <sz val="16.0"/>
      <color rgb="FF1F1F1F"/>
      <name val="Carlito"/>
    </font>
    <font>
      <sz val="10.0"/>
      <color theme="1"/>
      <name val="Carlito"/>
    </font>
    <font>
      <b/>
      <sz val="11.0"/>
      <color rgb="FFFFFFFF"/>
      <name val="Carlito"/>
    </font>
    <font>
      <b/>
      <sz val="11.0"/>
      <color rgb="FF000000"/>
      <name val="Carlito"/>
    </font>
    <font>
      <b/>
      <sz val="11.0"/>
      <color theme="1"/>
      <name val="Carlito"/>
    </font>
    <font>
      <sz val="11.0"/>
      <color theme="1"/>
      <name val="Carlito"/>
    </font>
    <font>
      <sz val="11.0"/>
      <color rgb="FF000000"/>
      <name val="Carlito"/>
    </font>
    <font>
      <b/>
      <sz val="12.0"/>
      <color theme="1"/>
      <name val="Carlito"/>
    </font>
    <font>
      <b/>
      <color theme="1"/>
      <name val="Carlito"/>
      <scheme val="minor"/>
    </font>
    <font>
      <color theme="1"/>
      <name val="Carlito"/>
      <scheme val="minor"/>
    </font>
    <font>
      <b/>
      <sz val="11.0"/>
      <color rgb="FFFFFFFF"/>
      <name val="Exo 2"/>
    </font>
    <font>
      <b/>
      <sz val="11.0"/>
      <color rgb="FF000000"/>
      <name val="Exo 2"/>
    </font>
    <font>
      <color theme="1"/>
      <name val="Exo 2"/>
    </font>
    <font>
      <b/>
      <sz val="11.0"/>
      <color theme="1"/>
      <name val="Exo 2"/>
    </font>
    <font>
      <sz val="11.0"/>
      <color theme="1"/>
      <name val="Exo 2"/>
    </font>
    <font>
      <sz val="11.0"/>
      <color rgb="FF000000"/>
      <name val="Exo 2"/>
    </font>
    <font>
      <color rgb="FF000000"/>
      <name val="Exo 2"/>
    </font>
    <font>
      <u/>
      <color rgb="FF0000FF"/>
      <name val="Exo 2"/>
    </font>
    <font>
      <b/>
      <color theme="1"/>
      <name val="Exo 2"/>
    </font>
    <font>
      <u/>
      <color theme="1"/>
      <name val="Exo 2"/>
    </font>
    <font>
      <u/>
      <color theme="1"/>
      <name val="Exo 2"/>
    </font>
    <font>
      <u/>
      <color theme="1"/>
      <name val="Exo 2"/>
    </font>
    <font>
      <u/>
      <sz val="11.0"/>
      <color rgb="FF0000FF"/>
      <name val="Exo 2"/>
    </font>
    <font>
      <b/>
      <sz val="14.0"/>
      <color theme="1"/>
      <name val="Carlito"/>
    </font>
  </fonts>
  <fills count="27">
    <fill>
      <patternFill patternType="none"/>
    </fill>
    <fill>
      <patternFill patternType="lightGray"/>
    </fill>
    <fill>
      <patternFill patternType="solid">
        <fgColor rgb="FFDCE6F1"/>
        <bgColor rgb="FFDCE6F1"/>
      </patternFill>
    </fill>
    <fill>
      <patternFill patternType="solid">
        <fgColor rgb="FFF7F9FC"/>
        <bgColor rgb="FFF7F9FC"/>
      </patternFill>
    </fill>
    <fill>
      <patternFill patternType="solid">
        <fgColor rgb="FFD9EAF7"/>
        <bgColor rgb="FFD9EAF7"/>
      </patternFill>
    </fill>
    <fill>
      <patternFill patternType="solid">
        <fgColor rgb="FFEEF4FB"/>
        <bgColor rgb="FFEEF4FB"/>
      </patternFill>
    </fill>
    <fill>
      <patternFill patternType="solid">
        <fgColor rgb="FFE2F0D9"/>
        <bgColor rgb="FFE2F0D9"/>
      </patternFill>
    </fill>
    <fill>
      <patternFill patternType="solid">
        <fgColor rgb="FF70AD47"/>
        <bgColor rgb="FF70AD47"/>
      </patternFill>
    </fill>
    <fill>
      <patternFill patternType="solid">
        <fgColor rgb="FFF3F8EF"/>
        <bgColor rgb="FFF3F8EF"/>
      </patternFill>
    </fill>
    <fill>
      <patternFill patternType="solid">
        <fgColor rgb="FF6D9EEB"/>
        <bgColor rgb="FF6D9EEB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EEF4F8"/>
        <bgColor rgb="FFEEF4F8"/>
      </patternFill>
    </fill>
    <fill>
      <patternFill patternType="solid">
        <fgColor rgb="FFF8FBFD"/>
        <bgColor rgb="FFF8FBFD"/>
      </patternFill>
    </fill>
    <fill>
      <patternFill patternType="solid">
        <fgColor rgb="FFFFF9E8"/>
        <bgColor rgb="FFFFF9E8"/>
      </patternFill>
    </fill>
    <fill>
      <patternFill patternType="solid">
        <fgColor rgb="FFF8F8F8"/>
        <bgColor rgb="FFF8F8F8"/>
      </patternFill>
    </fill>
    <fill>
      <patternFill patternType="solid">
        <fgColor rgb="FFD9D9D9"/>
        <bgColor rgb="FFD9D9D9"/>
      </patternFill>
    </fill>
    <fill>
      <patternFill patternType="solid">
        <fgColor rgb="FFEFEFEF"/>
        <bgColor rgb="FFEFEFEF"/>
      </patternFill>
    </fill>
    <fill>
      <patternFill patternType="solid">
        <fgColor rgb="FFCCCCCC"/>
        <bgColor rgb="FFCCCCCC"/>
      </patternFill>
    </fill>
    <fill>
      <patternFill patternType="solid">
        <fgColor rgb="FFE6B8AF"/>
        <bgColor rgb="FFE6B8AF"/>
      </patternFill>
    </fill>
    <fill>
      <patternFill patternType="solid">
        <fgColor rgb="FFD9EAD3"/>
        <bgColor rgb="FFD9EAD3"/>
      </patternFill>
    </fill>
    <fill>
      <patternFill patternType="solid">
        <fgColor rgb="FFFCE4D6"/>
        <bgColor rgb="FFFCE4D6"/>
      </patternFill>
    </fill>
    <fill>
      <patternFill patternType="solid">
        <fgColor rgb="FFED7D31"/>
        <bgColor rgb="FFED7D31"/>
      </patternFill>
    </fill>
    <fill>
      <patternFill patternType="solid">
        <fgColor rgb="FFFDF2EC"/>
        <bgColor rgb="FFFDF2EC"/>
      </patternFill>
    </fill>
    <fill>
      <patternFill patternType="solid">
        <fgColor rgb="FFEDEDED"/>
        <bgColor rgb="FFEDEDED"/>
      </patternFill>
    </fill>
    <fill>
      <patternFill patternType="solid">
        <fgColor rgb="FFA5A5A5"/>
        <bgColor rgb="FFA5A5A5"/>
      </patternFill>
    </fill>
    <fill>
      <patternFill patternType="solid">
        <fgColor rgb="FFF3F3F3"/>
        <bgColor rgb="FFF3F3F3"/>
      </patternFill>
    </fill>
  </fills>
  <borders count="1">
    <border/>
  </borders>
  <cellStyleXfs count="1">
    <xf borderId="0" fillId="0" fontId="0" numFmtId="0" applyAlignment="1" applyFont="1"/>
  </cellStyleXfs>
  <cellXfs count="24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left" shrinkToFit="0" wrapText="1"/>
    </xf>
    <xf borderId="0" fillId="4" fontId="3" numFmtId="0" xfId="0" applyAlignment="1" applyFill="1" applyFont="1">
      <alignment horizontal="center" shrinkToFit="0" wrapText="0"/>
    </xf>
    <xf borderId="0" fillId="4" fontId="4" numFmtId="0" xfId="0" applyAlignment="1" applyFont="1">
      <alignment shrinkToFit="0" vertical="bottom" wrapText="0"/>
    </xf>
    <xf borderId="0" fillId="5" fontId="5" numFmtId="0" xfId="0" applyAlignment="1" applyFill="1" applyFont="1">
      <alignment shrinkToFit="0" wrapText="0"/>
    </xf>
    <xf borderId="0" fillId="0" fontId="6" numFmtId="164" xfId="0" applyAlignment="1" applyFont="1" applyNumberFormat="1">
      <alignment shrinkToFit="0" wrapText="0"/>
    </xf>
    <xf borderId="0" fillId="0" fontId="7" numFmtId="0" xfId="0" applyAlignment="1" applyFont="1">
      <alignment shrinkToFit="0" vertical="bottom" wrapText="0"/>
    </xf>
    <xf borderId="0" fillId="0" fontId="6" numFmtId="0" xfId="0" applyAlignment="1" applyFont="1">
      <alignment shrinkToFit="0" wrapText="0"/>
    </xf>
    <xf borderId="0" fillId="6" fontId="8" numFmtId="0" xfId="0" applyAlignment="1" applyFill="1" applyFont="1">
      <alignment shrinkToFit="0" wrapText="0"/>
    </xf>
    <xf borderId="0" fillId="7" fontId="3" numFmtId="0" xfId="0" applyAlignment="1" applyFill="1" applyFont="1">
      <alignment horizontal="center" shrinkToFit="0" wrapText="0"/>
    </xf>
    <xf borderId="0" fillId="8" fontId="5" numFmtId="0" xfId="0" applyAlignment="1" applyFill="1" applyFont="1">
      <alignment shrinkToFit="0" wrapText="0"/>
    </xf>
    <xf borderId="0" fillId="8" fontId="5" numFmtId="0" xfId="0" applyFont="1"/>
    <xf borderId="0" fillId="0" fontId="6" numFmtId="164" xfId="0" applyFont="1" applyNumberFormat="1"/>
    <xf borderId="0" fillId="5" fontId="5" numFmtId="0" xfId="0" applyAlignment="1" applyFont="1">
      <alignment readingOrder="0" shrinkToFit="0" wrapText="0"/>
    </xf>
    <xf borderId="0" fillId="0" fontId="9" numFmtId="164" xfId="0" applyFont="1" applyNumberFormat="1"/>
    <xf borderId="0" fillId="6" fontId="8" numFmtId="0" xfId="0" applyAlignment="1" applyFont="1">
      <alignment readingOrder="0" shrinkToFit="0" wrapText="0"/>
    </xf>
    <xf borderId="0" fillId="0" fontId="10" numFmtId="0" xfId="0" applyAlignment="1" applyFont="1">
      <alignment readingOrder="0"/>
    </xf>
    <xf borderId="0" fillId="0" fontId="10" numFmtId="4" xfId="0" applyFont="1" applyNumberFormat="1"/>
    <xf borderId="0" fillId="9" fontId="11" numFmtId="0" xfId="0" applyAlignment="1" applyFill="1" applyFont="1">
      <alignment horizontal="center" shrinkToFit="0" vertical="center" wrapText="0"/>
    </xf>
    <xf borderId="0" fillId="9" fontId="11" numFmtId="0" xfId="0" applyAlignment="1" applyFont="1">
      <alignment horizontal="center" shrinkToFit="0" vertical="center" wrapText="1"/>
    </xf>
    <xf borderId="0" fillId="9" fontId="11" numFmtId="0" xfId="0" applyAlignment="1" applyFont="1">
      <alignment horizontal="center" readingOrder="0" shrinkToFit="0" vertical="center" wrapText="0"/>
    </xf>
    <xf borderId="0" fillId="9" fontId="11" numFmtId="4" xfId="0" applyAlignment="1" applyFont="1" applyNumberFormat="1">
      <alignment horizontal="center" shrinkToFit="0" vertical="center" wrapText="0"/>
    </xf>
    <xf borderId="0" fillId="9" fontId="11" numFmtId="10" xfId="0" applyAlignment="1" applyFont="1" applyNumberFormat="1">
      <alignment horizontal="center" shrinkToFit="0" vertical="center" wrapText="0"/>
    </xf>
    <xf borderId="0" fillId="9" fontId="11" numFmtId="165" xfId="0" applyAlignment="1" applyFont="1" applyNumberFormat="1">
      <alignment horizontal="center" shrinkToFit="0" vertical="center" wrapText="0"/>
    </xf>
    <xf borderId="0" fillId="9" fontId="12" numFmtId="0" xfId="0" applyAlignment="1" applyFont="1">
      <alignment horizontal="center" shrinkToFit="0" vertical="bottom" wrapText="0"/>
    </xf>
    <xf borderId="0" fillId="10" fontId="13" numFmtId="0" xfId="0" applyFill="1" applyFont="1"/>
    <xf borderId="0" fillId="11" fontId="14" numFmtId="0" xfId="0" applyAlignment="1" applyFill="1" applyFont="1">
      <alignment readingOrder="0" shrinkToFit="0" vertical="bottom" wrapText="0"/>
    </xf>
    <xf borderId="0" fillId="11" fontId="14" numFmtId="0" xfId="0" applyAlignment="1" applyFont="1">
      <alignment shrinkToFit="0" vertical="bottom" wrapText="1"/>
    </xf>
    <xf borderId="0" fillId="11" fontId="14" numFmtId="0" xfId="0" applyAlignment="1" applyFont="1">
      <alignment shrinkToFit="0" vertical="top" wrapText="1"/>
    </xf>
    <xf borderId="0" fillId="11" fontId="14" numFmtId="0" xfId="0" applyAlignment="1" applyFont="1">
      <alignment shrinkToFit="0" vertical="top" wrapText="0"/>
    </xf>
    <xf borderId="0" fillId="11" fontId="14" numFmtId="164" xfId="0" applyAlignment="1" applyFont="1" applyNumberFormat="1">
      <alignment shrinkToFit="0" vertical="top" wrapText="0"/>
    </xf>
    <xf borderId="0" fillId="11" fontId="14" numFmtId="2" xfId="0" applyAlignment="1" applyFont="1" applyNumberFormat="1">
      <alignment horizontal="center" shrinkToFit="0" vertical="top" wrapText="0"/>
    </xf>
    <xf borderId="0" fillId="11" fontId="14" numFmtId="9" xfId="0" applyAlignment="1" applyFont="1" applyNumberFormat="1">
      <alignment horizontal="center" shrinkToFit="0" vertical="top" wrapText="0"/>
    </xf>
    <xf borderId="0" fillId="11" fontId="14" numFmtId="1" xfId="0" applyAlignment="1" applyFont="1" applyNumberFormat="1">
      <alignment horizontal="center" shrinkToFit="0" vertical="top" wrapText="0"/>
    </xf>
    <xf borderId="0" fillId="11" fontId="12" numFmtId="0" xfId="0" applyAlignment="1" applyFont="1">
      <alignment readingOrder="0" shrinkToFit="0" vertical="bottom" wrapText="0"/>
    </xf>
    <xf borderId="0" fillId="12" fontId="14" numFmtId="0" xfId="0" applyAlignment="1" applyFill="1" applyFont="1">
      <alignment horizontal="left" readingOrder="0" shrinkToFit="0" vertical="bottom" wrapText="0"/>
    </xf>
    <xf borderId="0" fillId="12" fontId="14" numFmtId="0" xfId="0" applyAlignment="1" applyFont="1">
      <alignment readingOrder="0" shrinkToFit="0" vertical="bottom" wrapText="1"/>
    </xf>
    <xf borderId="0" fillId="12" fontId="14" numFmtId="0" xfId="0" applyAlignment="1" applyFont="1">
      <alignment shrinkToFit="0" vertical="bottom" wrapText="1"/>
    </xf>
    <xf borderId="0" fillId="12" fontId="14" numFmtId="0" xfId="0" applyAlignment="1" applyFont="1">
      <alignment shrinkToFit="0" vertical="top" wrapText="1"/>
    </xf>
    <xf borderId="0" fillId="12" fontId="14" numFmtId="0" xfId="0" applyAlignment="1" applyFont="1">
      <alignment shrinkToFit="0" vertical="top" wrapText="0"/>
    </xf>
    <xf borderId="0" fillId="12" fontId="14" numFmtId="164" xfId="0" applyAlignment="1" applyFont="1" applyNumberFormat="1">
      <alignment shrinkToFit="0" vertical="top" wrapText="0"/>
    </xf>
    <xf borderId="0" fillId="12" fontId="14" numFmtId="2" xfId="0" applyAlignment="1" applyFont="1" applyNumberFormat="1">
      <alignment horizontal="center" shrinkToFit="0" vertical="top" wrapText="0"/>
    </xf>
    <xf borderId="0" fillId="12" fontId="14" numFmtId="9" xfId="0" applyAlignment="1" applyFont="1" applyNumberFormat="1">
      <alignment horizontal="center" shrinkToFit="0" vertical="top" wrapText="0"/>
    </xf>
    <xf borderId="0" fillId="12" fontId="14" numFmtId="1" xfId="0" applyAlignment="1" applyFont="1" applyNumberFormat="1">
      <alignment horizontal="center" shrinkToFit="0" vertical="top" wrapText="0"/>
    </xf>
    <xf borderId="0" fillId="12" fontId="12" numFmtId="0" xfId="0" applyAlignment="1" applyFont="1">
      <alignment shrinkToFit="0" vertical="bottom" wrapText="0"/>
    </xf>
    <xf borderId="0" fillId="10" fontId="13" numFmtId="2" xfId="0" applyFont="1" applyNumberFormat="1"/>
    <xf borderId="0" fillId="13" fontId="14" numFmtId="0" xfId="0" applyAlignment="1" applyFill="1" applyFont="1">
      <alignment readingOrder="0" shrinkToFit="0" vertical="bottom" wrapText="0"/>
    </xf>
    <xf borderId="0" fillId="13" fontId="14" numFmtId="0" xfId="0" applyAlignment="1" applyFont="1">
      <alignment shrinkToFit="0" vertical="top" wrapText="1"/>
    </xf>
    <xf borderId="0" fillId="13" fontId="14" numFmtId="0" xfId="0" applyAlignment="1" applyFont="1">
      <alignment shrinkToFit="0" vertical="top" wrapText="0"/>
    </xf>
    <xf borderId="0" fillId="13" fontId="14" numFmtId="164" xfId="0" applyAlignment="1" applyFont="1" applyNumberFormat="1">
      <alignment shrinkToFit="0" vertical="top" wrapText="0"/>
    </xf>
    <xf borderId="0" fillId="13" fontId="14" numFmtId="2" xfId="0" applyAlignment="1" applyFont="1" applyNumberFormat="1">
      <alignment horizontal="center" shrinkToFit="0" vertical="top" wrapText="0"/>
    </xf>
    <xf borderId="0" fillId="13" fontId="14" numFmtId="9" xfId="0" applyAlignment="1" applyFont="1" applyNumberFormat="1">
      <alignment horizontal="center" shrinkToFit="0" vertical="top" wrapText="0"/>
    </xf>
    <xf borderId="0" fillId="13" fontId="14" numFmtId="1" xfId="0" applyAlignment="1" applyFont="1" applyNumberFormat="1">
      <alignment horizontal="center" shrinkToFit="0" vertical="top" wrapText="0"/>
    </xf>
    <xf borderId="0" fillId="13" fontId="12" numFmtId="0" xfId="0" applyAlignment="1" applyFont="1">
      <alignment shrinkToFit="0" vertical="bottom" wrapText="0"/>
    </xf>
    <xf borderId="0" fillId="0" fontId="13" numFmtId="0" xfId="0" applyAlignment="1" applyFont="1">
      <alignment readingOrder="0" shrinkToFit="0" vertical="bottom" wrapText="0"/>
    </xf>
    <xf borderId="0" fillId="0" fontId="15" numFmtId="0" xfId="0" applyAlignment="1" applyFont="1">
      <alignment readingOrder="0" shrinkToFit="0" vertical="bottom" wrapText="1"/>
    </xf>
    <xf borderId="0" fillId="0" fontId="15" numFmtId="0" xfId="0" applyAlignment="1" applyFont="1">
      <alignment shrinkToFit="0" vertical="top" wrapText="1"/>
    </xf>
    <xf borderId="0" fillId="0" fontId="15" numFmtId="0" xfId="0" applyAlignment="1" applyFont="1">
      <alignment shrinkToFit="0" vertical="top" wrapText="0"/>
    </xf>
    <xf borderId="0" fillId="10" fontId="15" numFmtId="164" xfId="0" applyAlignment="1" applyFont="1" applyNumberFormat="1">
      <alignment shrinkToFit="0" vertical="top" wrapText="0"/>
    </xf>
    <xf borderId="0" fillId="14" fontId="16" numFmtId="2" xfId="0" applyAlignment="1" applyFill="1" applyFont="1" applyNumberFormat="1">
      <alignment horizontal="center" readingOrder="0" shrinkToFit="0" vertical="top" wrapText="0"/>
    </xf>
    <xf borderId="0" fillId="14" fontId="7" numFmtId="4" xfId="0" applyAlignment="1" applyFont="1" applyNumberFormat="1">
      <alignment horizontal="center" readingOrder="0" shrinkToFit="0" vertical="top" wrapText="1"/>
    </xf>
    <xf borderId="0" fillId="14" fontId="16" numFmtId="9" xfId="0" applyAlignment="1" applyFont="1" applyNumberFormat="1">
      <alignment horizontal="center" shrinkToFit="0" vertical="top" wrapText="0"/>
    </xf>
    <xf borderId="0" fillId="15" fontId="7" numFmtId="165" xfId="0" applyAlignment="1" applyFill="1" applyFont="1" applyNumberFormat="1">
      <alignment horizontal="center" shrinkToFit="0" vertical="top" wrapText="1"/>
    </xf>
    <xf borderId="0" fillId="15" fontId="16" numFmtId="1" xfId="0" applyAlignment="1" applyFont="1" applyNumberFormat="1">
      <alignment horizontal="center" shrinkToFit="0" vertical="top" wrapText="0"/>
    </xf>
    <xf borderId="0" fillId="0" fontId="16" numFmtId="0" xfId="0" applyAlignment="1" applyFont="1">
      <alignment shrinkToFit="0" vertical="bottom" wrapText="0"/>
    </xf>
    <xf borderId="0" fillId="0" fontId="13" numFmtId="0" xfId="0" applyAlignment="1" applyFont="1">
      <alignment readingOrder="0" shrinkToFit="0" vertical="bottom" wrapText="0"/>
    </xf>
    <xf borderId="0" fillId="14" fontId="16" numFmtId="2" xfId="0" applyAlignment="1" applyFont="1" applyNumberFormat="1">
      <alignment horizontal="center" shrinkToFit="0" vertical="top" wrapText="0"/>
    </xf>
    <xf borderId="0" fillId="14" fontId="7" numFmtId="4" xfId="0" applyAlignment="1" applyFont="1" applyNumberFormat="1">
      <alignment horizontal="center" shrinkToFit="0" vertical="top" wrapText="1"/>
    </xf>
    <xf borderId="0" fillId="0" fontId="16" numFmtId="0" xfId="0" applyAlignment="1" applyFont="1">
      <alignment readingOrder="0" shrinkToFit="0" vertical="bottom" wrapText="1"/>
    </xf>
    <xf borderId="0" fillId="13" fontId="14" numFmtId="0" xfId="0" applyAlignment="1" applyFont="1">
      <alignment readingOrder="0" shrinkToFit="0" vertical="bottom" wrapText="1"/>
    </xf>
    <xf borderId="0" fillId="13" fontId="12" numFmtId="0" xfId="0" applyAlignment="1" applyFont="1">
      <alignment readingOrder="0" shrinkToFit="0" vertical="bottom" wrapText="0"/>
    </xf>
    <xf borderId="0" fillId="0" fontId="17" numFmtId="0" xfId="0" applyAlignment="1" applyFont="1">
      <alignment readingOrder="0" shrinkToFit="0" vertical="bottom" wrapText="0"/>
    </xf>
    <xf borderId="0" fillId="0" fontId="17" numFmtId="0" xfId="0" applyAlignment="1" applyFont="1">
      <alignment readingOrder="0" shrinkToFit="0" vertical="bottom" wrapText="0"/>
    </xf>
    <xf borderId="0" fillId="0" fontId="18" numFmtId="0" xfId="0" applyAlignment="1" applyFont="1">
      <alignment readingOrder="0" shrinkToFit="0" vertical="bottom" wrapText="0"/>
    </xf>
    <xf borderId="0" fillId="12" fontId="14" numFmtId="0" xfId="0" applyAlignment="1" applyFont="1">
      <alignment shrinkToFit="0" vertical="bottom" wrapText="0"/>
    </xf>
    <xf borderId="0" fillId="13" fontId="14" numFmtId="0" xfId="0" applyAlignment="1" applyFont="1">
      <alignment shrinkToFit="0" vertical="bottom" wrapText="0"/>
    </xf>
    <xf borderId="0" fillId="13" fontId="14" numFmtId="0" xfId="0" applyAlignment="1" applyFont="1">
      <alignment shrinkToFit="0" vertical="bottom" wrapText="1"/>
    </xf>
    <xf borderId="0" fillId="0" fontId="13" numFmtId="0" xfId="0" applyAlignment="1" applyFont="1">
      <alignment shrinkToFit="0" vertical="bottom" wrapText="0"/>
    </xf>
    <xf borderId="0" fillId="0" fontId="15" numFmtId="0" xfId="0" applyAlignment="1" applyFont="1">
      <alignment shrinkToFit="0" vertical="bottom" wrapText="1"/>
    </xf>
    <xf borderId="0" fillId="13" fontId="12" numFmtId="2" xfId="0" applyAlignment="1" applyFont="1" applyNumberFormat="1">
      <alignment horizontal="center" shrinkToFit="0" vertical="top" wrapText="0"/>
    </xf>
    <xf borderId="0" fillId="13" fontId="12" numFmtId="9" xfId="0" applyAlignment="1" applyFont="1" applyNumberFormat="1">
      <alignment horizontal="center" shrinkToFit="0" vertical="top" wrapText="0"/>
    </xf>
    <xf borderId="0" fillId="13" fontId="12" numFmtId="1" xfId="0" applyAlignment="1" applyFont="1" applyNumberFormat="1">
      <alignment horizontal="center" shrinkToFit="0" vertical="top" wrapText="0"/>
    </xf>
    <xf borderId="0" fillId="14" fontId="16" numFmtId="2" xfId="0" applyAlignment="1" applyFont="1" applyNumberFormat="1">
      <alignment horizontal="center" vertical="top"/>
    </xf>
    <xf borderId="0" fillId="14" fontId="16" numFmtId="9" xfId="0" applyAlignment="1" applyFont="1" applyNumberFormat="1">
      <alignment horizontal="center" vertical="top"/>
    </xf>
    <xf borderId="0" fillId="15" fontId="16" numFmtId="1" xfId="0" applyAlignment="1" applyFont="1" applyNumberFormat="1">
      <alignment horizontal="center" vertical="top"/>
    </xf>
    <xf borderId="0" fillId="13" fontId="12" numFmtId="2" xfId="0" applyAlignment="1" applyFont="1" applyNumberFormat="1">
      <alignment horizontal="center" vertical="top"/>
    </xf>
    <xf borderId="0" fillId="13" fontId="7" numFmtId="9" xfId="0" applyAlignment="1" applyFont="1" applyNumberFormat="1">
      <alignment vertical="top"/>
    </xf>
    <xf borderId="0" fillId="13" fontId="7" numFmtId="1" xfId="0" applyAlignment="1" applyFont="1" applyNumberFormat="1">
      <alignment vertical="top"/>
    </xf>
    <xf borderId="0" fillId="14" fontId="16" numFmtId="2" xfId="0" applyAlignment="1" applyFont="1" applyNumberFormat="1">
      <alignment horizontal="center" readingOrder="0" vertical="top"/>
    </xf>
    <xf borderId="0" fillId="12" fontId="12" numFmtId="2" xfId="0" applyAlignment="1" applyFont="1" applyNumberFormat="1">
      <alignment horizontal="center" shrinkToFit="0" vertical="top" wrapText="0"/>
    </xf>
    <xf borderId="0" fillId="12" fontId="12" numFmtId="9" xfId="0" applyAlignment="1" applyFont="1" applyNumberFormat="1">
      <alignment horizontal="center" shrinkToFit="0" vertical="top" wrapText="0"/>
    </xf>
    <xf borderId="0" fillId="12" fontId="12" numFmtId="1" xfId="0" applyAlignment="1" applyFont="1" applyNumberFormat="1">
      <alignment horizontal="center" shrinkToFit="0" vertical="top" wrapText="0"/>
    </xf>
    <xf borderId="0" fillId="14" fontId="16" numFmtId="9" xfId="0" applyAlignment="1" applyFont="1" applyNumberFormat="1">
      <alignment horizontal="center" readingOrder="0" shrinkToFit="0" vertical="top" wrapText="0"/>
    </xf>
    <xf borderId="0" fillId="0" fontId="15" numFmtId="0" xfId="0" applyAlignment="1" applyFont="1">
      <alignment shrinkToFit="0" wrapText="1"/>
    </xf>
    <xf borderId="0" fillId="0" fontId="15" numFmtId="0" xfId="0" applyAlignment="1" applyFont="1">
      <alignment shrinkToFit="0" wrapText="0"/>
    </xf>
    <xf borderId="0" fillId="10" fontId="15" numFmtId="164" xfId="0" applyAlignment="1" applyFont="1" applyNumberFormat="1">
      <alignment shrinkToFit="0" wrapText="0"/>
    </xf>
    <xf borderId="0" fillId="0" fontId="13" numFmtId="0" xfId="0" applyAlignment="1" applyFont="1">
      <alignment shrinkToFit="0" wrapText="0"/>
    </xf>
    <xf borderId="0" fillId="16" fontId="12" numFmtId="0" xfId="0" applyAlignment="1" applyFill="1" applyFont="1">
      <alignment shrinkToFit="0" vertical="bottom" wrapText="0"/>
    </xf>
    <xf borderId="0" fillId="16" fontId="12" numFmtId="0" xfId="0" applyAlignment="1" applyFont="1">
      <alignment shrinkToFit="0" vertical="bottom" wrapText="1"/>
    </xf>
    <xf borderId="0" fillId="16" fontId="19" numFmtId="0" xfId="0" applyAlignment="1" applyFont="1">
      <alignment shrinkToFit="0" wrapText="0"/>
    </xf>
    <xf borderId="0" fillId="16" fontId="19" numFmtId="2" xfId="0" applyAlignment="1" applyFont="1" applyNumberFormat="1">
      <alignment horizontal="center" shrinkToFit="0" vertical="top" wrapText="0"/>
    </xf>
    <xf borderId="0" fillId="16" fontId="15" numFmtId="2" xfId="0" applyAlignment="1" applyFont="1" applyNumberFormat="1">
      <alignment horizontal="center" shrinkToFit="0" vertical="top" wrapText="0"/>
    </xf>
    <xf borderId="0" fillId="16" fontId="19" numFmtId="9" xfId="0" applyAlignment="1" applyFont="1" applyNumberFormat="1">
      <alignment horizontal="center" shrinkToFit="0" vertical="top" wrapText="0"/>
    </xf>
    <xf borderId="0" fillId="16" fontId="19" numFmtId="1" xfId="0" applyAlignment="1" applyFont="1" applyNumberFormat="1">
      <alignment horizontal="center" shrinkToFit="0" wrapText="0"/>
    </xf>
    <xf borderId="0" fillId="0" fontId="15" numFmtId="2" xfId="0" applyAlignment="1" applyFont="1" applyNumberFormat="1">
      <alignment horizontal="right" vertical="bottom"/>
    </xf>
    <xf borderId="0" fillId="17" fontId="16" numFmtId="0" xfId="0" applyAlignment="1" applyFill="1" applyFont="1">
      <alignment shrinkToFit="0" vertical="bottom" wrapText="0"/>
    </xf>
    <xf borderId="0" fillId="17" fontId="16" numFmtId="0" xfId="0" applyAlignment="1" applyFont="1">
      <alignment shrinkToFit="0" vertical="bottom" wrapText="1"/>
    </xf>
    <xf borderId="0" fillId="17" fontId="13" numFmtId="0" xfId="0" applyAlignment="1" applyFont="1">
      <alignment shrinkToFit="0" wrapText="0"/>
    </xf>
    <xf borderId="0" fillId="17" fontId="15" numFmtId="2" xfId="0" applyAlignment="1" applyFont="1" applyNumberFormat="1">
      <alignment horizontal="center" shrinkToFit="0" vertical="top" wrapText="0"/>
    </xf>
    <xf borderId="0" fillId="17" fontId="15" numFmtId="9" xfId="0" applyAlignment="1" applyFont="1" applyNumberFormat="1">
      <alignment horizontal="center" shrinkToFit="0" vertical="top" wrapText="0"/>
    </xf>
    <xf borderId="0" fillId="17" fontId="15" numFmtId="1" xfId="0" applyAlignment="1" applyFont="1" applyNumberFormat="1">
      <alignment horizontal="center" shrinkToFit="0" vertical="top" wrapText="0"/>
    </xf>
    <xf borderId="0" fillId="12" fontId="19" numFmtId="0" xfId="0" applyAlignment="1" applyFont="1">
      <alignment shrinkToFit="0" vertical="bottom" wrapText="0"/>
    </xf>
    <xf borderId="0" fillId="12" fontId="14" numFmtId="0" xfId="0" applyAlignment="1" applyFont="1">
      <alignment shrinkToFit="0" wrapText="1"/>
    </xf>
    <xf borderId="0" fillId="12" fontId="14" numFmtId="0" xfId="0" applyAlignment="1" applyFont="1">
      <alignment shrinkToFit="0" wrapText="0"/>
    </xf>
    <xf borderId="0" fillId="12" fontId="14" numFmtId="164" xfId="0" applyAlignment="1" applyFont="1" applyNumberFormat="1">
      <alignment shrinkToFit="0" wrapText="0"/>
    </xf>
    <xf borderId="0" fillId="13" fontId="19" numFmtId="0" xfId="0" applyAlignment="1" applyFont="1">
      <alignment shrinkToFit="0" vertical="bottom" wrapText="0"/>
    </xf>
    <xf borderId="0" fillId="13" fontId="14" numFmtId="0" xfId="0" applyAlignment="1" applyFont="1">
      <alignment shrinkToFit="0" wrapText="1"/>
    </xf>
    <xf borderId="0" fillId="13" fontId="14" numFmtId="0" xfId="0" applyAlignment="1" applyFont="1">
      <alignment shrinkToFit="0" wrapText="0"/>
    </xf>
    <xf borderId="0" fillId="13" fontId="19" numFmtId="0" xfId="0" applyAlignment="1" applyFont="1">
      <alignment shrinkToFit="0" wrapText="0"/>
    </xf>
    <xf borderId="0" fillId="13" fontId="14" numFmtId="164" xfId="0" applyAlignment="1" applyFont="1" applyNumberFormat="1">
      <alignment shrinkToFit="0" wrapText="0"/>
    </xf>
    <xf borderId="0" fillId="0" fontId="15" numFmtId="164" xfId="0" applyAlignment="1" applyFont="1" applyNumberFormat="1">
      <alignment shrinkToFit="0" wrapText="0"/>
    </xf>
    <xf borderId="0" fillId="13" fontId="7" numFmtId="1" xfId="0" applyAlignment="1" applyFont="1" applyNumberFormat="1">
      <alignment vertical="bottom"/>
    </xf>
    <xf borderId="0" fillId="12" fontId="19" numFmtId="0" xfId="0" applyAlignment="1" applyFont="1">
      <alignment shrinkToFit="0" wrapText="0"/>
    </xf>
    <xf borderId="0" fillId="12" fontId="14" numFmtId="9" xfId="0" applyAlignment="1" applyFont="1" applyNumberFormat="1">
      <alignment horizontal="center" shrinkToFit="0" wrapText="0"/>
    </xf>
    <xf borderId="0" fillId="12" fontId="19" numFmtId="2" xfId="0" applyAlignment="1" applyFont="1" applyNumberFormat="1">
      <alignment horizontal="center" shrinkToFit="0" wrapText="0"/>
    </xf>
    <xf borderId="0" fillId="12" fontId="19" numFmtId="1" xfId="0" applyAlignment="1" applyFont="1" applyNumberFormat="1">
      <alignment horizontal="center" shrinkToFit="0" wrapText="0"/>
    </xf>
    <xf borderId="0" fillId="13" fontId="19" numFmtId="0" xfId="0" applyAlignment="1" applyFont="1">
      <alignment readingOrder="0" shrinkToFit="0" vertical="bottom" wrapText="0"/>
    </xf>
    <xf borderId="0" fillId="14" fontId="15" numFmtId="2" xfId="0" applyAlignment="1" applyFont="1" applyNumberFormat="1">
      <alignment horizontal="center" readingOrder="0" shrinkToFit="0" vertical="top" wrapText="0"/>
    </xf>
    <xf borderId="0" fillId="14" fontId="15" numFmtId="2" xfId="0" applyAlignment="1" applyFont="1" applyNumberFormat="1">
      <alignment horizontal="center" shrinkToFit="0" vertical="top" wrapText="0"/>
    </xf>
    <xf borderId="0" fillId="14" fontId="6" numFmtId="4" xfId="0" applyAlignment="1" applyFont="1" applyNumberFormat="1">
      <alignment horizontal="center" shrinkToFit="0" vertical="top" wrapText="1"/>
    </xf>
    <xf borderId="0" fillId="15" fontId="6" numFmtId="165" xfId="0" applyAlignment="1" applyFont="1" applyNumberFormat="1">
      <alignment horizontal="center" shrinkToFit="0" vertical="top" wrapText="1"/>
    </xf>
    <xf borderId="0" fillId="15" fontId="15" numFmtId="1" xfId="0" applyAlignment="1" applyFont="1" applyNumberFormat="1">
      <alignment horizontal="center" shrinkToFit="0" vertical="top" wrapText="0"/>
    </xf>
    <xf borderId="0" fillId="0" fontId="20" numFmtId="0" xfId="0" applyAlignment="1" applyFont="1">
      <alignment shrinkToFit="0" vertical="bottom" wrapText="0"/>
    </xf>
    <xf borderId="0" fillId="16" fontId="19" numFmtId="0" xfId="0" applyAlignment="1" applyFont="1">
      <alignment shrinkToFit="0" vertical="bottom" wrapText="0"/>
    </xf>
    <xf borderId="0" fillId="16" fontId="14" numFmtId="0" xfId="0" applyAlignment="1" applyFont="1">
      <alignment shrinkToFit="0" vertical="bottom" wrapText="1"/>
    </xf>
    <xf borderId="0" fillId="16" fontId="14" numFmtId="0" xfId="0" applyAlignment="1" applyFont="1">
      <alignment shrinkToFit="0" wrapText="1"/>
    </xf>
    <xf borderId="0" fillId="16" fontId="14" numFmtId="0" xfId="0" applyAlignment="1" applyFont="1">
      <alignment shrinkToFit="0" wrapText="0"/>
    </xf>
    <xf borderId="0" fillId="16" fontId="14" numFmtId="164" xfId="0" applyAlignment="1" applyFont="1" applyNumberFormat="1">
      <alignment shrinkToFit="0" wrapText="0"/>
    </xf>
    <xf borderId="0" fillId="16" fontId="14" numFmtId="2" xfId="0" applyAlignment="1" applyFont="1" applyNumberFormat="1">
      <alignment horizontal="center" shrinkToFit="0" vertical="top" wrapText="0"/>
    </xf>
    <xf borderId="0" fillId="16" fontId="14" numFmtId="9" xfId="0" applyAlignment="1" applyFont="1" applyNumberFormat="1">
      <alignment horizontal="center" shrinkToFit="0" vertical="top" wrapText="0"/>
    </xf>
    <xf borderId="0" fillId="16" fontId="14" numFmtId="1" xfId="0" applyAlignment="1" applyFont="1" applyNumberFormat="1">
      <alignment horizontal="center" shrinkToFit="0" vertical="top" wrapText="0"/>
    </xf>
    <xf borderId="0" fillId="17" fontId="13" numFmtId="0" xfId="0" applyAlignment="1" applyFont="1">
      <alignment shrinkToFit="0" vertical="bottom" wrapText="0"/>
    </xf>
    <xf borderId="0" fillId="17" fontId="15" numFmtId="0" xfId="0" applyAlignment="1" applyFont="1">
      <alignment shrinkToFit="0" vertical="bottom" wrapText="1"/>
    </xf>
    <xf borderId="0" fillId="17" fontId="15" numFmtId="0" xfId="0" applyAlignment="1" applyFont="1">
      <alignment shrinkToFit="0" wrapText="1"/>
    </xf>
    <xf borderId="0" fillId="17" fontId="15" numFmtId="0" xfId="0" applyAlignment="1" applyFont="1">
      <alignment shrinkToFit="0" wrapText="0"/>
    </xf>
    <xf borderId="0" fillId="17" fontId="15" numFmtId="164" xfId="0" applyAlignment="1" applyFont="1" applyNumberFormat="1">
      <alignment shrinkToFit="0" wrapText="0"/>
    </xf>
    <xf borderId="0" fillId="17" fontId="6" numFmtId="4" xfId="0" applyAlignment="1" applyFont="1" applyNumberFormat="1">
      <alignment horizontal="center" shrinkToFit="0" vertical="top" wrapText="1"/>
    </xf>
    <xf borderId="0" fillId="17" fontId="6" numFmtId="165" xfId="0" applyAlignment="1" applyFont="1" applyNumberFormat="1">
      <alignment horizontal="center" shrinkToFit="0" vertical="top" wrapText="1"/>
    </xf>
    <xf borderId="0" fillId="17" fontId="15" numFmtId="2" xfId="0" applyAlignment="1" applyFont="1" applyNumberFormat="1">
      <alignment horizontal="center" shrinkToFit="0" wrapText="0"/>
    </xf>
    <xf borderId="0" fillId="17" fontId="13" numFmtId="1" xfId="0" applyAlignment="1" applyFont="1" applyNumberFormat="1">
      <alignment horizontal="center" shrinkToFit="0" wrapText="0"/>
    </xf>
    <xf borderId="0" fillId="17" fontId="21" numFmtId="0" xfId="0" applyAlignment="1" applyFont="1">
      <alignment shrinkToFit="0" vertical="bottom" wrapText="0"/>
    </xf>
    <xf borderId="0" fillId="14" fontId="7" numFmtId="2" xfId="0" applyAlignment="1" applyFont="1" applyNumberFormat="1">
      <alignment horizontal="center" readingOrder="0" vertical="top"/>
    </xf>
    <xf borderId="0" fillId="14" fontId="7" numFmtId="9" xfId="0" applyAlignment="1" applyFont="1" applyNumberFormat="1">
      <alignment horizontal="center" vertical="top"/>
    </xf>
    <xf borderId="0" fillId="15" fontId="7" numFmtId="1" xfId="0" applyAlignment="1" applyFont="1" applyNumberFormat="1">
      <alignment vertical="top"/>
    </xf>
    <xf borderId="0" fillId="12" fontId="12" numFmtId="2" xfId="0" applyAlignment="1" applyFont="1" applyNumberFormat="1">
      <alignment horizontal="center" vertical="top"/>
    </xf>
    <xf borderId="0" fillId="12" fontId="7" numFmtId="9" xfId="0" applyAlignment="1" applyFont="1" applyNumberFormat="1">
      <alignment vertical="top"/>
    </xf>
    <xf borderId="0" fillId="12" fontId="7" numFmtId="1" xfId="0" applyAlignment="1" applyFont="1" applyNumberFormat="1">
      <alignment vertical="top"/>
    </xf>
    <xf borderId="0" fillId="14" fontId="7" numFmtId="9" xfId="0" applyAlignment="1" applyFont="1" applyNumberFormat="1">
      <alignment vertical="top"/>
    </xf>
    <xf borderId="0" fillId="14" fontId="15" numFmtId="9" xfId="0" applyAlignment="1" applyFont="1" applyNumberFormat="1">
      <alignment horizontal="center" shrinkToFit="0" vertical="top" wrapText="0"/>
    </xf>
    <xf borderId="0" fillId="13" fontId="14" numFmtId="2" xfId="0" applyAlignment="1" applyFont="1" applyNumberFormat="1">
      <alignment horizontal="center" shrinkToFit="0" wrapText="0"/>
    </xf>
    <xf borderId="0" fillId="13" fontId="14" numFmtId="9" xfId="0" applyAlignment="1" applyFont="1" applyNumberFormat="1">
      <alignment horizontal="center" shrinkToFit="0" wrapText="0"/>
    </xf>
    <xf borderId="0" fillId="13" fontId="19" numFmtId="2" xfId="0" applyAlignment="1" applyFont="1" applyNumberFormat="1">
      <alignment horizontal="center" shrinkToFit="0" wrapText="0"/>
    </xf>
    <xf borderId="0" fillId="13" fontId="19" numFmtId="1" xfId="0" applyAlignment="1" applyFont="1" applyNumberFormat="1">
      <alignment horizontal="center" shrinkToFit="0" wrapText="0"/>
    </xf>
    <xf borderId="0" fillId="14" fontId="15" numFmtId="9" xfId="0" applyAlignment="1" applyFont="1" applyNumberFormat="1">
      <alignment horizontal="center" readingOrder="0" shrinkToFit="0" vertical="top" wrapText="0"/>
    </xf>
    <xf borderId="0" fillId="12" fontId="19" numFmtId="0" xfId="0" applyAlignment="1" applyFont="1">
      <alignment horizontal="left" readingOrder="0" shrinkToFit="0" vertical="bottom" wrapText="0"/>
    </xf>
    <xf borderId="0" fillId="13" fontId="14" numFmtId="0" xfId="0" applyAlignment="1" applyFont="1">
      <alignment readingOrder="0" shrinkToFit="0" wrapText="0"/>
    </xf>
    <xf borderId="0" fillId="13" fontId="14" numFmtId="0" xfId="0" applyAlignment="1" applyFont="1">
      <alignment readingOrder="0" shrinkToFit="0" wrapText="1"/>
    </xf>
    <xf borderId="0" fillId="13" fontId="14" numFmtId="164" xfId="0" applyAlignment="1" applyFont="1" applyNumberFormat="1">
      <alignment readingOrder="0" shrinkToFit="0" wrapText="0"/>
    </xf>
    <xf borderId="0" fillId="0" fontId="15" numFmtId="0" xfId="0" applyAlignment="1" applyFont="1">
      <alignment readingOrder="0" shrinkToFit="0" wrapText="1"/>
    </xf>
    <xf borderId="0" fillId="13" fontId="14" numFmtId="0" xfId="0" applyAlignment="1" applyFont="1">
      <alignment readingOrder="0" vertical="bottom"/>
    </xf>
    <xf borderId="0" fillId="13" fontId="6" numFmtId="0" xfId="0" applyAlignment="1" applyFont="1">
      <alignment vertical="bottom"/>
    </xf>
    <xf borderId="0" fillId="13" fontId="14" numFmtId="164" xfId="0" applyAlignment="1" applyFont="1" applyNumberFormat="1">
      <alignment vertical="bottom"/>
    </xf>
    <xf borderId="0" fillId="13" fontId="6" numFmtId="2" xfId="0" applyAlignment="1" applyFont="1" applyNumberFormat="1">
      <alignment vertical="top"/>
    </xf>
    <xf borderId="0" fillId="13" fontId="14" numFmtId="2" xfId="0" applyAlignment="1" applyFont="1" applyNumberFormat="1">
      <alignment horizontal="center" vertical="top"/>
    </xf>
    <xf borderId="0" fillId="13" fontId="6" numFmtId="9" xfId="0" applyAlignment="1" applyFont="1" applyNumberFormat="1">
      <alignment vertical="top"/>
    </xf>
    <xf borderId="0" fillId="13" fontId="6" numFmtId="1" xfId="0" applyAlignment="1" applyFont="1" applyNumberFormat="1">
      <alignment vertical="top"/>
    </xf>
    <xf borderId="0" fillId="13" fontId="14" numFmtId="0" xfId="0" applyAlignment="1" applyFont="1">
      <alignment vertical="bottom"/>
    </xf>
    <xf borderId="0" fillId="10" fontId="6" numFmtId="0" xfId="0" applyAlignment="1" applyFont="1">
      <alignment vertical="bottom"/>
    </xf>
    <xf borderId="0" fillId="0" fontId="6" numFmtId="0" xfId="0" applyAlignment="1" applyFont="1">
      <alignment vertical="bottom"/>
    </xf>
    <xf borderId="0" fillId="14" fontId="15" numFmtId="2" xfId="0" applyAlignment="1" applyFont="1" applyNumberFormat="1">
      <alignment horizontal="center" vertical="top"/>
    </xf>
    <xf borderId="0" fillId="18" fontId="19" numFmtId="0" xfId="0" applyAlignment="1" applyFill="1" applyFont="1">
      <alignment shrinkToFit="0" vertical="bottom" wrapText="0"/>
    </xf>
    <xf borderId="0" fillId="18" fontId="14" numFmtId="0" xfId="0" applyAlignment="1" applyFont="1">
      <alignment shrinkToFit="0" vertical="bottom" wrapText="1"/>
    </xf>
    <xf borderId="0" fillId="18" fontId="14" numFmtId="0" xfId="0" applyAlignment="1" applyFont="1">
      <alignment shrinkToFit="0" wrapText="1"/>
    </xf>
    <xf borderId="0" fillId="18" fontId="14" numFmtId="0" xfId="0" applyAlignment="1" applyFont="1">
      <alignment shrinkToFit="0" wrapText="0"/>
    </xf>
    <xf borderId="0" fillId="18" fontId="19" numFmtId="0" xfId="0" applyAlignment="1" applyFont="1">
      <alignment shrinkToFit="0" wrapText="0"/>
    </xf>
    <xf borderId="0" fillId="18" fontId="12" numFmtId="0" xfId="0" applyAlignment="1" applyFont="1">
      <alignment shrinkToFit="0" vertical="bottom" wrapText="0"/>
    </xf>
    <xf borderId="0" fillId="18" fontId="14" numFmtId="164" xfId="0" applyAlignment="1" applyFont="1" applyNumberFormat="1">
      <alignment shrinkToFit="0" wrapText="0"/>
    </xf>
    <xf borderId="0" fillId="18" fontId="14" numFmtId="2" xfId="0" applyAlignment="1" applyFont="1" applyNumberFormat="1">
      <alignment horizontal="center" shrinkToFit="0" vertical="top" wrapText="0"/>
    </xf>
    <xf borderId="0" fillId="18" fontId="15" numFmtId="2" xfId="0" applyAlignment="1" applyFont="1" applyNumberFormat="1">
      <alignment horizontal="center" shrinkToFit="0" vertical="top" wrapText="0"/>
    </xf>
    <xf borderId="0" fillId="18" fontId="14" numFmtId="9" xfId="0" applyAlignment="1" applyFont="1" applyNumberFormat="1">
      <alignment horizontal="center" shrinkToFit="0" vertical="top" wrapText="0"/>
    </xf>
    <xf borderId="0" fillId="18" fontId="14" numFmtId="1" xfId="0" applyAlignment="1" applyFont="1" applyNumberFormat="1">
      <alignment horizontal="center" shrinkToFit="0" vertical="top" wrapText="0"/>
    </xf>
    <xf borderId="0" fillId="16" fontId="14" numFmtId="2" xfId="0" applyAlignment="1" applyFont="1" applyNumberFormat="1">
      <alignment horizontal="center" shrinkToFit="0" wrapText="0"/>
    </xf>
    <xf borderId="0" fillId="16" fontId="14" numFmtId="9" xfId="0" applyAlignment="1" applyFont="1" applyNumberFormat="1">
      <alignment horizontal="center" shrinkToFit="0" wrapText="0"/>
    </xf>
    <xf borderId="0" fillId="16" fontId="19" numFmtId="2" xfId="0" applyAlignment="1" applyFont="1" applyNumberFormat="1">
      <alignment horizontal="center" shrinkToFit="0" wrapText="0"/>
    </xf>
    <xf borderId="0" fillId="18" fontId="14" numFmtId="2" xfId="0" applyAlignment="1" applyFont="1" applyNumberFormat="1">
      <alignment horizontal="center" shrinkToFit="0" wrapText="0"/>
    </xf>
    <xf borderId="0" fillId="18" fontId="14" numFmtId="9" xfId="0" applyAlignment="1" applyFont="1" applyNumberFormat="1">
      <alignment horizontal="center" shrinkToFit="0" wrapText="0"/>
    </xf>
    <xf borderId="0" fillId="18" fontId="19" numFmtId="2" xfId="0" applyAlignment="1" applyFont="1" applyNumberFormat="1">
      <alignment horizontal="center" shrinkToFit="0" wrapText="0"/>
    </xf>
    <xf borderId="0" fillId="18" fontId="19" numFmtId="1" xfId="0" applyAlignment="1" applyFont="1" applyNumberFormat="1">
      <alignment horizontal="center" shrinkToFit="0" wrapText="0"/>
    </xf>
    <xf borderId="0" fillId="0" fontId="15" numFmtId="164" xfId="0" applyAlignment="1" applyFont="1" applyNumberFormat="1">
      <alignment shrinkToFit="0" wrapText="1"/>
    </xf>
    <xf borderId="0" fillId="14" fontId="6" numFmtId="9" xfId="0" applyAlignment="1" applyFont="1" applyNumberFormat="1">
      <alignment vertical="top"/>
    </xf>
    <xf borderId="0" fillId="15" fontId="6" numFmtId="1" xfId="0" applyAlignment="1" applyFont="1" applyNumberFormat="1">
      <alignment vertical="top"/>
    </xf>
    <xf borderId="0" fillId="13" fontId="19" numFmtId="2" xfId="0" applyAlignment="1" applyFont="1" applyNumberFormat="1">
      <alignment horizontal="center" shrinkToFit="0" vertical="top" wrapText="0"/>
    </xf>
    <xf borderId="0" fillId="0" fontId="22" numFmtId="0" xfId="0" applyAlignment="1" applyFont="1">
      <alignment readingOrder="0" shrinkToFit="0" vertical="bottom" wrapText="0"/>
    </xf>
    <xf borderId="0" fillId="0" fontId="15" numFmtId="164" xfId="0" applyAlignment="1" applyFont="1" applyNumberFormat="1">
      <alignment shrinkToFit="0" vertical="bottom" wrapText="1"/>
    </xf>
    <xf borderId="0" fillId="14" fontId="6" numFmtId="4" xfId="0" applyAlignment="1" applyFont="1" applyNumberFormat="1">
      <alignment horizontal="center" readingOrder="0" shrinkToFit="0" vertical="top" wrapText="1"/>
    </xf>
    <xf borderId="0" fillId="17" fontId="13" numFmtId="0" xfId="0" applyAlignment="1" applyFont="1">
      <alignment readingOrder="0" shrinkToFit="0" vertical="bottom" wrapText="0"/>
    </xf>
    <xf borderId="0" fillId="17" fontId="13" numFmtId="0" xfId="0" applyAlignment="1" applyFont="1">
      <alignment readingOrder="0" shrinkToFit="0" vertical="bottom" wrapText="0"/>
    </xf>
    <xf borderId="0" fillId="15" fontId="15" numFmtId="2" xfId="0" applyAlignment="1" applyFont="1" applyNumberFormat="1">
      <alignment horizontal="center" shrinkToFit="0" vertical="top" wrapText="0"/>
    </xf>
    <xf borderId="0" fillId="13" fontId="12" numFmtId="0" xfId="0" applyAlignment="1" applyFont="1">
      <alignment shrinkToFit="0" vertical="bottom" wrapText="1"/>
    </xf>
    <xf borderId="0" fillId="13" fontId="19" numFmtId="9" xfId="0" applyAlignment="1" applyFont="1" applyNumberFormat="1">
      <alignment horizontal="center" shrinkToFit="0" vertical="top" wrapText="0"/>
    </xf>
    <xf borderId="0" fillId="10" fontId="13" numFmtId="0" xfId="0" applyAlignment="1" applyFont="1">
      <alignment shrinkToFit="0" vertical="bottom" wrapText="0"/>
    </xf>
    <xf borderId="0" fillId="12" fontId="12" numFmtId="0" xfId="0" applyAlignment="1" applyFont="1">
      <alignment shrinkToFit="0" vertical="bottom" wrapText="1"/>
    </xf>
    <xf borderId="0" fillId="12" fontId="19" numFmtId="2" xfId="0" applyAlignment="1" applyFont="1" applyNumberFormat="1">
      <alignment horizontal="center" shrinkToFit="0" vertical="top" wrapText="0"/>
    </xf>
    <xf borderId="0" fillId="12" fontId="19" numFmtId="9" xfId="0" applyAlignment="1" applyFont="1" applyNumberFormat="1">
      <alignment horizontal="center" shrinkToFit="0" vertical="top" wrapText="0"/>
    </xf>
    <xf borderId="0" fillId="0" fontId="16" numFmtId="0" xfId="0" applyAlignment="1" applyFont="1">
      <alignment shrinkToFit="0" vertical="bottom" wrapText="1"/>
    </xf>
    <xf borderId="0" fillId="13" fontId="19" numFmtId="2" xfId="0" applyAlignment="1" applyFont="1" applyNumberFormat="1">
      <alignment horizontal="center" readingOrder="0" shrinkToFit="0" vertical="top" wrapText="0"/>
    </xf>
    <xf borderId="0" fillId="10" fontId="16" numFmtId="0" xfId="0" applyAlignment="1" applyFont="1">
      <alignment shrinkToFit="0" vertical="bottom" wrapText="0"/>
    </xf>
    <xf borderId="0" fillId="19" fontId="16" numFmtId="0" xfId="0" applyAlignment="1" applyFill="1" applyFont="1">
      <alignment shrinkToFit="0" vertical="bottom" wrapText="0"/>
    </xf>
    <xf borderId="0" fillId="13" fontId="12" numFmtId="0" xfId="0" applyAlignment="1" applyFont="1">
      <alignment readingOrder="0" shrinkToFit="0" vertical="bottom" wrapText="1"/>
    </xf>
    <xf borderId="0" fillId="10" fontId="16" numFmtId="0" xfId="0" applyAlignment="1" applyFont="1">
      <alignment readingOrder="0" shrinkToFit="0" vertical="bottom" wrapText="1"/>
    </xf>
    <xf borderId="0" fillId="10" fontId="15" numFmtId="0" xfId="0" applyAlignment="1" applyFont="1">
      <alignment readingOrder="0" shrinkToFit="0" vertical="bottom" wrapText="0"/>
    </xf>
    <xf borderId="0" fillId="16" fontId="12" numFmtId="0" xfId="0" applyAlignment="1" applyFont="1">
      <alignment readingOrder="0" shrinkToFit="0" vertical="bottom" wrapText="0"/>
    </xf>
    <xf borderId="0" fillId="16" fontId="12" numFmtId="0" xfId="0" applyAlignment="1" applyFont="1">
      <alignment readingOrder="0" shrinkToFit="0" vertical="bottom" wrapText="1"/>
    </xf>
    <xf borderId="0" fillId="17" fontId="16" numFmtId="0" xfId="0" applyAlignment="1" applyFont="1">
      <alignment readingOrder="0" shrinkToFit="0" vertical="bottom" wrapText="0"/>
    </xf>
    <xf borderId="0" fillId="17" fontId="16" numFmtId="0" xfId="0" applyAlignment="1" applyFont="1">
      <alignment readingOrder="0" shrinkToFit="0" vertical="bottom" wrapText="1"/>
    </xf>
    <xf borderId="0" fillId="17" fontId="15" numFmtId="0" xfId="0" applyAlignment="1" applyFont="1">
      <alignment readingOrder="0" shrinkToFit="0" vertical="bottom" wrapText="0"/>
    </xf>
    <xf borderId="0" fillId="18" fontId="12" numFmtId="0" xfId="0" applyAlignment="1" applyFont="1">
      <alignment shrinkToFit="0" vertical="bottom" wrapText="1"/>
    </xf>
    <xf borderId="0" fillId="18" fontId="19" numFmtId="2" xfId="0" applyAlignment="1" applyFont="1" applyNumberFormat="1">
      <alignment horizontal="center" shrinkToFit="0" vertical="top" wrapText="0"/>
    </xf>
    <xf borderId="0" fillId="18" fontId="19" numFmtId="9" xfId="0" applyAlignment="1" applyFont="1" applyNumberFormat="1">
      <alignment horizontal="center" shrinkToFit="0" vertical="top" wrapText="0"/>
    </xf>
    <xf borderId="0" fillId="0" fontId="16" numFmtId="0" xfId="0" applyAlignment="1" applyFont="1">
      <alignment readingOrder="0" shrinkToFit="0" vertical="bottom" wrapText="0"/>
    </xf>
    <xf borderId="0" fillId="0" fontId="15" numFmtId="0" xfId="0" applyAlignment="1" applyFont="1">
      <alignment readingOrder="0" shrinkToFit="0" vertical="bottom" wrapText="0"/>
    </xf>
    <xf borderId="0" fillId="10" fontId="13" numFmtId="9" xfId="0" applyFont="1" applyNumberFormat="1"/>
    <xf borderId="0" fillId="0" fontId="23" numFmtId="0" xfId="0" applyAlignment="1" applyFont="1">
      <alignment readingOrder="0" shrinkToFit="0" vertical="bottom" wrapText="0"/>
    </xf>
    <xf borderId="0" fillId="14" fontId="15" numFmtId="2" xfId="0" applyAlignment="1" applyFont="1" applyNumberFormat="1">
      <alignment horizontal="center" readingOrder="0" vertical="top"/>
    </xf>
    <xf borderId="0" fillId="20" fontId="24" numFmtId="0" xfId="0" applyFill="1" applyFont="1"/>
    <xf borderId="0" fillId="7" fontId="3" numFmtId="0" xfId="0" applyAlignment="1" applyFont="1">
      <alignment horizontal="center"/>
    </xf>
    <xf borderId="0" fillId="8" fontId="6" numFmtId="0" xfId="0" applyAlignment="1" applyFont="1">
      <alignment shrinkToFit="0" vertical="top" wrapText="1"/>
    </xf>
    <xf borderId="0" fillId="0" fontId="6" numFmtId="0" xfId="0" applyAlignment="1" applyFont="1">
      <alignment shrinkToFit="0" vertical="top" wrapText="1"/>
    </xf>
    <xf borderId="0" fillId="21" fontId="24" numFmtId="0" xfId="0" applyFill="1" applyFont="1"/>
    <xf borderId="0" fillId="22" fontId="3" numFmtId="0" xfId="0" applyAlignment="1" applyFill="1" applyFont="1">
      <alignment horizontal="center"/>
    </xf>
    <xf borderId="0" fillId="23" fontId="5" numFmtId="0" xfId="0" applyAlignment="1" applyFill="1" applyFont="1">
      <alignment shrinkToFit="0" vertical="top" wrapText="1"/>
    </xf>
    <xf borderId="0" fillId="0" fontId="6" numFmtId="164" xfId="0" applyAlignment="1" applyFont="1" applyNumberFormat="1">
      <alignment shrinkToFit="0" vertical="top" wrapText="1"/>
    </xf>
    <xf borderId="0" fillId="24" fontId="24" numFmtId="0" xfId="0" applyFill="1" applyFont="1"/>
    <xf borderId="0" fillId="25" fontId="3" numFmtId="0" xfId="0" applyAlignment="1" applyFill="1" applyFont="1">
      <alignment horizontal="center" shrinkToFit="0" wrapText="0"/>
    </xf>
    <xf borderId="0" fillId="26" fontId="5" numFmtId="0" xfId="0" applyAlignment="1" applyFill="1" applyFont="1">
      <alignment horizontal="center" shrinkToFit="0" vertical="top" wrapText="0"/>
    </xf>
    <xf borderId="0" fillId="0" fontId="6" numFmtId="0" xfId="0" applyAlignment="1" applyFont="1">
      <alignment shrinkToFit="0" vertical="top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0.2.5.be/" TargetMode="External"/><Relationship Id="rId2" Type="http://schemas.openxmlformats.org/officeDocument/2006/relationships/hyperlink" Target="http://0.2.5.qa/" TargetMode="External"/><Relationship Id="rId3" Type="http://schemas.openxmlformats.org/officeDocument/2006/relationships/hyperlink" Target="http://1.5.3.qa" TargetMode="External"/><Relationship Id="rId4" Type="http://schemas.openxmlformats.org/officeDocument/2006/relationships/hyperlink" Target="http://1.6.2.qa/" TargetMode="External"/><Relationship Id="rId5" Type="http://schemas.openxmlformats.org/officeDocument/2006/relationships/hyperlink" Target="http://4.2.7.qa" TargetMode="External"/><Relationship Id="rId6" Type="http://schemas.openxmlformats.org/officeDocument/2006/relationships/hyperlink" Target="http://14.1.1.be/" TargetMode="External"/><Relationship Id="rId7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3" width="14.0"/>
    <col customWidth="1" min="4" max="4" width="18.0"/>
    <col customWidth="1" min="5" max="6" width="14.0"/>
    <col customWidth="1" min="7" max="7" width="28.0"/>
  </cols>
  <sheetData>
    <row r="1" ht="24.0" customHeight="1">
      <c r="A1" s="1" t="s">
        <v>0</v>
      </c>
    </row>
    <row r="2" ht="24.0" customHeight="1">
      <c r="A2" s="2" t="s">
        <v>1</v>
      </c>
    </row>
    <row r="4">
      <c r="A4" s="3" t="s">
        <v>2</v>
      </c>
      <c r="B4" s="3" t="s">
        <v>3</v>
      </c>
      <c r="C4" s="4"/>
      <c r="D4" s="3" t="s">
        <v>4</v>
      </c>
      <c r="E4" s="3" t="s">
        <v>5</v>
      </c>
      <c r="F4" s="3" t="s">
        <v>6</v>
      </c>
      <c r="G4" s="3" t="s">
        <v>7</v>
      </c>
    </row>
    <row r="5">
      <c r="A5" s="5" t="s">
        <v>8</v>
      </c>
      <c r="B5" s="6">
        <f>SUMIFS(WBS!Q:Q,WBS!T:T,"Feature Summary")</f>
        <v>811.55625</v>
      </c>
      <c r="C5" s="7"/>
      <c r="D5" s="5" t="s">
        <v>9</v>
      </c>
      <c r="E5" s="6">
        <f>SUMIFS(WBS!Q:Q,WBS!K:K,"MVP",WBS!T:T,"Feature Summary")</f>
        <v>799.18125</v>
      </c>
      <c r="F5" s="6">
        <f>COUNTIFS(WBS!K:K,"MVP",WBS!S:S,"&gt;=4",WBS!T:T,"Feature Summary")</f>
        <v>0</v>
      </c>
      <c r="G5" s="8" t="s">
        <v>10</v>
      </c>
    </row>
    <row r="6">
      <c r="A6" s="5" t="s">
        <v>11</v>
      </c>
      <c r="B6" s="6">
        <f>SUMIFS(WBS!L:L,WBS!T:T,"Feature Summary")</f>
        <v>500.5</v>
      </c>
      <c r="C6" s="7"/>
      <c r="D6" s="5" t="s">
        <v>12</v>
      </c>
      <c r="E6" s="6"/>
      <c r="F6" s="6">
        <f>COUNTIFS(WBS!K:K,"v1.1",WBS!S:S,"&gt;=4",WBS!T:T,"Feature Summary")</f>
        <v>0</v>
      </c>
      <c r="G6" s="8" t="s">
        <v>10</v>
      </c>
    </row>
    <row r="7">
      <c r="A7" s="5" t="s">
        <v>13</v>
      </c>
      <c r="B7" s="6">
        <f>SUMIFS(WBS!N:N,WBS!T:T,"Feature Summary")</f>
        <v>1051.75</v>
      </c>
      <c r="C7" s="7"/>
      <c r="D7" s="5" t="s">
        <v>14</v>
      </c>
      <c r="E7" s="6"/>
      <c r="F7" s="6">
        <f>COUNTIFS(WBS!K:K,"v2+",WBS!S:S,"&gt;=4",WBS!T:T,"Feature Summary")</f>
        <v>0</v>
      </c>
      <c r="G7" s="8" t="s">
        <v>10</v>
      </c>
    </row>
    <row r="8">
      <c r="A8" s="5" t="s">
        <v>15</v>
      </c>
      <c r="B8" s="6">
        <f>COUNTIFS(WBS!S:S,"&gt;=4",WBS!T:T,"Feature Summary")</f>
        <v>0</v>
      </c>
      <c r="C8" s="7"/>
      <c r="D8" s="5" t="s">
        <v>16</v>
      </c>
      <c r="E8" s="6">
        <f>SUMIFS(WBS!Q:Q,WBS!T:T,"Feature Summary")-SUMIFS(WBS!O:O,WBS!T:T,"Feature Summary")</f>
        <v>32.80625</v>
      </c>
      <c r="F8" s="6"/>
      <c r="G8" s="8" t="s">
        <v>17</v>
      </c>
    </row>
    <row r="9">
      <c r="A9" s="7"/>
      <c r="B9" s="7"/>
      <c r="C9" s="7"/>
      <c r="D9" s="5" t="s">
        <v>18</v>
      </c>
      <c r="E9" s="6">
        <f>E5+E6+E7+E8</f>
        <v>831.9875</v>
      </c>
      <c r="F9" s="6"/>
      <c r="G9" s="8"/>
    </row>
    <row r="10">
      <c r="A10" s="7"/>
      <c r="B10" s="7"/>
      <c r="C10" s="7"/>
      <c r="D10" s="7"/>
      <c r="E10" s="7"/>
      <c r="F10" s="7"/>
      <c r="G10" s="7"/>
    </row>
    <row r="11">
      <c r="A11" s="9" t="s">
        <v>19</v>
      </c>
    </row>
    <row r="12">
      <c r="A12" s="10" t="s">
        <v>20</v>
      </c>
      <c r="B12" s="10" t="s">
        <v>5</v>
      </c>
      <c r="C12" s="10" t="s">
        <v>15</v>
      </c>
      <c r="D12" s="7"/>
      <c r="E12" s="7"/>
      <c r="F12" s="7"/>
      <c r="G12" s="7"/>
    </row>
    <row r="13">
      <c r="A13" s="11" t="s">
        <v>21</v>
      </c>
      <c r="B13" s="6">
        <f>SUMIFS(WBS!Q:Q,WBS!B:B,"Onboarding &amp; Activation",WBS!T:T,"Feature Summary")</f>
        <v>31.50625</v>
      </c>
      <c r="C13" s="6">
        <f>COUNTIFS(WBS!B:B,"Onboarding &amp; Activation",WBS!S:S,"&gt;=4",WBS!T:T,"Feature Summary")</f>
        <v>0</v>
      </c>
      <c r="D13" s="7"/>
      <c r="E13" s="7"/>
      <c r="F13" s="7"/>
      <c r="G13" s="7"/>
    </row>
    <row r="14">
      <c r="A14" s="11" t="s">
        <v>22</v>
      </c>
      <c r="B14" s="6">
        <f>SUMIFS(WBS!Q:Q,WBS!B:B,"Account Aggregation - Banking",WBS!T:T,"Feature Summary")</f>
        <v>44.125</v>
      </c>
      <c r="C14" s="6">
        <f>COUNTIFS(WBS!B:B,"Account Aggregation - Banking",WBS!S:S,"&gt;=4",WBS!T:T,"Feature Summary")</f>
        <v>0</v>
      </c>
      <c r="D14" s="7"/>
      <c r="E14" s="7"/>
      <c r="F14" s="7"/>
      <c r="G14" s="7"/>
    </row>
    <row r="15">
      <c r="A15" s="11" t="s">
        <v>23</v>
      </c>
      <c r="B15" s="6">
        <f>SUMIFS(WBS!Q:Q,WBS!B:B,"Account Aggregation - Crypto",WBS!T:T,"Feature Summary")</f>
        <v>17.75</v>
      </c>
      <c r="C15" s="6">
        <f>COUNTIFS(WBS!B:B,"Account Aggregation - Crypto",WBS!S:S,"&gt;=4",WBS!T:T,"Feature Summary")</f>
        <v>0</v>
      </c>
      <c r="D15" s="7"/>
      <c r="E15" s="7"/>
      <c r="F15" s="7"/>
      <c r="G15" s="7"/>
    </row>
    <row r="16">
      <c r="A16" s="11" t="s">
        <v>24</v>
      </c>
      <c r="B16" s="6">
        <f>SUMIFS(WBS!Q:Q,WBS!B:B,"AI Coaching &amp; Personality",WBS!T:T,"Feature Summary")</f>
        <v>73.25</v>
      </c>
      <c r="C16" s="6">
        <f>COUNTIFS(WBS!B:B,"AI Coaching &amp; Personality",WBS!S:S,"&gt;=4",WBS!T:T,"Feature Summary")</f>
        <v>0</v>
      </c>
      <c r="D16" s="7"/>
      <c r="E16" s="7"/>
      <c r="F16" s="7"/>
      <c r="G16" s="7"/>
    </row>
    <row r="17">
      <c r="A17" s="11" t="s">
        <v>25</v>
      </c>
      <c r="B17" s="6">
        <f>SUMIFS(WBS!Q:Q,WBS!B:B,"Budget &amp; Expense Management",WBS!T:T,"Feature Summary")</f>
        <v>49.625</v>
      </c>
      <c r="C17" s="6">
        <f>COUNTIFS(WBS!B:B,"Budget &amp; Expense Management",WBS!S:S,"&gt;=4",WBS!T:T,"Feature Summary")</f>
        <v>0</v>
      </c>
      <c r="D17" s="7"/>
      <c r="E17" s="7"/>
      <c r="F17" s="7"/>
      <c r="G17" s="7"/>
    </row>
    <row r="18">
      <c r="A18" s="11" t="s">
        <v>26</v>
      </c>
      <c r="B18" s="6">
        <f>SUMIFS(WBS!Q:Q,WBS!B:B,"Goal Planning",WBS!T:T,"Feature Summary")</f>
        <v>26</v>
      </c>
      <c r="C18" s="6">
        <f>COUNTIFS(WBS!B:B,"Goal Planning",WBS!S:S,"&gt;=4",WBS!T:T,"Feature Summary")</f>
        <v>0</v>
      </c>
      <c r="D18" s="7"/>
      <c r="E18" s="7"/>
      <c r="F18" s="7"/>
      <c r="G18" s="7"/>
    </row>
    <row r="19">
      <c r="A19" s="11" t="s">
        <v>27</v>
      </c>
      <c r="B19" s="6">
        <f>SUMIFS(WBS!Q:Q,WBS!B:B,"Financial Health Score",WBS!T:T,"Feature Summary")</f>
        <v>42.5</v>
      </c>
      <c r="C19" s="6">
        <f>COUNTIFS(WBS!B:B,"Financial Health Score",WBS!S:S,"&gt;=4",WBS!T:T,"Feature Summary")</f>
        <v>0</v>
      </c>
      <c r="D19" s="7"/>
      <c r="E19" s="7"/>
      <c r="F19" s="7"/>
      <c r="G19" s="7"/>
    </row>
    <row r="20">
      <c r="A20" s="12" t="s">
        <v>28</v>
      </c>
      <c r="B20" s="13">
        <f>SUMIF(WBS!C71:C288,A20,WBS!N71:N288)</f>
        <v>0</v>
      </c>
      <c r="C20" s="13">
        <f>COUNTIFS(WBS!C71:C288,A20,WBS!R71:R288,"High")</f>
        <v>0</v>
      </c>
    </row>
    <row r="21" ht="15.75" customHeight="1">
      <c r="A21" s="12" t="s">
        <v>29</v>
      </c>
      <c r="B21" s="13">
        <f>SUMIF(WBS!C71:C288,A21,WBS!N71:N288)</f>
        <v>0</v>
      </c>
      <c r="C21" s="13">
        <f>COUNTIFS(WBS!C71:C288,A21,WBS!R71:R288,"High")</f>
        <v>0</v>
      </c>
    </row>
    <row r="22" ht="15.75" customHeight="1">
      <c r="A22" s="12" t="s">
        <v>30</v>
      </c>
      <c r="B22" s="13">
        <f>SUMIF(WBS!C71:C288,A22,WBS!N71:N288)</f>
        <v>0</v>
      </c>
      <c r="C22" s="13">
        <f>COUNTIFS(WBS!C71:C288,A22,WBS!R71:R288,"High")</f>
        <v>0</v>
      </c>
    </row>
    <row r="23" ht="15.75" customHeight="1"/>
    <row r="24" ht="15.75" customHeight="1"/>
    <row r="25" ht="15.75" customHeight="1"/>
    <row r="26" ht="15.75" customHeight="1">
      <c r="A26" s="14" t="s">
        <v>31</v>
      </c>
      <c r="B26" s="6">
        <f>SUMIFS(WBS!Q:Q,WBS!T:T,"Frontend Development")</f>
        <v>205.375</v>
      </c>
    </row>
    <row r="27" ht="15.75" customHeight="1">
      <c r="A27" s="14" t="s">
        <v>32</v>
      </c>
      <c r="B27" s="6">
        <f>SUMIFS(WBS!Q:Q,WBS!T:T,"Backend Development")</f>
        <v>383.09375</v>
      </c>
    </row>
    <row r="28" ht="15.75" customHeight="1">
      <c r="A28" s="14" t="s">
        <v>33</v>
      </c>
      <c r="B28" s="6">
        <f>SUMIFS(WBS!Q:Q,WBS!T:T,"Testing / QA")</f>
        <v>180.9</v>
      </c>
    </row>
    <row r="29" ht="15.75" customHeight="1">
      <c r="B29" s="15">
        <f>SUM(B26:B28)</f>
        <v>769.36875</v>
      </c>
    </row>
    <row r="30" ht="15.75" customHeight="1"/>
    <row r="31" ht="15.75" customHeight="1"/>
    <row r="32">
      <c r="A32" s="16" t="s">
        <v>34</v>
      </c>
    </row>
    <row r="33" ht="15.75" customHeight="1">
      <c r="A33" s="14" t="s">
        <v>35</v>
      </c>
      <c r="B33" s="17">
        <v>2.0</v>
      </c>
      <c r="C33" s="18">
        <f>B26/B33</f>
        <v>102.6875</v>
      </c>
      <c r="D33" s="18">
        <f>C33/20</f>
        <v>5.134375</v>
      </c>
    </row>
    <row r="34" ht="15.75" customHeight="1">
      <c r="A34" s="17"/>
      <c r="B34" s="17"/>
      <c r="C34" s="18"/>
      <c r="D34" s="18"/>
    </row>
    <row r="35" ht="15.75" customHeight="1">
      <c r="A35" s="14" t="s">
        <v>36</v>
      </c>
      <c r="B35" s="17">
        <v>3.0</v>
      </c>
      <c r="C35" s="18">
        <f>B27/B35</f>
        <v>127.6979167</v>
      </c>
      <c r="D35" s="18">
        <f>C35/20</f>
        <v>6.384895833</v>
      </c>
    </row>
    <row r="36" ht="15.75" customHeight="1">
      <c r="A36" s="14" t="s">
        <v>37</v>
      </c>
      <c r="B36" s="17"/>
      <c r="C36" s="18"/>
      <c r="D36" s="18"/>
    </row>
    <row r="37" ht="15.75" customHeight="1">
      <c r="A37" s="14" t="s">
        <v>38</v>
      </c>
      <c r="B37" s="17"/>
      <c r="C37" s="18"/>
      <c r="D37" s="18"/>
    </row>
    <row r="38" ht="15.75" customHeight="1">
      <c r="A38" s="14" t="s">
        <v>39</v>
      </c>
      <c r="B38" s="17"/>
      <c r="C38" s="18"/>
      <c r="D38" s="18"/>
    </row>
    <row r="39" ht="15.75" customHeight="1">
      <c r="A39" s="17"/>
      <c r="B39" s="17"/>
      <c r="C39" s="18"/>
      <c r="D39" s="18"/>
    </row>
    <row r="40" ht="15.75" customHeight="1">
      <c r="A40" s="14" t="s">
        <v>40</v>
      </c>
      <c r="B40" s="17">
        <v>1.0</v>
      </c>
      <c r="C40" s="18">
        <f>B28/B40</f>
        <v>180.9</v>
      </c>
      <c r="D40" s="18">
        <f>C40/20</f>
        <v>9.045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G1"/>
    <mergeCell ref="A2:G2"/>
    <mergeCell ref="A11:G11"/>
    <mergeCell ref="A32:G3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4.0" ySplit="1.0" topLeftCell="E2" activePane="bottomRight" state="frozen"/>
      <selection activeCell="E1" sqref="E1" pane="topRight"/>
      <selection activeCell="A2" sqref="A2" pane="bottomLeft"/>
      <selection activeCell="E2" sqref="E2" pane="bottomRight"/>
    </sheetView>
  </sheetViews>
  <sheetFormatPr customHeight="1" defaultColWidth="12.63" defaultRowHeight="15.0"/>
  <cols>
    <col customWidth="1" min="1" max="1" width="14.0"/>
    <col customWidth="1" min="2" max="3" width="24.0"/>
    <col customWidth="1" min="4" max="4" width="42.0"/>
    <col customWidth="1" min="5" max="5" width="38.0"/>
    <col customWidth="1" min="6" max="6" width="24.0"/>
    <col customWidth="1" min="7" max="8" width="12.0"/>
    <col customWidth="1" min="9" max="9" width="20.0"/>
    <col customWidth="1" min="10" max="10" width="14.0"/>
    <col customWidth="1" min="11" max="11" width="22.5"/>
    <col customWidth="1" min="12" max="13" width="12.0"/>
    <col customWidth="1" min="14" max="14" width="14.0"/>
    <col customWidth="1" min="15" max="17" width="12.0"/>
    <col customWidth="1" min="18" max="19" width="10.0"/>
    <col customWidth="1" min="20" max="20" width="20.0"/>
    <col customWidth="1" min="21" max="29" width="8.63"/>
  </cols>
  <sheetData>
    <row r="1" ht="33.75" customHeight="1">
      <c r="A1" s="19" t="s">
        <v>41</v>
      </c>
      <c r="B1" s="20" t="s">
        <v>20</v>
      </c>
      <c r="C1" s="20" t="s">
        <v>42</v>
      </c>
      <c r="D1" s="20" t="s">
        <v>43</v>
      </c>
      <c r="E1" s="20" t="s">
        <v>44</v>
      </c>
      <c r="F1" s="19" t="s">
        <v>45</v>
      </c>
      <c r="G1" s="19" t="s">
        <v>46</v>
      </c>
      <c r="H1" s="19" t="s">
        <v>47</v>
      </c>
      <c r="I1" s="21" t="s">
        <v>7</v>
      </c>
      <c r="J1" s="19" t="s">
        <v>48</v>
      </c>
      <c r="K1" s="19" t="s">
        <v>4</v>
      </c>
      <c r="L1" s="19" t="s">
        <v>49</v>
      </c>
      <c r="M1" s="19" t="s">
        <v>50</v>
      </c>
      <c r="N1" s="19" t="s">
        <v>51</v>
      </c>
      <c r="O1" s="22" t="s">
        <v>52</v>
      </c>
      <c r="P1" s="23" t="s">
        <v>53</v>
      </c>
      <c r="Q1" s="24" t="s">
        <v>54</v>
      </c>
      <c r="R1" s="19" t="s">
        <v>55</v>
      </c>
      <c r="S1" s="19" t="s">
        <v>56</v>
      </c>
      <c r="T1" s="25" t="s">
        <v>57</v>
      </c>
      <c r="U1" s="26"/>
      <c r="V1" s="26"/>
      <c r="W1" s="26"/>
      <c r="X1" s="26"/>
      <c r="Y1" s="26"/>
      <c r="Z1" s="26"/>
      <c r="AA1" s="26"/>
      <c r="AB1" s="26"/>
      <c r="AC1" s="26"/>
    </row>
    <row r="2" ht="33.75" customHeight="1">
      <c r="A2" s="27" t="s">
        <v>58</v>
      </c>
      <c r="B2" s="28"/>
      <c r="C2" s="28"/>
      <c r="D2" s="28"/>
      <c r="E2" s="29"/>
      <c r="F2" s="30"/>
      <c r="G2" s="30"/>
      <c r="H2" s="30"/>
      <c r="I2" s="30"/>
      <c r="J2" s="30"/>
      <c r="K2" s="31"/>
      <c r="L2" s="32">
        <f t="shared" ref="L2:N2" si="1">SUM(X3:X112)</f>
        <v>57.25</v>
      </c>
      <c r="M2" s="32">
        <f t="shared" si="1"/>
        <v>85.625</v>
      </c>
      <c r="N2" s="32">
        <f t="shared" si="1"/>
        <v>112</v>
      </c>
      <c r="O2" s="32">
        <f>SUM(AA3:AA60)</f>
        <v>20</v>
      </c>
      <c r="P2" s="33"/>
      <c r="Q2" s="32">
        <f>SUM(AC3:AC60)</f>
        <v>20</v>
      </c>
      <c r="R2" s="34"/>
      <c r="S2" s="34"/>
      <c r="T2" s="35" t="s">
        <v>59</v>
      </c>
    </row>
    <row r="3" ht="33.75" customHeight="1">
      <c r="A3" s="36">
        <v>0.1</v>
      </c>
      <c r="B3" s="37" t="s">
        <v>60</v>
      </c>
      <c r="C3" s="37" t="s">
        <v>61</v>
      </c>
      <c r="D3" s="38"/>
      <c r="E3" s="39"/>
      <c r="F3" s="40"/>
      <c r="G3" s="40"/>
      <c r="H3" s="40"/>
      <c r="I3" s="40"/>
      <c r="J3" s="40"/>
      <c r="K3" s="41"/>
      <c r="L3" s="42">
        <f t="shared" ref="L3:O3" si="2">IF(COUNT(L4,L12,L16,L20)=0,"",SUM(L4,L12,L16,L20))</f>
        <v>6</v>
      </c>
      <c r="M3" s="42">
        <f t="shared" si="2"/>
        <v>9.5</v>
      </c>
      <c r="N3" s="42">
        <f t="shared" si="2"/>
        <v>11</v>
      </c>
      <c r="O3" s="42">
        <f t="shared" si="2"/>
        <v>11.5</v>
      </c>
      <c r="P3" s="43"/>
      <c r="Q3" s="42">
        <f>IF(COUNT(Q4,Q12,Q16,Q20)=0,"",SUM(Q4,Q12,Q16,Q20))</f>
        <v>11.5</v>
      </c>
      <c r="R3" s="44"/>
      <c r="S3" s="44"/>
      <c r="T3" s="45" t="s">
        <v>62</v>
      </c>
      <c r="U3" s="26"/>
      <c r="V3" s="26"/>
      <c r="W3" s="26"/>
      <c r="X3" s="46">
        <f t="shared" ref="X3:AA3" si="3">L3</f>
        <v>6</v>
      </c>
      <c r="Y3" s="46">
        <f t="shared" si="3"/>
        <v>9.5</v>
      </c>
      <c r="Z3" s="46">
        <f t="shared" si="3"/>
        <v>11</v>
      </c>
      <c r="AA3" s="46">
        <f t="shared" si="3"/>
        <v>11.5</v>
      </c>
      <c r="AB3" s="26"/>
      <c r="AC3" s="46">
        <f>Q3</f>
        <v>11.5</v>
      </c>
    </row>
    <row r="4" ht="33.75" customHeight="1">
      <c r="A4" s="47" t="s">
        <v>63</v>
      </c>
      <c r="B4" s="47" t="s">
        <v>60</v>
      </c>
      <c r="C4" s="47" t="s">
        <v>61</v>
      </c>
      <c r="D4" s="47" t="s">
        <v>64</v>
      </c>
      <c r="E4" s="48"/>
      <c r="F4" s="49"/>
      <c r="G4" s="49"/>
      <c r="H4" s="49"/>
      <c r="I4" s="49"/>
      <c r="J4" s="49" t="s">
        <v>9</v>
      </c>
      <c r="K4" s="50" t="s">
        <v>9</v>
      </c>
      <c r="L4" s="51">
        <f>IF(COUNT(L5:N7)=0,"",SUM(L5:L7))</f>
        <v>0</v>
      </c>
      <c r="M4" s="51">
        <f>IF(COUNT(L5:N7)=0,"",SUM(M5:M7))</f>
        <v>1</v>
      </c>
      <c r="N4" s="51">
        <f>IF(COUNT(L5:N7)=0,"",SUM(N5:N7))</f>
        <v>0</v>
      </c>
      <c r="O4" s="51">
        <f>IF(COUNT(O5:O7)=0,"",SUM(O5:O7))</f>
        <v>3</v>
      </c>
      <c r="P4" s="52"/>
      <c r="Q4" s="51">
        <f>IF(COUNT(Q5:Q7)=0,"",SUM(Q5:Q7))</f>
        <v>3</v>
      </c>
      <c r="R4" s="53"/>
      <c r="S4" s="53"/>
      <c r="T4" s="54" t="s">
        <v>65</v>
      </c>
      <c r="U4" s="26"/>
      <c r="V4" s="26"/>
      <c r="W4" s="26"/>
      <c r="X4" s="26"/>
      <c r="Y4" s="26"/>
      <c r="Z4" s="26"/>
      <c r="AA4" s="26"/>
      <c r="AB4" s="26"/>
      <c r="AC4" s="26"/>
    </row>
    <row r="5" ht="33.75" customHeight="1">
      <c r="A5" s="55" t="s">
        <v>66</v>
      </c>
      <c r="B5" s="56" t="str">
        <f t="shared" ref="B5:D5" si="4">B4</f>
        <v>Technical Framework</v>
      </c>
      <c r="C5" s="56" t="str">
        <f t="shared" si="4"/>
        <v>Front End</v>
      </c>
      <c r="D5" s="56" t="str">
        <f t="shared" si="4"/>
        <v>Mobile App Foundation</v>
      </c>
      <c r="E5" s="57"/>
      <c r="F5" s="58"/>
      <c r="G5" s="58"/>
      <c r="H5" s="58"/>
      <c r="I5" s="58"/>
      <c r="J5" s="58" t="s">
        <v>9</v>
      </c>
      <c r="K5" s="59" t="s">
        <v>9</v>
      </c>
      <c r="L5" s="60">
        <v>0.0</v>
      </c>
      <c r="M5" s="60">
        <v>1.0</v>
      </c>
      <c r="N5" s="60">
        <v>0.0</v>
      </c>
      <c r="O5" s="61">
        <v>3.0</v>
      </c>
      <c r="P5" s="62">
        <v>0.0</v>
      </c>
      <c r="Q5" s="63">
        <f t="shared" ref="Q5:Q7" si="6">IF(O5="","",IF(P5="",O5,O5*(1+P5)))</f>
        <v>3</v>
      </c>
      <c r="R5" s="64"/>
      <c r="S5" s="64"/>
      <c r="T5" s="65" t="s">
        <v>31</v>
      </c>
      <c r="U5" s="26"/>
      <c r="V5" s="26"/>
      <c r="W5" s="26"/>
      <c r="X5" s="26"/>
      <c r="Y5" s="26"/>
      <c r="Z5" s="26"/>
      <c r="AA5" s="26"/>
      <c r="AB5" s="26"/>
      <c r="AC5" s="26"/>
    </row>
    <row r="6" ht="33.75" customHeight="1">
      <c r="A6" s="66" t="s">
        <v>67</v>
      </c>
      <c r="B6" s="56" t="str">
        <f t="shared" ref="B6:D6" si="5">B5</f>
        <v>Technical Framework</v>
      </c>
      <c r="C6" s="56" t="str">
        <f t="shared" si="5"/>
        <v>Front End</v>
      </c>
      <c r="D6" s="56" t="str">
        <f t="shared" si="5"/>
        <v>Mobile App Foundation</v>
      </c>
      <c r="E6" s="57"/>
      <c r="F6" s="58"/>
      <c r="G6" s="58"/>
      <c r="H6" s="58"/>
      <c r="I6" s="58"/>
      <c r="J6" s="58" t="s">
        <v>9</v>
      </c>
      <c r="K6" s="59" t="s">
        <v>9</v>
      </c>
      <c r="L6" s="67">
        <v>0.0</v>
      </c>
      <c r="M6" s="67">
        <f t="shared" ref="M6:M7" si="8">(N6+L6)/2</f>
        <v>0</v>
      </c>
      <c r="N6" s="67">
        <v>0.0</v>
      </c>
      <c r="O6" s="68">
        <f t="shared" ref="O6:O7" si="9">IF(COUNT(L6:N6)=0,"",(L6+4*M6+N6)/6)</f>
        <v>0</v>
      </c>
      <c r="P6" s="62">
        <v>0.0</v>
      </c>
      <c r="Q6" s="63">
        <f t="shared" si="6"/>
        <v>0</v>
      </c>
      <c r="R6" s="64"/>
      <c r="S6" s="64"/>
      <c r="T6" s="69" t="s">
        <v>68</v>
      </c>
      <c r="U6" s="26"/>
      <c r="V6" s="26"/>
      <c r="W6" s="26"/>
      <c r="X6" s="26"/>
      <c r="Y6" s="26"/>
      <c r="Z6" s="26"/>
      <c r="AA6" s="26"/>
      <c r="AB6" s="26"/>
      <c r="AC6" s="26"/>
    </row>
    <row r="7" ht="33.75" customHeight="1">
      <c r="A7" s="66" t="s">
        <v>69</v>
      </c>
      <c r="B7" s="56" t="str">
        <f t="shared" ref="B7:D7" si="7">B6</f>
        <v>Technical Framework</v>
      </c>
      <c r="C7" s="56" t="str">
        <f t="shared" si="7"/>
        <v>Front End</v>
      </c>
      <c r="D7" s="56" t="str">
        <f t="shared" si="7"/>
        <v>Mobile App Foundation</v>
      </c>
      <c r="E7" s="57"/>
      <c r="F7" s="58"/>
      <c r="G7" s="58"/>
      <c r="H7" s="58"/>
      <c r="I7" s="58"/>
      <c r="J7" s="58" t="s">
        <v>9</v>
      </c>
      <c r="K7" s="59" t="s">
        <v>9</v>
      </c>
      <c r="L7" s="60">
        <v>0.0</v>
      </c>
      <c r="M7" s="67">
        <f t="shared" si="8"/>
        <v>0</v>
      </c>
      <c r="N7" s="60">
        <v>0.0</v>
      </c>
      <c r="O7" s="68">
        <f t="shared" si="9"/>
        <v>0</v>
      </c>
      <c r="P7" s="62">
        <v>0.0</v>
      </c>
      <c r="Q7" s="63">
        <f t="shared" si="6"/>
        <v>0</v>
      </c>
      <c r="R7" s="64"/>
      <c r="S7" s="64"/>
      <c r="T7" s="65" t="s">
        <v>70</v>
      </c>
      <c r="U7" s="26"/>
      <c r="V7" s="26"/>
      <c r="W7" s="26"/>
      <c r="X7" s="26"/>
      <c r="Y7" s="26"/>
      <c r="Z7" s="26"/>
      <c r="AA7" s="26"/>
      <c r="AB7" s="26"/>
      <c r="AC7" s="26"/>
    </row>
    <row r="8" ht="33.75" customHeight="1">
      <c r="A8" s="47" t="s">
        <v>71</v>
      </c>
      <c r="B8" s="47" t="s">
        <v>60</v>
      </c>
      <c r="C8" s="47" t="s">
        <v>61</v>
      </c>
      <c r="D8" s="70" t="s">
        <v>72</v>
      </c>
      <c r="E8" s="48"/>
      <c r="F8" s="49"/>
      <c r="G8" s="49"/>
      <c r="H8" s="49"/>
      <c r="I8" s="49"/>
      <c r="J8" s="49" t="s">
        <v>9</v>
      </c>
      <c r="K8" s="50" t="s">
        <v>9</v>
      </c>
      <c r="L8" s="51">
        <f>IF(COUNT(L9:N11)=0,"",SUM(L9:L11))</f>
        <v>0</v>
      </c>
      <c r="M8" s="51">
        <f>IF(COUNT(L9:N11)=0,"",SUM(M9:M11))</f>
        <v>1.5</v>
      </c>
      <c r="N8" s="51">
        <f>IF(COUNT(L9:N11)=0,"",SUM(N9:N11))</f>
        <v>0</v>
      </c>
      <c r="O8" s="51">
        <f>IF(COUNT(O9:O11)=0,"",SUM(O9:O11))</f>
        <v>3</v>
      </c>
      <c r="P8" s="52"/>
      <c r="Q8" s="51">
        <f>IF(COUNT(Q9:Q11)=0,"",SUM(Q9:Q11))</f>
        <v>3</v>
      </c>
      <c r="R8" s="53"/>
      <c r="S8" s="53"/>
      <c r="T8" s="54" t="s">
        <v>65</v>
      </c>
      <c r="U8" s="26"/>
      <c r="V8" s="26"/>
      <c r="W8" s="26"/>
      <c r="X8" s="26"/>
      <c r="Y8" s="26"/>
      <c r="Z8" s="26"/>
      <c r="AA8" s="26"/>
      <c r="AB8" s="26"/>
      <c r="AC8" s="26"/>
    </row>
    <row r="9" ht="33.75" customHeight="1">
      <c r="A9" s="55" t="s">
        <v>73</v>
      </c>
      <c r="B9" s="56" t="str">
        <f t="shared" ref="B9:D9" si="10">B8</f>
        <v>Technical Framework</v>
      </c>
      <c r="C9" s="56" t="str">
        <f t="shared" si="10"/>
        <v>Front End</v>
      </c>
      <c r="D9" s="56" t="str">
        <f t="shared" si="10"/>
        <v>Admin Frontend Foundation</v>
      </c>
      <c r="E9" s="57"/>
      <c r="F9" s="58"/>
      <c r="G9" s="58"/>
      <c r="H9" s="58"/>
      <c r="I9" s="58"/>
      <c r="J9" s="58" t="s">
        <v>9</v>
      </c>
      <c r="K9" s="59" t="s">
        <v>9</v>
      </c>
      <c r="L9" s="60">
        <v>0.0</v>
      </c>
      <c r="M9" s="60">
        <v>1.0</v>
      </c>
      <c r="N9" s="60">
        <v>0.0</v>
      </c>
      <c r="O9" s="61">
        <v>2.0</v>
      </c>
      <c r="P9" s="62">
        <v>0.0</v>
      </c>
      <c r="Q9" s="63">
        <f t="shared" ref="Q9:Q11" si="12">IF(O9="","",IF(P9="",O9,O9*(1+P9)))</f>
        <v>2</v>
      </c>
      <c r="R9" s="64"/>
      <c r="S9" s="64"/>
      <c r="T9" s="65" t="s">
        <v>31</v>
      </c>
      <c r="U9" s="26"/>
      <c r="V9" s="26"/>
      <c r="W9" s="26"/>
      <c r="X9" s="26"/>
      <c r="Y9" s="26"/>
      <c r="Z9" s="26"/>
      <c r="AA9" s="26"/>
      <c r="AB9" s="26"/>
      <c r="AC9" s="26"/>
    </row>
    <row r="10" ht="33.75" customHeight="1">
      <c r="A10" s="66" t="s">
        <v>74</v>
      </c>
      <c r="B10" s="56" t="str">
        <f t="shared" ref="B10:D10" si="11">B9</f>
        <v>Technical Framework</v>
      </c>
      <c r="C10" s="56" t="str">
        <f t="shared" si="11"/>
        <v>Front End</v>
      </c>
      <c r="D10" s="56" t="str">
        <f t="shared" si="11"/>
        <v>Admin Frontend Foundation</v>
      </c>
      <c r="E10" s="57"/>
      <c r="F10" s="58"/>
      <c r="G10" s="58"/>
      <c r="H10" s="58"/>
      <c r="I10" s="58"/>
      <c r="J10" s="58" t="s">
        <v>9</v>
      </c>
      <c r="K10" s="59" t="s">
        <v>9</v>
      </c>
      <c r="L10" s="67">
        <v>0.0</v>
      </c>
      <c r="M10" s="60">
        <v>0.5</v>
      </c>
      <c r="N10" s="67">
        <v>0.0</v>
      </c>
      <c r="O10" s="61">
        <v>1.0</v>
      </c>
      <c r="P10" s="62">
        <v>0.0</v>
      </c>
      <c r="Q10" s="63">
        <f t="shared" si="12"/>
        <v>1</v>
      </c>
      <c r="R10" s="64"/>
      <c r="S10" s="64"/>
      <c r="T10" s="69" t="s">
        <v>68</v>
      </c>
      <c r="U10" s="26"/>
      <c r="V10" s="26"/>
      <c r="W10" s="26"/>
      <c r="X10" s="26"/>
      <c r="Y10" s="26"/>
      <c r="Z10" s="26"/>
      <c r="AA10" s="26"/>
      <c r="AB10" s="26"/>
      <c r="AC10" s="26"/>
    </row>
    <row r="11" ht="33.75" customHeight="1">
      <c r="A11" s="66" t="s">
        <v>75</v>
      </c>
      <c r="B11" s="56" t="str">
        <f t="shared" ref="B11:D11" si="13">B10</f>
        <v>Technical Framework</v>
      </c>
      <c r="C11" s="56" t="str">
        <f t="shared" si="13"/>
        <v>Front End</v>
      </c>
      <c r="D11" s="56" t="str">
        <f t="shared" si="13"/>
        <v>Admin Frontend Foundation</v>
      </c>
      <c r="E11" s="57"/>
      <c r="F11" s="58"/>
      <c r="G11" s="58"/>
      <c r="H11" s="58"/>
      <c r="I11" s="58"/>
      <c r="J11" s="58" t="s">
        <v>9</v>
      </c>
      <c r="K11" s="59" t="s">
        <v>9</v>
      </c>
      <c r="L11" s="60">
        <v>0.0</v>
      </c>
      <c r="M11" s="67">
        <f>(N11+L11)/2</f>
        <v>0</v>
      </c>
      <c r="N11" s="60">
        <v>0.0</v>
      </c>
      <c r="O11" s="68">
        <f>IF(COUNT(L11:N11)=0,"",(L11+4*M11+N11)/6)</f>
        <v>0</v>
      </c>
      <c r="P11" s="62">
        <v>0.0</v>
      </c>
      <c r="Q11" s="63">
        <f t="shared" si="12"/>
        <v>0</v>
      </c>
      <c r="R11" s="64"/>
      <c r="S11" s="64"/>
      <c r="T11" s="65" t="s">
        <v>70</v>
      </c>
      <c r="U11" s="26"/>
      <c r="V11" s="26"/>
      <c r="W11" s="26"/>
      <c r="X11" s="26"/>
      <c r="Y11" s="26"/>
      <c r="Z11" s="26"/>
      <c r="AA11" s="26"/>
      <c r="AB11" s="26"/>
      <c r="AC11" s="26"/>
    </row>
    <row r="12" ht="33.75" customHeight="1">
      <c r="A12" s="36">
        <v>0.2</v>
      </c>
      <c r="B12" s="37" t="s">
        <v>60</v>
      </c>
      <c r="C12" s="37" t="s">
        <v>76</v>
      </c>
      <c r="D12" s="37"/>
      <c r="E12" s="39"/>
      <c r="F12" s="40"/>
      <c r="G12" s="40"/>
      <c r="H12" s="40"/>
      <c r="I12" s="40"/>
      <c r="J12" s="40"/>
      <c r="K12" s="41"/>
      <c r="L12" s="42">
        <f t="shared" ref="L12:O12" si="14">IF(COUNT(L13,L17,L21,L25)=0,"",SUM(L13,L17,L21,L25))</f>
        <v>6</v>
      </c>
      <c r="M12" s="42">
        <f t="shared" si="14"/>
        <v>8.5</v>
      </c>
      <c r="N12" s="42">
        <f t="shared" si="14"/>
        <v>11</v>
      </c>
      <c r="O12" s="42">
        <f t="shared" si="14"/>
        <v>8.5</v>
      </c>
      <c r="P12" s="43"/>
      <c r="Q12" s="42">
        <f>IF(COUNT(Q13,Q17,Q21,Q25)=0,"",SUM(Q13,Q17,Q21,Q25))</f>
        <v>8.5</v>
      </c>
      <c r="R12" s="44"/>
      <c r="S12" s="44"/>
      <c r="T12" s="45" t="s">
        <v>62</v>
      </c>
      <c r="U12" s="26"/>
      <c r="V12" s="26"/>
      <c r="W12" s="26"/>
      <c r="X12" s="46">
        <f t="shared" ref="X12:AA12" si="15">L12</f>
        <v>6</v>
      </c>
      <c r="Y12" s="46">
        <f t="shared" si="15"/>
        <v>8.5</v>
      </c>
      <c r="Z12" s="46">
        <f t="shared" si="15"/>
        <v>11</v>
      </c>
      <c r="AA12" s="46">
        <f t="shared" si="15"/>
        <v>8.5</v>
      </c>
      <c r="AB12" s="26"/>
      <c r="AC12" s="46">
        <f>Q12</f>
        <v>8.5</v>
      </c>
    </row>
    <row r="13" ht="33.75" customHeight="1">
      <c r="A13" s="47" t="s">
        <v>77</v>
      </c>
      <c r="B13" s="47" t="s">
        <v>60</v>
      </c>
      <c r="C13" s="70" t="s">
        <v>76</v>
      </c>
      <c r="D13" s="70" t="s">
        <v>78</v>
      </c>
      <c r="E13" s="48"/>
      <c r="F13" s="49"/>
      <c r="G13" s="49"/>
      <c r="H13" s="49"/>
      <c r="I13" s="49"/>
      <c r="J13" s="49" t="s">
        <v>9</v>
      </c>
      <c r="K13" s="50" t="s">
        <v>9</v>
      </c>
      <c r="L13" s="51">
        <f>IF(COUNT(L14:N16)=0,"",SUM(L14:L16))</f>
        <v>1</v>
      </c>
      <c r="M13" s="51">
        <f>IF(COUNT(L14:N16)=0,"",SUM(M14:M16))</f>
        <v>1.5</v>
      </c>
      <c r="N13" s="51">
        <f>IF(COUNT(L14:N16)=0,"",SUM(N14:N16))</f>
        <v>2</v>
      </c>
      <c r="O13" s="51">
        <f>IF(COUNT(O14:O16)=0,"",SUM(O14:O16))</f>
        <v>1.5</v>
      </c>
      <c r="P13" s="52"/>
      <c r="Q13" s="51">
        <f>IF(COUNT(Q14:Q16)=0,"",SUM(Q14:Q16))</f>
        <v>1.5</v>
      </c>
      <c r="R13" s="53"/>
      <c r="S13" s="53"/>
      <c r="T13" s="54" t="s">
        <v>65</v>
      </c>
      <c r="U13" s="26"/>
      <c r="V13" s="26"/>
      <c r="W13" s="26"/>
      <c r="X13" s="26"/>
      <c r="Y13" s="26"/>
      <c r="Z13" s="26"/>
      <c r="AA13" s="26"/>
      <c r="AB13" s="26"/>
      <c r="AC13" s="26"/>
    </row>
    <row r="14" ht="33.75" customHeight="1">
      <c r="A14" s="55" t="s">
        <v>79</v>
      </c>
      <c r="B14" s="56" t="str">
        <f t="shared" ref="B14:D14" si="16">B13</f>
        <v>Technical Framework</v>
      </c>
      <c r="C14" s="56" t="str">
        <f t="shared" si="16"/>
        <v>Backend</v>
      </c>
      <c r="D14" s="56" t="str">
        <f t="shared" si="16"/>
        <v>Backend Service Foundation</v>
      </c>
      <c r="E14" s="57"/>
      <c r="F14" s="58"/>
      <c r="G14" s="58"/>
      <c r="H14" s="58"/>
      <c r="I14" s="58"/>
      <c r="J14" s="58" t="s">
        <v>9</v>
      </c>
      <c r="K14" s="59" t="s">
        <v>9</v>
      </c>
      <c r="L14" s="60">
        <v>0.0</v>
      </c>
      <c r="M14" s="67">
        <f t="shared" ref="M14:M16" si="18">(N14+L14)/2</f>
        <v>0</v>
      </c>
      <c r="N14" s="60">
        <v>0.0</v>
      </c>
      <c r="O14" s="68">
        <f t="shared" ref="O14:O16" si="19">IF(COUNT(L14:N14)=0,"",(L14+4*M14+N14)/6)</f>
        <v>0</v>
      </c>
      <c r="P14" s="62">
        <v>0.0</v>
      </c>
      <c r="Q14" s="63">
        <f t="shared" ref="Q14:Q16" si="20">IF(O14="","",IF(P14="",O14,O14*(1+P14)))</f>
        <v>0</v>
      </c>
      <c r="R14" s="64"/>
      <c r="S14" s="64"/>
      <c r="T14" s="65" t="s">
        <v>31</v>
      </c>
      <c r="U14" s="26"/>
      <c r="V14" s="26"/>
      <c r="W14" s="26"/>
      <c r="X14" s="26"/>
      <c r="Y14" s="26"/>
      <c r="Z14" s="26"/>
      <c r="AA14" s="26"/>
      <c r="AB14" s="26"/>
      <c r="AC14" s="26"/>
    </row>
    <row r="15" ht="33.75" customHeight="1">
      <c r="A15" s="66" t="s">
        <v>80</v>
      </c>
      <c r="B15" s="56" t="str">
        <f t="shared" ref="B15:D15" si="17">B14</f>
        <v>Technical Framework</v>
      </c>
      <c r="C15" s="56" t="str">
        <f t="shared" si="17"/>
        <v>Backend</v>
      </c>
      <c r="D15" s="56" t="str">
        <f t="shared" si="17"/>
        <v>Backend Service Foundation</v>
      </c>
      <c r="E15" s="57"/>
      <c r="F15" s="58"/>
      <c r="G15" s="58"/>
      <c r="H15" s="58"/>
      <c r="I15" s="58"/>
      <c r="J15" s="58" t="s">
        <v>9</v>
      </c>
      <c r="K15" s="59" t="s">
        <v>9</v>
      </c>
      <c r="L15" s="60">
        <v>1.0</v>
      </c>
      <c r="M15" s="67">
        <f t="shared" si="18"/>
        <v>1.5</v>
      </c>
      <c r="N15" s="60">
        <v>2.0</v>
      </c>
      <c r="O15" s="68">
        <f t="shared" si="19"/>
        <v>1.5</v>
      </c>
      <c r="P15" s="62">
        <v>0.0</v>
      </c>
      <c r="Q15" s="63">
        <f t="shared" si="20"/>
        <v>1.5</v>
      </c>
      <c r="R15" s="64"/>
      <c r="S15" s="64"/>
      <c r="T15" s="69" t="s">
        <v>68</v>
      </c>
      <c r="U15" s="26"/>
      <c r="V15" s="26"/>
      <c r="W15" s="26"/>
      <c r="X15" s="26"/>
      <c r="Y15" s="26"/>
      <c r="Z15" s="26"/>
      <c r="AA15" s="26"/>
      <c r="AB15" s="26"/>
      <c r="AC15" s="26"/>
    </row>
    <row r="16" ht="33.75" customHeight="1">
      <c r="A16" s="66" t="s">
        <v>81</v>
      </c>
      <c r="B16" s="56" t="str">
        <f t="shared" ref="B16:D16" si="21">B15</f>
        <v>Technical Framework</v>
      </c>
      <c r="C16" s="56" t="str">
        <f t="shared" si="21"/>
        <v>Backend</v>
      </c>
      <c r="D16" s="56" t="str">
        <f t="shared" si="21"/>
        <v>Backend Service Foundation</v>
      </c>
      <c r="E16" s="57"/>
      <c r="F16" s="58"/>
      <c r="G16" s="58"/>
      <c r="H16" s="58"/>
      <c r="I16" s="58"/>
      <c r="J16" s="58" t="s">
        <v>9</v>
      </c>
      <c r="K16" s="59" t="s">
        <v>9</v>
      </c>
      <c r="L16" s="60">
        <v>0.0</v>
      </c>
      <c r="M16" s="67">
        <f t="shared" si="18"/>
        <v>0</v>
      </c>
      <c r="N16" s="60">
        <v>0.0</v>
      </c>
      <c r="O16" s="68">
        <f t="shared" si="19"/>
        <v>0</v>
      </c>
      <c r="P16" s="62">
        <v>0.0</v>
      </c>
      <c r="Q16" s="63">
        <f t="shared" si="20"/>
        <v>0</v>
      </c>
      <c r="R16" s="64"/>
      <c r="S16" s="64"/>
      <c r="T16" s="65" t="s">
        <v>70</v>
      </c>
      <c r="U16" s="26"/>
      <c r="V16" s="26"/>
      <c r="W16" s="26"/>
      <c r="X16" s="26"/>
      <c r="Y16" s="26"/>
      <c r="Z16" s="26"/>
      <c r="AA16" s="26"/>
      <c r="AB16" s="26"/>
      <c r="AC16" s="26"/>
    </row>
    <row r="17" ht="33.75" customHeight="1">
      <c r="A17" s="71" t="s">
        <v>82</v>
      </c>
      <c r="B17" s="47" t="s">
        <v>60</v>
      </c>
      <c r="C17" s="70" t="s">
        <v>76</v>
      </c>
      <c r="D17" s="70" t="s">
        <v>83</v>
      </c>
      <c r="E17" s="48"/>
      <c r="F17" s="49"/>
      <c r="G17" s="49"/>
      <c r="H17" s="49"/>
      <c r="I17" s="49"/>
      <c r="J17" s="49" t="s">
        <v>9</v>
      </c>
      <c r="K17" s="50" t="s">
        <v>9</v>
      </c>
      <c r="L17" s="51">
        <f>IF(COUNT(L18:N20)=0,"",SUM(L18:L20))</f>
        <v>2</v>
      </c>
      <c r="M17" s="51">
        <f>IF(COUNT(L18:N20)=0,"",SUM(M18:M20))</f>
        <v>2.5</v>
      </c>
      <c r="N17" s="51">
        <f>IF(COUNT(L18:N20)=0,"",SUM(N18:N20))</f>
        <v>3</v>
      </c>
      <c r="O17" s="51">
        <f>IF(COUNT(O18:O20)=0,"",SUM(O18:O20))</f>
        <v>2.5</v>
      </c>
      <c r="P17" s="52"/>
      <c r="Q17" s="51">
        <f>IF(COUNT(Q18:Q20)=0,"",SUM(Q18:Q20))</f>
        <v>2.5</v>
      </c>
      <c r="R17" s="53"/>
      <c r="S17" s="53"/>
      <c r="T17" s="54" t="s">
        <v>65</v>
      </c>
      <c r="U17" s="26"/>
      <c r="V17" s="26"/>
      <c r="W17" s="26"/>
      <c r="X17" s="26"/>
      <c r="Y17" s="26"/>
      <c r="Z17" s="26"/>
      <c r="AA17" s="26"/>
      <c r="AB17" s="26"/>
      <c r="AC17" s="26"/>
    </row>
    <row r="18" ht="33.75" customHeight="1">
      <c r="A18" s="72" t="s">
        <v>84</v>
      </c>
      <c r="B18" s="56" t="str">
        <f t="shared" ref="B18:D18" si="22">B17</f>
        <v>Technical Framework</v>
      </c>
      <c r="C18" s="56" t="str">
        <f t="shared" si="22"/>
        <v>Backend</v>
      </c>
      <c r="D18" s="56" t="str">
        <f t="shared" si="22"/>
        <v>Identity, Auth, and Session Foundation</v>
      </c>
      <c r="E18" s="57"/>
      <c r="F18" s="58"/>
      <c r="G18" s="58"/>
      <c r="H18" s="58"/>
      <c r="I18" s="58"/>
      <c r="J18" s="58" t="s">
        <v>9</v>
      </c>
      <c r="K18" s="59" t="s">
        <v>9</v>
      </c>
      <c r="L18" s="60">
        <v>0.0</v>
      </c>
      <c r="M18" s="67">
        <f t="shared" ref="M18:M20" si="24">(N18+L18)/2</f>
        <v>0</v>
      </c>
      <c r="N18" s="60">
        <v>0.0</v>
      </c>
      <c r="O18" s="68">
        <f t="shared" ref="O18:O20" si="25">IF(COUNT(L18:N18)=0,"",(L18+4*M18+N18)/6)</f>
        <v>0</v>
      </c>
      <c r="P18" s="62">
        <v>0.0</v>
      </c>
      <c r="Q18" s="63">
        <f t="shared" ref="Q18:Q20" si="26">IF(O18="","",IF(P18="",O18,O18*(1+P18)))</f>
        <v>0</v>
      </c>
      <c r="R18" s="64"/>
      <c r="S18" s="64"/>
      <c r="T18" s="65" t="s">
        <v>31</v>
      </c>
      <c r="U18" s="26"/>
      <c r="V18" s="26"/>
      <c r="W18" s="26"/>
      <c r="X18" s="26"/>
      <c r="Y18" s="26"/>
      <c r="Z18" s="26"/>
      <c r="AA18" s="26"/>
      <c r="AB18" s="26"/>
      <c r="AC18" s="26"/>
    </row>
    <row r="19" ht="33.75" customHeight="1">
      <c r="A19" s="73" t="s">
        <v>85</v>
      </c>
      <c r="B19" s="56" t="str">
        <f t="shared" ref="B19:D19" si="23">B18</f>
        <v>Technical Framework</v>
      </c>
      <c r="C19" s="56" t="str">
        <f t="shared" si="23"/>
        <v>Backend</v>
      </c>
      <c r="D19" s="56" t="str">
        <f t="shared" si="23"/>
        <v>Identity, Auth, and Session Foundation</v>
      </c>
      <c r="E19" s="57"/>
      <c r="F19" s="58"/>
      <c r="G19" s="58"/>
      <c r="H19" s="58"/>
      <c r="I19" s="58"/>
      <c r="J19" s="58" t="s">
        <v>9</v>
      </c>
      <c r="K19" s="59" t="s">
        <v>9</v>
      </c>
      <c r="L19" s="60">
        <v>2.0</v>
      </c>
      <c r="M19" s="67">
        <f t="shared" si="24"/>
        <v>2.5</v>
      </c>
      <c r="N19" s="60">
        <v>3.0</v>
      </c>
      <c r="O19" s="68">
        <f t="shared" si="25"/>
        <v>2.5</v>
      </c>
      <c r="P19" s="62">
        <v>0.0</v>
      </c>
      <c r="Q19" s="63">
        <f t="shared" si="26"/>
        <v>2.5</v>
      </c>
      <c r="R19" s="64"/>
      <c r="S19" s="64"/>
      <c r="T19" s="69" t="s">
        <v>68</v>
      </c>
      <c r="U19" s="26"/>
      <c r="V19" s="26"/>
      <c r="W19" s="26"/>
      <c r="X19" s="26"/>
      <c r="Y19" s="26"/>
      <c r="Z19" s="26"/>
      <c r="AA19" s="26"/>
      <c r="AB19" s="26"/>
      <c r="AC19" s="26"/>
    </row>
    <row r="20" ht="33.75" customHeight="1">
      <c r="A20" s="73" t="s">
        <v>86</v>
      </c>
      <c r="B20" s="56" t="str">
        <f t="shared" ref="B20:D20" si="27">B19</f>
        <v>Technical Framework</v>
      </c>
      <c r="C20" s="56" t="str">
        <f t="shared" si="27"/>
        <v>Backend</v>
      </c>
      <c r="D20" s="56" t="str">
        <f t="shared" si="27"/>
        <v>Identity, Auth, and Session Foundation</v>
      </c>
      <c r="E20" s="57"/>
      <c r="F20" s="58"/>
      <c r="G20" s="58"/>
      <c r="H20" s="58"/>
      <c r="I20" s="58"/>
      <c r="J20" s="58" t="s">
        <v>9</v>
      </c>
      <c r="K20" s="59" t="s">
        <v>9</v>
      </c>
      <c r="L20" s="60">
        <v>0.0</v>
      </c>
      <c r="M20" s="67">
        <f t="shared" si="24"/>
        <v>0</v>
      </c>
      <c r="N20" s="60">
        <v>0.0</v>
      </c>
      <c r="O20" s="68">
        <f t="shared" si="25"/>
        <v>0</v>
      </c>
      <c r="P20" s="62">
        <v>0.0</v>
      </c>
      <c r="Q20" s="63">
        <f t="shared" si="26"/>
        <v>0</v>
      </c>
      <c r="R20" s="64"/>
      <c r="S20" s="64"/>
      <c r="T20" s="65" t="s">
        <v>70</v>
      </c>
      <c r="U20" s="26"/>
      <c r="V20" s="26"/>
      <c r="W20" s="26"/>
      <c r="X20" s="26"/>
      <c r="Y20" s="26"/>
      <c r="Z20" s="26"/>
      <c r="AA20" s="26"/>
      <c r="AB20" s="26"/>
      <c r="AC20" s="26"/>
    </row>
    <row r="21" ht="33.75" customHeight="1">
      <c r="A21" s="71" t="s">
        <v>87</v>
      </c>
      <c r="B21" s="47" t="s">
        <v>60</v>
      </c>
      <c r="C21" s="70" t="s">
        <v>76</v>
      </c>
      <c r="D21" s="70" t="s">
        <v>88</v>
      </c>
      <c r="E21" s="48"/>
      <c r="F21" s="49"/>
      <c r="G21" s="49"/>
      <c r="H21" s="49"/>
      <c r="I21" s="49"/>
      <c r="J21" s="49" t="s">
        <v>9</v>
      </c>
      <c r="K21" s="50" t="s">
        <v>9</v>
      </c>
      <c r="L21" s="51">
        <f>IF(COUNT(L22:N24)=0,"",SUM(L22:L24))</f>
        <v>2</v>
      </c>
      <c r="M21" s="51">
        <f>IF(COUNT(L22:N24)=0,"",SUM(M22:M24))</f>
        <v>2.5</v>
      </c>
      <c r="N21" s="51">
        <f>IF(COUNT(L22:N24)=0,"",SUM(N22:N24))</f>
        <v>3</v>
      </c>
      <c r="O21" s="51">
        <f>IF(COUNT(O22:O24)=0,"",SUM(O22:O24))</f>
        <v>2.5</v>
      </c>
      <c r="P21" s="52"/>
      <c r="Q21" s="51">
        <f>IF(COUNT(Q22:Q24)=0,"",SUM(Q22:Q24))</f>
        <v>2.5</v>
      </c>
      <c r="R21" s="53"/>
      <c r="S21" s="53"/>
      <c r="T21" s="54" t="s">
        <v>65</v>
      </c>
      <c r="U21" s="26"/>
      <c r="V21" s="26"/>
      <c r="W21" s="26"/>
      <c r="X21" s="26"/>
      <c r="Y21" s="26"/>
      <c r="Z21" s="26"/>
      <c r="AA21" s="26"/>
      <c r="AB21" s="26"/>
      <c r="AC21" s="26"/>
    </row>
    <row r="22" ht="33.75" customHeight="1">
      <c r="A22" s="72" t="s">
        <v>89</v>
      </c>
      <c r="B22" s="56" t="str">
        <f t="shared" ref="B22:D22" si="28">B21</f>
        <v>Technical Framework</v>
      </c>
      <c r="C22" s="56" t="str">
        <f t="shared" si="28"/>
        <v>Backend</v>
      </c>
      <c r="D22" s="56" t="str">
        <f t="shared" si="28"/>
        <v>Core Data Model and Persistence</v>
      </c>
      <c r="E22" s="57"/>
      <c r="F22" s="58"/>
      <c r="G22" s="58"/>
      <c r="H22" s="58"/>
      <c r="I22" s="58"/>
      <c r="J22" s="58" t="s">
        <v>9</v>
      </c>
      <c r="K22" s="59" t="s">
        <v>9</v>
      </c>
      <c r="L22" s="60">
        <v>0.0</v>
      </c>
      <c r="M22" s="67">
        <f t="shared" ref="M22:M24" si="30">(N22+L22)/2</f>
        <v>0</v>
      </c>
      <c r="N22" s="60">
        <v>0.0</v>
      </c>
      <c r="O22" s="68">
        <f t="shared" ref="O22:O24" si="31">IF(COUNT(L22:N22)=0,"",(L22+4*M22+N22)/6)</f>
        <v>0</v>
      </c>
      <c r="P22" s="62">
        <v>0.0</v>
      </c>
      <c r="Q22" s="63">
        <f t="shared" ref="Q22:Q24" si="32">IF(O22="","",IF(P22="",O22,O22*(1+P22)))</f>
        <v>0</v>
      </c>
      <c r="R22" s="64"/>
      <c r="S22" s="64"/>
      <c r="T22" s="65" t="s">
        <v>31</v>
      </c>
      <c r="U22" s="26"/>
      <c r="V22" s="26"/>
      <c r="W22" s="26"/>
      <c r="X22" s="26"/>
      <c r="Y22" s="26"/>
      <c r="Z22" s="26"/>
      <c r="AA22" s="26"/>
      <c r="AB22" s="26"/>
      <c r="AC22" s="26"/>
    </row>
    <row r="23" ht="33.75" customHeight="1">
      <c r="A23" s="73" t="s">
        <v>90</v>
      </c>
      <c r="B23" s="56" t="str">
        <f t="shared" ref="B23:D23" si="29">B22</f>
        <v>Technical Framework</v>
      </c>
      <c r="C23" s="56" t="str">
        <f t="shared" si="29"/>
        <v>Backend</v>
      </c>
      <c r="D23" s="56" t="str">
        <f t="shared" si="29"/>
        <v>Core Data Model and Persistence</v>
      </c>
      <c r="E23" s="57"/>
      <c r="F23" s="58"/>
      <c r="G23" s="58"/>
      <c r="H23" s="58"/>
      <c r="I23" s="58"/>
      <c r="J23" s="58" t="s">
        <v>9</v>
      </c>
      <c r="K23" s="59" t="s">
        <v>9</v>
      </c>
      <c r="L23" s="60">
        <v>2.0</v>
      </c>
      <c r="M23" s="67">
        <f t="shared" si="30"/>
        <v>2.5</v>
      </c>
      <c r="N23" s="60">
        <v>3.0</v>
      </c>
      <c r="O23" s="68">
        <f t="shared" si="31"/>
        <v>2.5</v>
      </c>
      <c r="P23" s="62">
        <v>0.0</v>
      </c>
      <c r="Q23" s="63">
        <f t="shared" si="32"/>
        <v>2.5</v>
      </c>
      <c r="R23" s="64"/>
      <c r="S23" s="64"/>
      <c r="T23" s="69" t="s">
        <v>68</v>
      </c>
      <c r="U23" s="26"/>
      <c r="V23" s="26"/>
      <c r="W23" s="26"/>
      <c r="X23" s="26"/>
      <c r="Y23" s="26"/>
      <c r="Z23" s="26"/>
      <c r="AA23" s="26"/>
      <c r="AB23" s="26"/>
      <c r="AC23" s="26"/>
    </row>
    <row r="24" ht="33.75" customHeight="1">
      <c r="A24" s="73" t="s">
        <v>91</v>
      </c>
      <c r="B24" s="56" t="str">
        <f t="shared" ref="B24:D24" si="33">B23</f>
        <v>Technical Framework</v>
      </c>
      <c r="C24" s="56" t="str">
        <f t="shared" si="33"/>
        <v>Backend</v>
      </c>
      <c r="D24" s="56" t="str">
        <f t="shared" si="33"/>
        <v>Core Data Model and Persistence</v>
      </c>
      <c r="E24" s="57"/>
      <c r="F24" s="58"/>
      <c r="G24" s="58"/>
      <c r="H24" s="58"/>
      <c r="I24" s="58"/>
      <c r="J24" s="58" t="s">
        <v>9</v>
      </c>
      <c r="K24" s="59" t="s">
        <v>9</v>
      </c>
      <c r="L24" s="60">
        <v>0.0</v>
      </c>
      <c r="M24" s="67">
        <f t="shared" si="30"/>
        <v>0</v>
      </c>
      <c r="N24" s="60">
        <v>0.0</v>
      </c>
      <c r="O24" s="68">
        <f t="shared" si="31"/>
        <v>0</v>
      </c>
      <c r="P24" s="62">
        <v>0.0</v>
      </c>
      <c r="Q24" s="63">
        <f t="shared" si="32"/>
        <v>0</v>
      </c>
      <c r="R24" s="64"/>
      <c r="S24" s="64"/>
      <c r="T24" s="65" t="s">
        <v>70</v>
      </c>
      <c r="U24" s="26"/>
      <c r="V24" s="26"/>
      <c r="W24" s="26"/>
      <c r="X24" s="26"/>
      <c r="Y24" s="26"/>
      <c r="Z24" s="26"/>
      <c r="AA24" s="26"/>
      <c r="AB24" s="26"/>
      <c r="AC24" s="26"/>
    </row>
    <row r="25" ht="33.75" customHeight="1">
      <c r="A25" s="71" t="s">
        <v>92</v>
      </c>
      <c r="B25" s="47" t="s">
        <v>60</v>
      </c>
      <c r="C25" s="70" t="s">
        <v>76</v>
      </c>
      <c r="D25" s="70" t="s">
        <v>93</v>
      </c>
      <c r="E25" s="48"/>
      <c r="F25" s="49"/>
      <c r="G25" s="49"/>
      <c r="H25" s="49"/>
      <c r="I25" s="49"/>
      <c r="J25" s="49" t="s">
        <v>9</v>
      </c>
      <c r="K25" s="50" t="s">
        <v>9</v>
      </c>
      <c r="L25" s="51">
        <f>IF(COUNT(L26:N28)=0,"",SUM(L26:L28))</f>
        <v>1</v>
      </c>
      <c r="M25" s="51">
        <f>IF(COUNT(L26:N28)=0,"",SUM(M26:M28))</f>
        <v>2</v>
      </c>
      <c r="N25" s="51">
        <f>IF(COUNT(L26:N28)=0,"",SUM(N26:N28))</f>
        <v>3</v>
      </c>
      <c r="O25" s="51">
        <f>IF(COUNT(O26:O28)=0,"",SUM(O26:O28))</f>
        <v>2</v>
      </c>
      <c r="P25" s="52"/>
      <c r="Q25" s="51">
        <f>IF(COUNT(Q26:Q28)=0,"",SUM(Q26:Q28))</f>
        <v>2</v>
      </c>
      <c r="R25" s="53"/>
      <c r="S25" s="53"/>
      <c r="T25" s="54" t="s">
        <v>65</v>
      </c>
      <c r="U25" s="26"/>
      <c r="V25" s="26"/>
      <c r="W25" s="26"/>
      <c r="X25" s="26"/>
      <c r="Y25" s="26"/>
      <c r="Z25" s="26"/>
      <c r="AA25" s="26"/>
      <c r="AB25" s="26"/>
      <c r="AC25" s="26"/>
    </row>
    <row r="26" ht="33.75" customHeight="1">
      <c r="A26" s="72" t="s">
        <v>94</v>
      </c>
      <c r="B26" s="56" t="str">
        <f t="shared" ref="B26:D26" si="34">B25</f>
        <v>Technical Framework</v>
      </c>
      <c r="C26" s="56" t="str">
        <f t="shared" si="34"/>
        <v>Backend</v>
      </c>
      <c r="D26" s="56" t="str">
        <f t="shared" si="34"/>
        <v>Provider Integration Framework</v>
      </c>
      <c r="E26" s="57"/>
      <c r="F26" s="58"/>
      <c r="G26" s="58"/>
      <c r="H26" s="58"/>
      <c r="I26" s="58"/>
      <c r="J26" s="58" t="s">
        <v>9</v>
      </c>
      <c r="K26" s="59" t="s">
        <v>9</v>
      </c>
      <c r="L26" s="60">
        <v>0.0</v>
      </c>
      <c r="M26" s="67">
        <f t="shared" ref="M26:M28" si="36">(N26+L26)/2</f>
        <v>0</v>
      </c>
      <c r="N26" s="60">
        <v>0.0</v>
      </c>
      <c r="O26" s="68">
        <f t="shared" ref="O26:O28" si="37">IF(COUNT(L26:N26)=0,"",(L26+4*M26+N26)/6)</f>
        <v>0</v>
      </c>
      <c r="P26" s="62">
        <v>0.0</v>
      </c>
      <c r="Q26" s="63">
        <f t="shared" ref="Q26:Q28" si="38">IF(O26="","",IF(P26="",O26,O26*(1+P26)))</f>
        <v>0</v>
      </c>
      <c r="R26" s="64"/>
      <c r="S26" s="64"/>
      <c r="T26" s="65" t="s">
        <v>31</v>
      </c>
      <c r="U26" s="26"/>
      <c r="V26" s="26"/>
      <c r="W26" s="26"/>
      <c r="X26" s="26"/>
      <c r="Y26" s="26"/>
      <c r="Z26" s="26"/>
      <c r="AA26" s="26"/>
      <c r="AB26" s="26"/>
      <c r="AC26" s="26"/>
    </row>
    <row r="27" ht="33.75" customHeight="1">
      <c r="A27" s="66" t="s">
        <v>95</v>
      </c>
      <c r="B27" s="56" t="str">
        <f t="shared" ref="B27:D27" si="35">B26</f>
        <v>Technical Framework</v>
      </c>
      <c r="C27" s="56" t="str">
        <f t="shared" si="35"/>
        <v>Backend</v>
      </c>
      <c r="D27" s="56" t="str">
        <f t="shared" si="35"/>
        <v>Provider Integration Framework</v>
      </c>
      <c r="E27" s="57"/>
      <c r="F27" s="58"/>
      <c r="G27" s="58"/>
      <c r="H27" s="58"/>
      <c r="I27" s="58"/>
      <c r="J27" s="58" t="s">
        <v>9</v>
      </c>
      <c r="K27" s="59" t="s">
        <v>9</v>
      </c>
      <c r="L27" s="60">
        <v>1.0</v>
      </c>
      <c r="M27" s="67">
        <f t="shared" si="36"/>
        <v>2</v>
      </c>
      <c r="N27" s="60">
        <v>3.0</v>
      </c>
      <c r="O27" s="68">
        <f t="shared" si="37"/>
        <v>2</v>
      </c>
      <c r="P27" s="62">
        <v>0.0</v>
      </c>
      <c r="Q27" s="63">
        <f t="shared" si="38"/>
        <v>2</v>
      </c>
      <c r="R27" s="64"/>
      <c r="S27" s="64"/>
      <c r="T27" s="69" t="s">
        <v>68</v>
      </c>
      <c r="U27" s="26"/>
      <c r="V27" s="26"/>
      <c r="W27" s="26"/>
      <c r="X27" s="26"/>
      <c r="Y27" s="26"/>
      <c r="Z27" s="26"/>
      <c r="AA27" s="26"/>
      <c r="AB27" s="26"/>
      <c r="AC27" s="26"/>
    </row>
    <row r="28" ht="33.75" customHeight="1">
      <c r="A28" s="66" t="s">
        <v>96</v>
      </c>
      <c r="B28" s="56" t="str">
        <f t="shared" ref="B28:D28" si="39">B27</f>
        <v>Technical Framework</v>
      </c>
      <c r="C28" s="56" t="str">
        <f t="shared" si="39"/>
        <v>Backend</v>
      </c>
      <c r="D28" s="56" t="str">
        <f t="shared" si="39"/>
        <v>Provider Integration Framework</v>
      </c>
      <c r="E28" s="57"/>
      <c r="F28" s="58"/>
      <c r="G28" s="58"/>
      <c r="H28" s="58"/>
      <c r="I28" s="58"/>
      <c r="J28" s="58" t="s">
        <v>9</v>
      </c>
      <c r="K28" s="59" t="s">
        <v>9</v>
      </c>
      <c r="L28" s="60">
        <v>0.0</v>
      </c>
      <c r="M28" s="67">
        <f t="shared" si="36"/>
        <v>0</v>
      </c>
      <c r="N28" s="60">
        <v>0.0</v>
      </c>
      <c r="O28" s="68">
        <f t="shared" si="37"/>
        <v>0</v>
      </c>
      <c r="P28" s="62">
        <v>0.0</v>
      </c>
      <c r="Q28" s="63">
        <f t="shared" si="38"/>
        <v>0</v>
      </c>
      <c r="R28" s="64"/>
      <c r="S28" s="64"/>
      <c r="T28" s="65" t="s">
        <v>70</v>
      </c>
      <c r="U28" s="26"/>
      <c r="V28" s="26"/>
      <c r="W28" s="26"/>
      <c r="X28" s="26"/>
      <c r="Y28" s="26"/>
      <c r="Z28" s="26"/>
      <c r="AA28" s="26"/>
      <c r="AB28" s="26"/>
      <c r="AC28" s="26"/>
    </row>
    <row r="29" ht="33.75" customHeight="1">
      <c r="A29" s="71" t="s">
        <v>97</v>
      </c>
      <c r="B29" s="47" t="s">
        <v>60</v>
      </c>
      <c r="C29" s="70" t="s">
        <v>76</v>
      </c>
      <c r="D29" s="70" t="s">
        <v>83</v>
      </c>
      <c r="E29" s="48"/>
      <c r="F29" s="49"/>
      <c r="G29" s="49"/>
      <c r="H29" s="49"/>
      <c r="I29" s="49"/>
      <c r="J29" s="49" t="s">
        <v>9</v>
      </c>
      <c r="K29" s="50" t="s">
        <v>9</v>
      </c>
      <c r="L29" s="51">
        <f>IF(COUNT(L30:N32)=0,"",SUM(L30:L32))</f>
        <v>2</v>
      </c>
      <c r="M29" s="51">
        <f>IF(COUNT(L30:N32)=0,"",SUM(M30:M32))</f>
        <v>3</v>
      </c>
      <c r="N29" s="51">
        <f>IF(COUNT(L30:N32)=0,"",SUM(N30:N32))</f>
        <v>4</v>
      </c>
      <c r="O29" s="51">
        <f>IF(COUNT(O30:O32)=0,"",SUM(O30:O32))</f>
        <v>3</v>
      </c>
      <c r="P29" s="52"/>
      <c r="Q29" s="51">
        <f>IF(COUNT(Q30:Q32)=0,"",SUM(Q30:Q32))</f>
        <v>3</v>
      </c>
      <c r="R29" s="53"/>
      <c r="S29" s="53"/>
      <c r="T29" s="54" t="s">
        <v>65</v>
      </c>
      <c r="U29" s="26"/>
      <c r="V29" s="26"/>
      <c r="W29" s="26"/>
      <c r="X29" s="26"/>
      <c r="Y29" s="26"/>
      <c r="Z29" s="26"/>
      <c r="AA29" s="26"/>
      <c r="AB29" s="26"/>
      <c r="AC29" s="26"/>
    </row>
    <row r="30" ht="33.75" customHeight="1">
      <c r="A30" s="72" t="s">
        <v>98</v>
      </c>
      <c r="B30" s="56" t="str">
        <f t="shared" ref="B30:D30" si="40">B29</f>
        <v>Technical Framework</v>
      </c>
      <c r="C30" s="56" t="str">
        <f t="shared" si="40"/>
        <v>Backend</v>
      </c>
      <c r="D30" s="56" t="str">
        <f t="shared" si="40"/>
        <v>Identity, Auth, and Session Foundation</v>
      </c>
      <c r="E30" s="57"/>
      <c r="F30" s="58"/>
      <c r="G30" s="58"/>
      <c r="H30" s="58"/>
      <c r="I30" s="58"/>
      <c r="J30" s="58" t="s">
        <v>9</v>
      </c>
      <c r="K30" s="59" t="s">
        <v>9</v>
      </c>
      <c r="L30" s="60">
        <v>0.0</v>
      </c>
      <c r="M30" s="67">
        <f t="shared" ref="M30:M32" si="42">(N30+L30)/2</f>
        <v>0</v>
      </c>
      <c r="N30" s="60">
        <v>0.0</v>
      </c>
      <c r="O30" s="68">
        <f t="shared" ref="O30:O32" si="43">IF(COUNT(L30:N30)=0,"",(L30+4*M30+N30)/6)</f>
        <v>0</v>
      </c>
      <c r="P30" s="62">
        <v>0.0</v>
      </c>
      <c r="Q30" s="63">
        <f t="shared" ref="Q30:Q32" si="44">IF(O30="","",IF(P30="",O30,O30*(1+P30)))</f>
        <v>0</v>
      </c>
      <c r="R30" s="64"/>
      <c r="S30" s="64"/>
      <c r="T30" s="65" t="s">
        <v>31</v>
      </c>
      <c r="U30" s="26"/>
      <c r="V30" s="26"/>
      <c r="W30" s="26"/>
      <c r="X30" s="26"/>
      <c r="Y30" s="26"/>
      <c r="Z30" s="26"/>
      <c r="AA30" s="26"/>
      <c r="AB30" s="26"/>
      <c r="AC30" s="26"/>
    </row>
    <row r="31" ht="33.75" customHeight="1">
      <c r="A31" s="74" t="s">
        <v>99</v>
      </c>
      <c r="B31" s="56" t="str">
        <f t="shared" ref="B31:D31" si="41">B30</f>
        <v>Technical Framework</v>
      </c>
      <c r="C31" s="56" t="str">
        <f t="shared" si="41"/>
        <v>Backend</v>
      </c>
      <c r="D31" s="56" t="str">
        <f t="shared" si="41"/>
        <v>Identity, Auth, and Session Foundation</v>
      </c>
      <c r="E31" s="57"/>
      <c r="F31" s="58"/>
      <c r="G31" s="58"/>
      <c r="H31" s="58"/>
      <c r="I31" s="58"/>
      <c r="J31" s="58" t="s">
        <v>9</v>
      </c>
      <c r="K31" s="59" t="s">
        <v>9</v>
      </c>
      <c r="L31" s="60">
        <v>2.0</v>
      </c>
      <c r="M31" s="67">
        <f t="shared" si="42"/>
        <v>3</v>
      </c>
      <c r="N31" s="60">
        <v>4.0</v>
      </c>
      <c r="O31" s="68">
        <f t="shared" si="43"/>
        <v>3</v>
      </c>
      <c r="P31" s="62">
        <v>0.0</v>
      </c>
      <c r="Q31" s="63">
        <f t="shared" si="44"/>
        <v>3</v>
      </c>
      <c r="R31" s="64"/>
      <c r="S31" s="64"/>
      <c r="T31" s="69" t="s">
        <v>68</v>
      </c>
      <c r="U31" s="26"/>
      <c r="V31" s="26"/>
      <c r="W31" s="26"/>
      <c r="X31" s="26"/>
      <c r="Y31" s="26"/>
      <c r="Z31" s="26"/>
      <c r="AA31" s="26"/>
      <c r="AB31" s="26"/>
      <c r="AC31" s="26"/>
    </row>
    <row r="32" ht="33.75" customHeight="1">
      <c r="A32" s="74" t="s">
        <v>100</v>
      </c>
      <c r="B32" s="56" t="str">
        <f t="shared" ref="B32:D32" si="45">B31</f>
        <v>Technical Framework</v>
      </c>
      <c r="C32" s="56" t="str">
        <f t="shared" si="45"/>
        <v>Backend</v>
      </c>
      <c r="D32" s="56" t="str">
        <f t="shared" si="45"/>
        <v>Identity, Auth, and Session Foundation</v>
      </c>
      <c r="E32" s="57"/>
      <c r="F32" s="58"/>
      <c r="G32" s="58"/>
      <c r="H32" s="58"/>
      <c r="I32" s="58"/>
      <c r="J32" s="58" t="s">
        <v>9</v>
      </c>
      <c r="K32" s="59" t="s">
        <v>9</v>
      </c>
      <c r="L32" s="60">
        <v>0.0</v>
      </c>
      <c r="M32" s="67">
        <f t="shared" si="42"/>
        <v>0</v>
      </c>
      <c r="N32" s="60">
        <v>0.0</v>
      </c>
      <c r="O32" s="68">
        <f t="shared" si="43"/>
        <v>0</v>
      </c>
      <c r="P32" s="62">
        <v>0.0</v>
      </c>
      <c r="Q32" s="63">
        <f t="shared" si="44"/>
        <v>0</v>
      </c>
      <c r="R32" s="64"/>
      <c r="S32" s="64"/>
      <c r="T32" s="65" t="s">
        <v>70</v>
      </c>
      <c r="U32" s="26"/>
      <c r="V32" s="26"/>
      <c r="W32" s="26"/>
      <c r="X32" s="26"/>
      <c r="Y32" s="26"/>
      <c r="Z32" s="26"/>
      <c r="AA32" s="26"/>
      <c r="AB32" s="26"/>
      <c r="AC32" s="26"/>
    </row>
    <row r="33" ht="33.75" customHeight="1">
      <c r="A33" s="71" t="s">
        <v>101</v>
      </c>
      <c r="B33" s="47" t="s">
        <v>60</v>
      </c>
      <c r="C33" s="70" t="s">
        <v>76</v>
      </c>
      <c r="D33" s="70" t="s">
        <v>102</v>
      </c>
      <c r="E33" s="48"/>
      <c r="F33" s="49"/>
      <c r="G33" s="49"/>
      <c r="H33" s="49"/>
      <c r="I33" s="49"/>
      <c r="J33" s="49" t="s">
        <v>9</v>
      </c>
      <c r="K33" s="50" t="s">
        <v>9</v>
      </c>
      <c r="L33" s="51">
        <f>IF(COUNT(L34:N36)=0,"",SUM(L34:L36))</f>
        <v>3</v>
      </c>
      <c r="M33" s="51">
        <f>IF(COUNT(L34:N36)=0,"",SUM(M34:M36))</f>
        <v>3.5</v>
      </c>
      <c r="N33" s="51">
        <f>IF(COUNT(L34:N36)=0,"",SUM(N34:N36))</f>
        <v>4</v>
      </c>
      <c r="O33" s="51">
        <f>IF(COUNT(O34:O36)=0,"",SUM(O34:O36))</f>
        <v>3.5</v>
      </c>
      <c r="P33" s="52"/>
      <c r="Q33" s="51">
        <f>IF(COUNT(Q34:Q36)=0,"",SUM(Q34:Q36))</f>
        <v>3.5</v>
      </c>
      <c r="R33" s="53"/>
      <c r="S33" s="53"/>
      <c r="T33" s="54" t="s">
        <v>65</v>
      </c>
      <c r="U33" s="26"/>
      <c r="V33" s="26"/>
      <c r="W33" s="26"/>
      <c r="X33" s="26"/>
      <c r="Y33" s="26"/>
      <c r="Z33" s="26"/>
      <c r="AA33" s="26"/>
      <c r="AB33" s="26"/>
      <c r="AC33" s="26"/>
    </row>
    <row r="34" ht="33.75" customHeight="1">
      <c r="A34" s="72" t="s">
        <v>103</v>
      </c>
      <c r="B34" s="56" t="str">
        <f t="shared" ref="B34:D34" si="46">B33</f>
        <v>Technical Framework</v>
      </c>
      <c r="C34" s="56" t="str">
        <f t="shared" si="46"/>
        <v>Backend</v>
      </c>
      <c r="D34" s="56" t="str">
        <f t="shared" si="46"/>
        <v>Async Jobs, Events, and Workflow Foundation</v>
      </c>
      <c r="E34" s="57"/>
      <c r="F34" s="58"/>
      <c r="G34" s="58"/>
      <c r="H34" s="58"/>
      <c r="I34" s="58"/>
      <c r="J34" s="58" t="s">
        <v>9</v>
      </c>
      <c r="K34" s="59" t="s">
        <v>9</v>
      </c>
      <c r="L34" s="60">
        <v>0.0</v>
      </c>
      <c r="M34" s="67">
        <f t="shared" ref="M34:M36" si="48">(N34+L34)/2</f>
        <v>0</v>
      </c>
      <c r="N34" s="60">
        <v>0.0</v>
      </c>
      <c r="O34" s="68">
        <f t="shared" ref="O34:O36" si="49">IF(COUNT(L34:N34)=0,"",(L34+4*M34+N34)/6)</f>
        <v>0</v>
      </c>
      <c r="P34" s="62">
        <v>0.0</v>
      </c>
      <c r="Q34" s="63">
        <f t="shared" ref="Q34:Q36" si="50">IF(O34="","",IF(P34="",O34,O34*(1+P34)))</f>
        <v>0</v>
      </c>
      <c r="R34" s="64"/>
      <c r="S34" s="64"/>
      <c r="T34" s="65" t="s">
        <v>31</v>
      </c>
      <c r="U34" s="26"/>
      <c r="V34" s="26"/>
      <c r="W34" s="26"/>
      <c r="X34" s="26"/>
      <c r="Y34" s="26"/>
      <c r="Z34" s="26"/>
      <c r="AA34" s="26"/>
      <c r="AB34" s="26"/>
      <c r="AC34" s="26"/>
    </row>
    <row r="35" ht="33.75" customHeight="1">
      <c r="A35" s="66" t="s">
        <v>104</v>
      </c>
      <c r="B35" s="56" t="str">
        <f t="shared" ref="B35:D35" si="47">B34</f>
        <v>Technical Framework</v>
      </c>
      <c r="C35" s="56" t="str">
        <f t="shared" si="47"/>
        <v>Backend</v>
      </c>
      <c r="D35" s="56" t="str">
        <f t="shared" si="47"/>
        <v>Async Jobs, Events, and Workflow Foundation</v>
      </c>
      <c r="E35" s="57"/>
      <c r="F35" s="58"/>
      <c r="G35" s="58"/>
      <c r="H35" s="58"/>
      <c r="I35" s="58"/>
      <c r="J35" s="58" t="s">
        <v>9</v>
      </c>
      <c r="K35" s="59" t="s">
        <v>9</v>
      </c>
      <c r="L35" s="60">
        <v>3.0</v>
      </c>
      <c r="M35" s="67">
        <f t="shared" si="48"/>
        <v>3.5</v>
      </c>
      <c r="N35" s="60">
        <v>4.0</v>
      </c>
      <c r="O35" s="68">
        <f t="shared" si="49"/>
        <v>3.5</v>
      </c>
      <c r="P35" s="62">
        <v>0.0</v>
      </c>
      <c r="Q35" s="63">
        <f t="shared" si="50"/>
        <v>3.5</v>
      </c>
      <c r="R35" s="64"/>
      <c r="S35" s="64"/>
      <c r="T35" s="69" t="s">
        <v>68</v>
      </c>
      <c r="U35" s="26"/>
      <c r="V35" s="26"/>
      <c r="W35" s="26"/>
      <c r="X35" s="26"/>
      <c r="Y35" s="26"/>
      <c r="Z35" s="26"/>
      <c r="AA35" s="26"/>
      <c r="AB35" s="26"/>
      <c r="AC35" s="26"/>
    </row>
    <row r="36" ht="33.75" customHeight="1">
      <c r="A36" s="66" t="s">
        <v>105</v>
      </c>
      <c r="B36" s="56" t="str">
        <f t="shared" ref="B36:D36" si="51">B35</f>
        <v>Technical Framework</v>
      </c>
      <c r="C36" s="56" t="str">
        <f t="shared" si="51"/>
        <v>Backend</v>
      </c>
      <c r="D36" s="56" t="str">
        <f t="shared" si="51"/>
        <v>Async Jobs, Events, and Workflow Foundation</v>
      </c>
      <c r="E36" s="57"/>
      <c r="F36" s="58"/>
      <c r="G36" s="58"/>
      <c r="H36" s="58"/>
      <c r="I36" s="58"/>
      <c r="J36" s="58" t="s">
        <v>9</v>
      </c>
      <c r="K36" s="59" t="s">
        <v>9</v>
      </c>
      <c r="L36" s="60">
        <v>0.0</v>
      </c>
      <c r="M36" s="67">
        <f t="shared" si="48"/>
        <v>0</v>
      </c>
      <c r="N36" s="60">
        <v>0.0</v>
      </c>
      <c r="O36" s="68">
        <f t="shared" si="49"/>
        <v>0</v>
      </c>
      <c r="P36" s="62">
        <v>0.0</v>
      </c>
      <c r="Q36" s="63">
        <f t="shared" si="50"/>
        <v>0</v>
      </c>
      <c r="R36" s="64"/>
      <c r="S36" s="64"/>
      <c r="T36" s="65" t="s">
        <v>70</v>
      </c>
      <c r="U36" s="26"/>
      <c r="V36" s="26"/>
      <c r="W36" s="26"/>
      <c r="X36" s="26"/>
      <c r="Y36" s="26"/>
      <c r="Z36" s="26"/>
      <c r="AA36" s="26"/>
      <c r="AB36" s="26"/>
      <c r="AC36" s="26"/>
    </row>
    <row r="37" ht="33.75" customHeight="1">
      <c r="A37" s="71" t="s">
        <v>106</v>
      </c>
      <c r="B37" s="47" t="s">
        <v>60</v>
      </c>
      <c r="C37" s="70" t="s">
        <v>76</v>
      </c>
      <c r="D37" s="70" t="s">
        <v>107</v>
      </c>
      <c r="E37" s="48"/>
      <c r="F37" s="49"/>
      <c r="G37" s="49"/>
      <c r="H37" s="49"/>
      <c r="I37" s="49"/>
      <c r="J37" s="49" t="s">
        <v>9</v>
      </c>
      <c r="K37" s="50" t="s">
        <v>9</v>
      </c>
      <c r="L37" s="51">
        <f>IF(COUNT(L38:N40)=0,"",SUM(L38:L40))</f>
        <v>4</v>
      </c>
      <c r="M37" s="51">
        <f>IF(COUNT(L38:N40)=0,"",SUM(M38:M40))</f>
        <v>5</v>
      </c>
      <c r="N37" s="51">
        <f>IF(COUNT(L38:N40)=0,"",SUM(N38:N40))</f>
        <v>6</v>
      </c>
      <c r="O37" s="51">
        <f>IF(COUNT(O38:O40)=0,"",SUM(O38:O40))</f>
        <v>5</v>
      </c>
      <c r="P37" s="52"/>
      <c r="Q37" s="51">
        <f>IF(COUNT(Q38:Q40)=0,"",SUM(Q38:Q40))</f>
        <v>5</v>
      </c>
      <c r="R37" s="53"/>
      <c r="S37" s="53"/>
      <c r="T37" s="54" t="s">
        <v>65</v>
      </c>
      <c r="U37" s="26"/>
      <c r="V37" s="26"/>
      <c r="W37" s="26"/>
      <c r="X37" s="26"/>
      <c r="Y37" s="26"/>
      <c r="Z37" s="26"/>
      <c r="AA37" s="26"/>
      <c r="AB37" s="26"/>
      <c r="AC37" s="26"/>
    </row>
    <row r="38" ht="33.75" customHeight="1">
      <c r="A38" s="72" t="s">
        <v>108</v>
      </c>
      <c r="B38" s="56" t="str">
        <f t="shared" ref="B38:D38" si="52">B37</f>
        <v>Technical Framework</v>
      </c>
      <c r="C38" s="56" t="str">
        <f t="shared" si="52"/>
        <v>Backend</v>
      </c>
      <c r="D38" s="56" t="str">
        <f t="shared" si="52"/>
        <v>AI Orchestration Foundation</v>
      </c>
      <c r="E38" s="57"/>
      <c r="F38" s="58"/>
      <c r="G38" s="58"/>
      <c r="H38" s="58"/>
      <c r="I38" s="58"/>
      <c r="J38" s="58" t="s">
        <v>9</v>
      </c>
      <c r="K38" s="59" t="s">
        <v>9</v>
      </c>
      <c r="L38" s="60">
        <v>0.0</v>
      </c>
      <c r="M38" s="67">
        <f t="shared" ref="M38:M40" si="54">(N38+L38)/2</f>
        <v>0</v>
      </c>
      <c r="N38" s="60">
        <v>0.0</v>
      </c>
      <c r="O38" s="68">
        <f t="shared" ref="O38:O40" si="55">IF(COUNT(L38:N38)=0,"",(L38+4*M38+N38)/6)</f>
        <v>0</v>
      </c>
      <c r="P38" s="62">
        <v>0.0</v>
      </c>
      <c r="Q38" s="63">
        <f t="shared" ref="Q38:Q40" si="56">IF(O38="","",IF(P38="",O38,O38*(1+P38)))</f>
        <v>0</v>
      </c>
      <c r="R38" s="64"/>
      <c r="S38" s="64"/>
      <c r="T38" s="65" t="s">
        <v>31</v>
      </c>
      <c r="U38" s="26"/>
      <c r="V38" s="26"/>
      <c r="W38" s="26"/>
      <c r="X38" s="26"/>
      <c r="Y38" s="26"/>
      <c r="Z38" s="26"/>
      <c r="AA38" s="26"/>
      <c r="AB38" s="26"/>
      <c r="AC38" s="26"/>
    </row>
    <row r="39" ht="33.75" customHeight="1">
      <c r="A39" s="73" t="s">
        <v>109</v>
      </c>
      <c r="B39" s="56" t="str">
        <f t="shared" ref="B39:D39" si="53">B38</f>
        <v>Technical Framework</v>
      </c>
      <c r="C39" s="56" t="str">
        <f t="shared" si="53"/>
        <v>Backend</v>
      </c>
      <c r="D39" s="56" t="str">
        <f t="shared" si="53"/>
        <v>AI Orchestration Foundation</v>
      </c>
      <c r="E39" s="57"/>
      <c r="F39" s="58"/>
      <c r="G39" s="58"/>
      <c r="H39" s="58"/>
      <c r="I39" s="58"/>
      <c r="J39" s="58" t="s">
        <v>9</v>
      </c>
      <c r="K39" s="59" t="s">
        <v>9</v>
      </c>
      <c r="L39" s="60">
        <v>4.0</v>
      </c>
      <c r="M39" s="67">
        <f t="shared" si="54"/>
        <v>5</v>
      </c>
      <c r="N39" s="60">
        <v>6.0</v>
      </c>
      <c r="O39" s="68">
        <f t="shared" si="55"/>
        <v>5</v>
      </c>
      <c r="P39" s="62">
        <v>0.0</v>
      </c>
      <c r="Q39" s="63">
        <f t="shared" si="56"/>
        <v>5</v>
      </c>
      <c r="R39" s="64"/>
      <c r="S39" s="64"/>
      <c r="T39" s="69" t="s">
        <v>68</v>
      </c>
      <c r="U39" s="26"/>
      <c r="V39" s="26"/>
      <c r="W39" s="26"/>
      <c r="X39" s="26"/>
      <c r="Y39" s="26"/>
      <c r="Z39" s="26"/>
      <c r="AA39" s="26"/>
      <c r="AB39" s="26"/>
      <c r="AC39" s="26"/>
    </row>
    <row r="40" ht="33.75" customHeight="1">
      <c r="A40" s="73" t="s">
        <v>110</v>
      </c>
      <c r="B40" s="56" t="str">
        <f t="shared" ref="B40:D40" si="57">B39</f>
        <v>Technical Framework</v>
      </c>
      <c r="C40" s="56" t="str">
        <f t="shared" si="57"/>
        <v>Backend</v>
      </c>
      <c r="D40" s="56" t="str">
        <f t="shared" si="57"/>
        <v>AI Orchestration Foundation</v>
      </c>
      <c r="E40" s="57"/>
      <c r="F40" s="58"/>
      <c r="G40" s="58"/>
      <c r="H40" s="58"/>
      <c r="I40" s="58"/>
      <c r="J40" s="58" t="s">
        <v>9</v>
      </c>
      <c r="K40" s="59" t="s">
        <v>9</v>
      </c>
      <c r="L40" s="60">
        <v>0.0</v>
      </c>
      <c r="M40" s="67">
        <f t="shared" si="54"/>
        <v>0</v>
      </c>
      <c r="N40" s="60">
        <v>0.0</v>
      </c>
      <c r="O40" s="68">
        <f t="shared" si="55"/>
        <v>0</v>
      </c>
      <c r="P40" s="62">
        <v>0.0</v>
      </c>
      <c r="Q40" s="63">
        <f t="shared" si="56"/>
        <v>0</v>
      </c>
      <c r="R40" s="64"/>
      <c r="S40" s="64"/>
      <c r="T40" s="65" t="s">
        <v>70</v>
      </c>
      <c r="U40" s="26"/>
      <c r="V40" s="26"/>
      <c r="W40" s="26"/>
      <c r="X40" s="26"/>
      <c r="Y40" s="26"/>
      <c r="Z40" s="26"/>
      <c r="AA40" s="26"/>
      <c r="AB40" s="26"/>
      <c r="AC40" s="26"/>
    </row>
    <row r="41" ht="33.75" customHeight="1">
      <c r="A41" s="71" t="s">
        <v>111</v>
      </c>
      <c r="B41" s="47" t="s">
        <v>60</v>
      </c>
      <c r="C41" s="70" t="s">
        <v>76</v>
      </c>
      <c r="D41" s="70" t="s">
        <v>112</v>
      </c>
      <c r="E41" s="48"/>
      <c r="F41" s="49"/>
      <c r="G41" s="49"/>
      <c r="H41" s="49"/>
      <c r="I41" s="49"/>
      <c r="J41" s="49" t="s">
        <v>9</v>
      </c>
      <c r="K41" s="50" t="s">
        <v>9</v>
      </c>
      <c r="L41" s="51">
        <f>IF(COUNT(L42:N44)=0,"",SUM(L42:L44))</f>
        <v>2</v>
      </c>
      <c r="M41" s="51">
        <f>IF(COUNT(L42:N44)=0,"",SUM(M42:M44))</f>
        <v>3</v>
      </c>
      <c r="N41" s="51">
        <f>IF(COUNT(L42:N44)=0,"",SUM(N42:N44))</f>
        <v>4</v>
      </c>
      <c r="O41" s="51">
        <f>IF(COUNT(O42:O44)=0,"",SUM(O42:O44))</f>
        <v>3</v>
      </c>
      <c r="P41" s="52"/>
      <c r="Q41" s="51">
        <f>IF(COUNT(Q42:Q44)=0,"",SUM(Q42:Q44))</f>
        <v>3</v>
      </c>
      <c r="R41" s="53"/>
      <c r="S41" s="53"/>
      <c r="T41" s="54" t="s">
        <v>65</v>
      </c>
      <c r="U41" s="26"/>
      <c r="V41" s="26"/>
      <c r="W41" s="26"/>
      <c r="X41" s="26"/>
      <c r="Y41" s="26"/>
      <c r="Z41" s="26"/>
      <c r="AA41" s="26"/>
      <c r="AB41" s="26"/>
      <c r="AC41" s="26"/>
    </row>
    <row r="42" ht="33.75" customHeight="1">
      <c r="A42" s="72" t="s">
        <v>113</v>
      </c>
      <c r="B42" s="56" t="str">
        <f t="shared" ref="B42:D42" si="58">B41</f>
        <v>Technical Framework</v>
      </c>
      <c r="C42" s="56" t="str">
        <f t="shared" si="58"/>
        <v>Backend</v>
      </c>
      <c r="D42" s="56" t="str">
        <f t="shared" si="58"/>
        <v>Privacy, Consent, and Audit Foundation</v>
      </c>
      <c r="E42" s="57"/>
      <c r="F42" s="58"/>
      <c r="G42" s="58"/>
      <c r="H42" s="58"/>
      <c r="I42" s="58"/>
      <c r="J42" s="58" t="s">
        <v>9</v>
      </c>
      <c r="K42" s="59" t="s">
        <v>9</v>
      </c>
      <c r="L42" s="60">
        <v>0.0</v>
      </c>
      <c r="M42" s="67">
        <f t="shared" ref="M42:M44" si="60">(N42+L42)/2</f>
        <v>0</v>
      </c>
      <c r="N42" s="60">
        <v>0.0</v>
      </c>
      <c r="O42" s="68">
        <f t="shared" ref="O42:O44" si="61">IF(COUNT(L42:N42)=0,"",(L42+4*M42+N42)/6)</f>
        <v>0</v>
      </c>
      <c r="P42" s="62">
        <v>0.0</v>
      </c>
      <c r="Q42" s="63">
        <f t="shared" ref="Q42:Q44" si="62">IF(O42="","",IF(P42="",O42,O42*(1+P42)))</f>
        <v>0</v>
      </c>
      <c r="R42" s="64"/>
      <c r="S42" s="64"/>
      <c r="T42" s="65" t="s">
        <v>31</v>
      </c>
      <c r="U42" s="26"/>
      <c r="V42" s="26"/>
      <c r="W42" s="26"/>
      <c r="X42" s="26"/>
      <c r="Y42" s="26"/>
      <c r="Z42" s="26"/>
      <c r="AA42" s="26"/>
      <c r="AB42" s="26"/>
      <c r="AC42" s="26"/>
    </row>
    <row r="43" ht="33.75" customHeight="1">
      <c r="A43" s="73" t="s">
        <v>114</v>
      </c>
      <c r="B43" s="56" t="str">
        <f t="shared" ref="B43:D43" si="59">B42</f>
        <v>Technical Framework</v>
      </c>
      <c r="C43" s="56" t="str">
        <f t="shared" si="59"/>
        <v>Backend</v>
      </c>
      <c r="D43" s="56" t="str">
        <f t="shared" si="59"/>
        <v>Privacy, Consent, and Audit Foundation</v>
      </c>
      <c r="E43" s="57"/>
      <c r="F43" s="58"/>
      <c r="G43" s="58"/>
      <c r="H43" s="58"/>
      <c r="I43" s="58"/>
      <c r="J43" s="58" t="s">
        <v>9</v>
      </c>
      <c r="K43" s="59" t="s">
        <v>9</v>
      </c>
      <c r="L43" s="60">
        <v>2.0</v>
      </c>
      <c r="M43" s="67">
        <f t="shared" si="60"/>
        <v>3</v>
      </c>
      <c r="N43" s="60">
        <v>4.0</v>
      </c>
      <c r="O43" s="68">
        <f t="shared" si="61"/>
        <v>3</v>
      </c>
      <c r="P43" s="62">
        <v>0.0</v>
      </c>
      <c r="Q43" s="63">
        <f t="shared" si="62"/>
        <v>3</v>
      </c>
      <c r="R43" s="64"/>
      <c r="S43" s="64"/>
      <c r="T43" s="69" t="s">
        <v>68</v>
      </c>
      <c r="U43" s="26"/>
      <c r="V43" s="26"/>
      <c r="W43" s="26"/>
      <c r="X43" s="26"/>
      <c r="Y43" s="26"/>
      <c r="Z43" s="26"/>
      <c r="AA43" s="26"/>
      <c r="AB43" s="26"/>
      <c r="AC43" s="26"/>
    </row>
    <row r="44" ht="33.75" customHeight="1">
      <c r="A44" s="73" t="s">
        <v>115</v>
      </c>
      <c r="B44" s="56" t="str">
        <f t="shared" ref="B44:D44" si="63">B43</f>
        <v>Technical Framework</v>
      </c>
      <c r="C44" s="56" t="str">
        <f t="shared" si="63"/>
        <v>Backend</v>
      </c>
      <c r="D44" s="56" t="str">
        <f t="shared" si="63"/>
        <v>Privacy, Consent, and Audit Foundation</v>
      </c>
      <c r="E44" s="57"/>
      <c r="F44" s="58"/>
      <c r="G44" s="58"/>
      <c r="H44" s="58"/>
      <c r="I44" s="58"/>
      <c r="J44" s="58" t="s">
        <v>9</v>
      </c>
      <c r="K44" s="59" t="s">
        <v>9</v>
      </c>
      <c r="L44" s="60">
        <v>0.0</v>
      </c>
      <c r="M44" s="67">
        <f t="shared" si="60"/>
        <v>0</v>
      </c>
      <c r="N44" s="60">
        <v>0.0</v>
      </c>
      <c r="O44" s="68">
        <f t="shared" si="61"/>
        <v>0</v>
      </c>
      <c r="P44" s="62">
        <v>0.0</v>
      </c>
      <c r="Q44" s="63">
        <f t="shared" si="62"/>
        <v>0</v>
      </c>
      <c r="R44" s="64"/>
      <c r="S44" s="64"/>
      <c r="T44" s="65" t="s">
        <v>70</v>
      </c>
      <c r="U44" s="26"/>
      <c r="V44" s="26"/>
      <c r="W44" s="26"/>
      <c r="X44" s="26"/>
      <c r="Y44" s="26"/>
      <c r="Z44" s="26"/>
      <c r="AA44" s="26"/>
      <c r="AB44" s="26"/>
      <c r="AC44" s="26"/>
    </row>
    <row r="45" ht="33.75" customHeight="1">
      <c r="A45" s="71" t="s">
        <v>116</v>
      </c>
      <c r="B45" s="47" t="s">
        <v>60</v>
      </c>
      <c r="C45" s="70" t="s">
        <v>76</v>
      </c>
      <c r="D45" s="70" t="s">
        <v>117</v>
      </c>
      <c r="E45" s="48"/>
      <c r="F45" s="49"/>
      <c r="G45" s="49"/>
      <c r="H45" s="49"/>
      <c r="I45" s="49"/>
      <c r="J45" s="49" t="s">
        <v>9</v>
      </c>
      <c r="K45" s="50" t="s">
        <v>9</v>
      </c>
      <c r="L45" s="51">
        <f>IF(COUNT(L46:N48)=0,"",SUM(L46:L48))</f>
        <v>2</v>
      </c>
      <c r="M45" s="51">
        <f>IF(COUNT(L46:N48)=0,"",SUM(M46:M48))</f>
        <v>2.5</v>
      </c>
      <c r="N45" s="51">
        <f>IF(COUNT(L46:N48)=0,"",SUM(N46:N48))</f>
        <v>3</v>
      </c>
      <c r="O45" s="51">
        <f>IF(COUNT(O46:O48)=0,"",SUM(O46:O48))</f>
        <v>2.5</v>
      </c>
      <c r="P45" s="52"/>
      <c r="Q45" s="51">
        <f>IF(COUNT(Q46:Q48)=0,"",SUM(Q46:Q48))</f>
        <v>2.5</v>
      </c>
      <c r="R45" s="53"/>
      <c r="S45" s="53"/>
      <c r="T45" s="54" t="s">
        <v>65</v>
      </c>
      <c r="U45" s="26"/>
      <c r="V45" s="26"/>
      <c r="W45" s="26"/>
      <c r="X45" s="26"/>
      <c r="Y45" s="26"/>
      <c r="Z45" s="26"/>
      <c r="AA45" s="26"/>
      <c r="AB45" s="26"/>
      <c r="AC45" s="26"/>
    </row>
    <row r="46" ht="33.75" customHeight="1">
      <c r="A46" s="72" t="s">
        <v>118</v>
      </c>
      <c r="B46" s="56" t="str">
        <f t="shared" ref="B46:D46" si="64">B45</f>
        <v>Technical Framework</v>
      </c>
      <c r="C46" s="56" t="str">
        <f t="shared" si="64"/>
        <v>Backend</v>
      </c>
      <c r="D46" s="56" t="str">
        <f t="shared" si="64"/>
        <v>Notifications Foundation</v>
      </c>
      <c r="E46" s="57"/>
      <c r="F46" s="58"/>
      <c r="G46" s="58"/>
      <c r="H46" s="58"/>
      <c r="I46" s="58"/>
      <c r="J46" s="58" t="s">
        <v>9</v>
      </c>
      <c r="K46" s="59" t="s">
        <v>9</v>
      </c>
      <c r="L46" s="60">
        <v>0.0</v>
      </c>
      <c r="M46" s="67">
        <f t="shared" ref="M46:M48" si="66">(N46+L46)/2</f>
        <v>0</v>
      </c>
      <c r="N46" s="60">
        <v>0.0</v>
      </c>
      <c r="O46" s="68">
        <f t="shared" ref="O46:O48" si="67">IF(COUNT(L46:N46)=0,"",(L46+4*M46+N46)/6)</f>
        <v>0</v>
      </c>
      <c r="P46" s="62">
        <v>0.0</v>
      </c>
      <c r="Q46" s="63">
        <f t="shared" ref="Q46:Q48" si="68">IF(O46="","",IF(P46="",O46,O46*(1+P46)))</f>
        <v>0</v>
      </c>
      <c r="R46" s="64"/>
      <c r="S46" s="64"/>
      <c r="T46" s="65" t="s">
        <v>31</v>
      </c>
      <c r="U46" s="26"/>
      <c r="V46" s="26"/>
      <c r="W46" s="26"/>
      <c r="X46" s="26"/>
      <c r="Y46" s="26"/>
      <c r="Z46" s="26"/>
      <c r="AA46" s="26"/>
      <c r="AB46" s="26"/>
      <c r="AC46" s="26"/>
    </row>
    <row r="47" ht="33.75" customHeight="1">
      <c r="A47" s="73" t="s">
        <v>119</v>
      </c>
      <c r="B47" s="56" t="str">
        <f t="shared" ref="B47:D47" si="65">B46</f>
        <v>Technical Framework</v>
      </c>
      <c r="C47" s="56" t="str">
        <f t="shared" si="65"/>
        <v>Backend</v>
      </c>
      <c r="D47" s="56" t="str">
        <f t="shared" si="65"/>
        <v>Notifications Foundation</v>
      </c>
      <c r="E47" s="57"/>
      <c r="F47" s="58"/>
      <c r="G47" s="58"/>
      <c r="H47" s="58"/>
      <c r="I47" s="58"/>
      <c r="J47" s="58" t="s">
        <v>9</v>
      </c>
      <c r="K47" s="59" t="s">
        <v>9</v>
      </c>
      <c r="L47" s="60">
        <v>2.0</v>
      </c>
      <c r="M47" s="67">
        <f t="shared" si="66"/>
        <v>2.5</v>
      </c>
      <c r="N47" s="60">
        <v>3.0</v>
      </c>
      <c r="O47" s="68">
        <f t="shared" si="67"/>
        <v>2.5</v>
      </c>
      <c r="P47" s="62">
        <v>0.0</v>
      </c>
      <c r="Q47" s="63">
        <f t="shared" si="68"/>
        <v>2.5</v>
      </c>
      <c r="R47" s="64"/>
      <c r="S47" s="64"/>
      <c r="T47" s="69" t="s">
        <v>68</v>
      </c>
      <c r="U47" s="26"/>
      <c r="V47" s="26"/>
      <c r="W47" s="26"/>
      <c r="X47" s="26"/>
      <c r="Y47" s="26"/>
      <c r="Z47" s="26"/>
      <c r="AA47" s="26"/>
      <c r="AB47" s="26"/>
      <c r="AC47" s="26"/>
    </row>
    <row r="48" ht="33.75" customHeight="1">
      <c r="A48" s="73" t="s">
        <v>120</v>
      </c>
      <c r="B48" s="56" t="str">
        <f t="shared" ref="B48:D48" si="69">B47</f>
        <v>Technical Framework</v>
      </c>
      <c r="C48" s="56" t="str">
        <f t="shared" si="69"/>
        <v>Backend</v>
      </c>
      <c r="D48" s="56" t="str">
        <f t="shared" si="69"/>
        <v>Notifications Foundation</v>
      </c>
      <c r="E48" s="57"/>
      <c r="F48" s="58"/>
      <c r="G48" s="58"/>
      <c r="H48" s="58"/>
      <c r="I48" s="58"/>
      <c r="J48" s="58" t="s">
        <v>9</v>
      </c>
      <c r="K48" s="59" t="s">
        <v>9</v>
      </c>
      <c r="L48" s="60">
        <v>0.0</v>
      </c>
      <c r="M48" s="67">
        <f t="shared" si="66"/>
        <v>0</v>
      </c>
      <c r="N48" s="60">
        <v>0.0</v>
      </c>
      <c r="O48" s="68">
        <f t="shared" si="67"/>
        <v>0</v>
      </c>
      <c r="P48" s="62">
        <v>0.0</v>
      </c>
      <c r="Q48" s="63">
        <f t="shared" si="68"/>
        <v>0</v>
      </c>
      <c r="R48" s="64"/>
      <c r="S48" s="64"/>
      <c r="T48" s="65" t="s">
        <v>70</v>
      </c>
      <c r="U48" s="26"/>
      <c r="V48" s="26"/>
      <c r="W48" s="26"/>
      <c r="X48" s="26"/>
      <c r="Y48" s="26"/>
      <c r="Z48" s="26"/>
      <c r="AA48" s="26"/>
      <c r="AB48" s="26"/>
      <c r="AC48" s="26"/>
    </row>
    <row r="49" ht="33.75" customHeight="1">
      <c r="A49" s="71" t="s">
        <v>121</v>
      </c>
      <c r="B49" s="47" t="s">
        <v>60</v>
      </c>
      <c r="C49" s="70" t="s">
        <v>76</v>
      </c>
      <c r="D49" s="70" t="s">
        <v>122</v>
      </c>
      <c r="E49" s="48"/>
      <c r="F49" s="49"/>
      <c r="G49" s="49"/>
      <c r="H49" s="49"/>
      <c r="I49" s="49"/>
      <c r="J49" s="49" t="s">
        <v>9</v>
      </c>
      <c r="K49" s="50" t="s">
        <v>9</v>
      </c>
      <c r="L49" s="51">
        <f>IF(COUNT(L50:N52)=0,"",SUM(L50:L52))</f>
        <v>3</v>
      </c>
      <c r="M49" s="51">
        <f>IF(COUNT(L50:N52)=0,"",SUM(M50:M52))</f>
        <v>4</v>
      </c>
      <c r="N49" s="51">
        <f>IF(COUNT(L50:N52)=0,"",SUM(N50:N52))</f>
        <v>5</v>
      </c>
      <c r="O49" s="51">
        <f>IF(COUNT(O50:O52)=0,"",SUM(O50:O52))</f>
        <v>4</v>
      </c>
      <c r="P49" s="52"/>
      <c r="Q49" s="51">
        <f>IF(COUNT(Q50:Q52)=0,"",SUM(Q50:Q52))</f>
        <v>4</v>
      </c>
      <c r="R49" s="53"/>
      <c r="S49" s="53"/>
      <c r="T49" s="54" t="s">
        <v>65</v>
      </c>
      <c r="U49" s="26"/>
      <c r="V49" s="26"/>
      <c r="W49" s="26"/>
      <c r="X49" s="26"/>
      <c r="Y49" s="26"/>
      <c r="Z49" s="26"/>
      <c r="AA49" s="26"/>
      <c r="AB49" s="26"/>
      <c r="AC49" s="26"/>
    </row>
    <row r="50" ht="33.75" customHeight="1">
      <c r="A50" s="72" t="s">
        <v>123</v>
      </c>
      <c r="B50" s="56" t="str">
        <f t="shared" ref="B50:D50" si="70">B49</f>
        <v>Technical Framework</v>
      </c>
      <c r="C50" s="56" t="str">
        <f t="shared" si="70"/>
        <v>Backend</v>
      </c>
      <c r="D50" s="56" t="str">
        <f t="shared" si="70"/>
        <v>Subscription and Entitlement Foundation</v>
      </c>
      <c r="E50" s="57"/>
      <c r="F50" s="58"/>
      <c r="G50" s="58"/>
      <c r="H50" s="58"/>
      <c r="I50" s="58"/>
      <c r="J50" s="58" t="s">
        <v>9</v>
      </c>
      <c r="K50" s="59" t="s">
        <v>9</v>
      </c>
      <c r="L50" s="60">
        <v>0.0</v>
      </c>
      <c r="M50" s="67">
        <f t="shared" ref="M50:M52" si="72">(N50+L50)/2</f>
        <v>0</v>
      </c>
      <c r="N50" s="60">
        <v>0.0</v>
      </c>
      <c r="O50" s="68">
        <f t="shared" ref="O50:O52" si="73">IF(COUNT(L50:N50)=0,"",(L50+4*M50+N50)/6)</f>
        <v>0</v>
      </c>
      <c r="P50" s="62">
        <v>0.0</v>
      </c>
      <c r="Q50" s="63">
        <f t="shared" ref="Q50:Q52" si="74">IF(O50="","",IF(P50="",O50,O50*(1+P50)))</f>
        <v>0</v>
      </c>
      <c r="R50" s="64"/>
      <c r="S50" s="64"/>
      <c r="T50" s="65" t="s">
        <v>31</v>
      </c>
      <c r="U50" s="26"/>
      <c r="V50" s="26"/>
      <c r="W50" s="26"/>
      <c r="X50" s="26"/>
      <c r="Y50" s="26"/>
      <c r="Z50" s="26"/>
      <c r="AA50" s="26"/>
      <c r="AB50" s="26"/>
      <c r="AC50" s="26"/>
    </row>
    <row r="51" ht="33.75" customHeight="1">
      <c r="A51" s="73" t="s">
        <v>124</v>
      </c>
      <c r="B51" s="56" t="str">
        <f t="shared" ref="B51:D51" si="71">B50</f>
        <v>Technical Framework</v>
      </c>
      <c r="C51" s="56" t="str">
        <f t="shared" si="71"/>
        <v>Backend</v>
      </c>
      <c r="D51" s="56" t="str">
        <f t="shared" si="71"/>
        <v>Subscription and Entitlement Foundation</v>
      </c>
      <c r="E51" s="57"/>
      <c r="F51" s="58"/>
      <c r="G51" s="58"/>
      <c r="H51" s="58"/>
      <c r="I51" s="58"/>
      <c r="J51" s="58" t="s">
        <v>9</v>
      </c>
      <c r="K51" s="59" t="s">
        <v>9</v>
      </c>
      <c r="L51" s="60">
        <v>3.0</v>
      </c>
      <c r="M51" s="67">
        <f t="shared" si="72"/>
        <v>4</v>
      </c>
      <c r="N51" s="60">
        <v>5.0</v>
      </c>
      <c r="O51" s="68">
        <f t="shared" si="73"/>
        <v>4</v>
      </c>
      <c r="P51" s="62">
        <v>0.0</v>
      </c>
      <c r="Q51" s="63">
        <f t="shared" si="74"/>
        <v>4</v>
      </c>
      <c r="R51" s="64"/>
      <c r="S51" s="64"/>
      <c r="T51" s="69" t="s">
        <v>68</v>
      </c>
      <c r="U51" s="26"/>
      <c r="V51" s="26"/>
      <c r="W51" s="26"/>
      <c r="X51" s="26"/>
      <c r="Y51" s="26"/>
      <c r="Z51" s="26"/>
      <c r="AA51" s="26"/>
      <c r="AB51" s="26"/>
      <c r="AC51" s="26"/>
    </row>
    <row r="52" ht="33.75" customHeight="1">
      <c r="A52" s="73" t="s">
        <v>125</v>
      </c>
      <c r="B52" s="56" t="str">
        <f t="shared" ref="B52:D52" si="75">B51</f>
        <v>Technical Framework</v>
      </c>
      <c r="C52" s="56" t="str">
        <f t="shared" si="75"/>
        <v>Backend</v>
      </c>
      <c r="D52" s="56" t="str">
        <f t="shared" si="75"/>
        <v>Subscription and Entitlement Foundation</v>
      </c>
      <c r="E52" s="57"/>
      <c r="F52" s="58"/>
      <c r="G52" s="58"/>
      <c r="H52" s="58"/>
      <c r="I52" s="58"/>
      <c r="J52" s="58" t="s">
        <v>9</v>
      </c>
      <c r="K52" s="59" t="s">
        <v>9</v>
      </c>
      <c r="L52" s="60">
        <v>0.0</v>
      </c>
      <c r="M52" s="67">
        <f t="shared" si="72"/>
        <v>0</v>
      </c>
      <c r="N52" s="60">
        <v>0.0</v>
      </c>
      <c r="O52" s="68">
        <f t="shared" si="73"/>
        <v>0</v>
      </c>
      <c r="P52" s="62">
        <v>0.0</v>
      </c>
      <c r="Q52" s="63">
        <f t="shared" si="74"/>
        <v>0</v>
      </c>
      <c r="R52" s="64"/>
      <c r="S52" s="64"/>
      <c r="T52" s="65" t="s">
        <v>70</v>
      </c>
      <c r="U52" s="26"/>
      <c r="V52" s="26"/>
      <c r="W52" s="26"/>
      <c r="X52" s="26"/>
      <c r="Y52" s="26"/>
      <c r="Z52" s="26"/>
      <c r="AA52" s="26"/>
      <c r="AB52" s="26"/>
      <c r="AC52" s="26"/>
    </row>
    <row r="53" ht="33.75" customHeight="1">
      <c r="A53" s="71" t="s">
        <v>126</v>
      </c>
      <c r="B53" s="47" t="s">
        <v>60</v>
      </c>
      <c r="C53" s="70" t="s">
        <v>76</v>
      </c>
      <c r="D53" s="70" t="s">
        <v>127</v>
      </c>
      <c r="E53" s="48"/>
      <c r="F53" s="49"/>
      <c r="G53" s="49"/>
      <c r="H53" s="49"/>
      <c r="I53" s="49"/>
      <c r="J53" s="49" t="s">
        <v>9</v>
      </c>
      <c r="K53" s="50" t="s">
        <v>9</v>
      </c>
      <c r="L53" s="51">
        <f>IF(COUNT(L54:N56)=0,"",SUM(L54:L56))</f>
        <v>2</v>
      </c>
      <c r="M53" s="51">
        <f>IF(COUNT(L54:N56)=0,"",SUM(M54:M56))</f>
        <v>3.5</v>
      </c>
      <c r="N53" s="51">
        <f>IF(COUNT(L54:N56)=0,"",SUM(N54:N56))</f>
        <v>5</v>
      </c>
      <c r="O53" s="51">
        <f>IF(COUNT(O54:O56)=0,"",SUM(O54:O56))</f>
        <v>3.5</v>
      </c>
      <c r="P53" s="52"/>
      <c r="Q53" s="51">
        <f>IF(COUNT(Q54:Q56)=0,"",SUM(Q54:Q56))</f>
        <v>3.5</v>
      </c>
      <c r="R53" s="53"/>
      <c r="S53" s="53"/>
      <c r="T53" s="54" t="s">
        <v>65</v>
      </c>
      <c r="U53" s="26"/>
      <c r="V53" s="26"/>
      <c r="W53" s="26"/>
      <c r="X53" s="26"/>
      <c r="Y53" s="26"/>
      <c r="Z53" s="26"/>
      <c r="AA53" s="26"/>
      <c r="AB53" s="26"/>
      <c r="AC53" s="26"/>
    </row>
    <row r="54" ht="33.75" customHeight="1">
      <c r="A54" s="72" t="s">
        <v>128</v>
      </c>
      <c r="B54" s="56" t="str">
        <f t="shared" ref="B54:D54" si="76">B53</f>
        <v>Technical Framework</v>
      </c>
      <c r="C54" s="56" t="str">
        <f t="shared" si="76"/>
        <v>Backend</v>
      </c>
      <c r="D54" s="56" t="str">
        <f t="shared" si="76"/>
        <v>Analytics and Observability Foundation</v>
      </c>
      <c r="E54" s="57"/>
      <c r="F54" s="58"/>
      <c r="G54" s="58"/>
      <c r="H54" s="58"/>
      <c r="I54" s="58"/>
      <c r="J54" s="58" t="s">
        <v>9</v>
      </c>
      <c r="K54" s="59" t="s">
        <v>9</v>
      </c>
      <c r="L54" s="60">
        <v>0.0</v>
      </c>
      <c r="M54" s="67">
        <f t="shared" ref="M54:M56" si="78">(N54+L54)/2</f>
        <v>0</v>
      </c>
      <c r="N54" s="60">
        <v>0.0</v>
      </c>
      <c r="O54" s="68">
        <f t="shared" ref="O54:O56" si="79">IF(COUNT(L54:N54)=0,"",(L54+4*M54+N54)/6)</f>
        <v>0</v>
      </c>
      <c r="P54" s="62">
        <v>0.0</v>
      </c>
      <c r="Q54" s="63">
        <f t="shared" ref="Q54:Q56" si="80">IF(O54="","",IF(P54="",O54,O54*(1+P54)))</f>
        <v>0</v>
      </c>
      <c r="R54" s="64"/>
      <c r="S54" s="64"/>
      <c r="T54" s="65" t="s">
        <v>31</v>
      </c>
      <c r="U54" s="26"/>
      <c r="V54" s="26"/>
      <c r="W54" s="26"/>
      <c r="X54" s="26"/>
      <c r="Y54" s="26"/>
      <c r="Z54" s="26"/>
      <c r="AA54" s="26"/>
      <c r="AB54" s="26"/>
      <c r="AC54" s="26"/>
    </row>
    <row r="55" ht="33.75" customHeight="1">
      <c r="A55" s="73" t="s">
        <v>129</v>
      </c>
      <c r="B55" s="56" t="str">
        <f t="shared" ref="B55:D55" si="77">B54</f>
        <v>Technical Framework</v>
      </c>
      <c r="C55" s="56" t="str">
        <f t="shared" si="77"/>
        <v>Backend</v>
      </c>
      <c r="D55" s="56" t="str">
        <f t="shared" si="77"/>
        <v>Analytics and Observability Foundation</v>
      </c>
      <c r="E55" s="57"/>
      <c r="F55" s="58"/>
      <c r="G55" s="58"/>
      <c r="H55" s="58"/>
      <c r="I55" s="58"/>
      <c r="J55" s="58" t="s">
        <v>9</v>
      </c>
      <c r="K55" s="59" t="s">
        <v>9</v>
      </c>
      <c r="L55" s="60">
        <v>2.0</v>
      </c>
      <c r="M55" s="67">
        <f t="shared" si="78"/>
        <v>3.5</v>
      </c>
      <c r="N55" s="60">
        <v>5.0</v>
      </c>
      <c r="O55" s="68">
        <f t="shared" si="79"/>
        <v>3.5</v>
      </c>
      <c r="P55" s="62">
        <v>0.0</v>
      </c>
      <c r="Q55" s="63">
        <f t="shared" si="80"/>
        <v>3.5</v>
      </c>
      <c r="R55" s="64"/>
      <c r="S55" s="64"/>
      <c r="T55" s="69" t="s">
        <v>68</v>
      </c>
      <c r="U55" s="26"/>
      <c r="V55" s="26"/>
      <c r="W55" s="26"/>
      <c r="X55" s="26"/>
      <c r="Y55" s="26"/>
      <c r="Z55" s="26"/>
      <c r="AA55" s="26"/>
      <c r="AB55" s="26"/>
      <c r="AC55" s="26"/>
    </row>
    <row r="56" ht="33.75" customHeight="1">
      <c r="A56" s="73" t="s">
        <v>130</v>
      </c>
      <c r="B56" s="56" t="str">
        <f t="shared" ref="B56:D56" si="81">B55</f>
        <v>Technical Framework</v>
      </c>
      <c r="C56" s="56" t="str">
        <f t="shared" si="81"/>
        <v>Backend</v>
      </c>
      <c r="D56" s="56" t="str">
        <f t="shared" si="81"/>
        <v>Analytics and Observability Foundation</v>
      </c>
      <c r="E56" s="57"/>
      <c r="F56" s="58"/>
      <c r="G56" s="58"/>
      <c r="H56" s="58"/>
      <c r="I56" s="58"/>
      <c r="J56" s="58" t="s">
        <v>9</v>
      </c>
      <c r="K56" s="59" t="s">
        <v>9</v>
      </c>
      <c r="L56" s="60">
        <v>0.0</v>
      </c>
      <c r="M56" s="67">
        <f t="shared" si="78"/>
        <v>0</v>
      </c>
      <c r="N56" s="60">
        <v>0.0</v>
      </c>
      <c r="O56" s="68">
        <f t="shared" si="79"/>
        <v>0</v>
      </c>
      <c r="P56" s="62">
        <v>0.0</v>
      </c>
      <c r="Q56" s="63">
        <f t="shared" si="80"/>
        <v>0</v>
      </c>
      <c r="R56" s="64"/>
      <c r="S56" s="64"/>
      <c r="T56" s="65" t="s">
        <v>70</v>
      </c>
      <c r="U56" s="26"/>
      <c r="V56" s="26"/>
      <c r="W56" s="26"/>
      <c r="X56" s="26"/>
      <c r="Y56" s="26"/>
      <c r="Z56" s="26"/>
      <c r="AA56" s="26"/>
      <c r="AB56" s="26"/>
      <c r="AC56" s="26"/>
    </row>
    <row r="57" ht="33.75" customHeight="1">
      <c r="A57" s="71" t="s">
        <v>131</v>
      </c>
      <c r="B57" s="47" t="s">
        <v>60</v>
      </c>
      <c r="C57" s="70" t="s">
        <v>76</v>
      </c>
      <c r="D57" s="70" t="s">
        <v>132</v>
      </c>
      <c r="E57" s="48"/>
      <c r="F57" s="49"/>
      <c r="G57" s="49"/>
      <c r="H57" s="49"/>
      <c r="I57" s="49"/>
      <c r="J57" s="49" t="s">
        <v>9</v>
      </c>
      <c r="K57" s="50" t="s">
        <v>9</v>
      </c>
      <c r="L57" s="51">
        <f>IF(COUNT(L58:N60)=0,"",SUM(L58:L60))</f>
        <v>1</v>
      </c>
      <c r="M57" s="51">
        <f>IF(COUNT(L58:N60)=0,"",SUM(M58:M60))</f>
        <v>2</v>
      </c>
      <c r="N57" s="51">
        <f>IF(COUNT(L58:N60)=0,"",SUM(N58:N60))</f>
        <v>3</v>
      </c>
      <c r="O57" s="51">
        <f>IF(COUNT(O58:O60)=0,"",SUM(O58:O60))</f>
        <v>2</v>
      </c>
      <c r="P57" s="52"/>
      <c r="Q57" s="51">
        <f>IF(COUNT(Q58:Q60)=0,"",SUM(Q58:Q60))</f>
        <v>2</v>
      </c>
      <c r="R57" s="53"/>
      <c r="S57" s="53"/>
      <c r="T57" s="54" t="s">
        <v>65</v>
      </c>
      <c r="U57" s="26"/>
      <c r="V57" s="26"/>
      <c r="W57" s="26"/>
      <c r="X57" s="26"/>
      <c r="Y57" s="26"/>
      <c r="Z57" s="26"/>
      <c r="AA57" s="26"/>
      <c r="AB57" s="26"/>
      <c r="AC57" s="26"/>
    </row>
    <row r="58" ht="33.75" customHeight="1">
      <c r="A58" s="72" t="s">
        <v>133</v>
      </c>
      <c r="B58" s="56" t="str">
        <f t="shared" ref="B58:D58" si="82">B57</f>
        <v>Technical Framework</v>
      </c>
      <c r="C58" s="56" t="str">
        <f t="shared" si="82"/>
        <v>Backend</v>
      </c>
      <c r="D58" s="56" t="str">
        <f t="shared" si="82"/>
        <v>Admin / Back Office Foundation</v>
      </c>
      <c r="E58" s="57"/>
      <c r="F58" s="58"/>
      <c r="G58" s="58"/>
      <c r="H58" s="58"/>
      <c r="I58" s="58"/>
      <c r="J58" s="58" t="s">
        <v>9</v>
      </c>
      <c r="K58" s="59" t="s">
        <v>9</v>
      </c>
      <c r="L58" s="60">
        <v>0.0</v>
      </c>
      <c r="M58" s="67">
        <f t="shared" ref="M58:M60" si="84">(N58+L58)/2</f>
        <v>0</v>
      </c>
      <c r="N58" s="60">
        <v>0.0</v>
      </c>
      <c r="O58" s="68">
        <f t="shared" ref="O58:O60" si="85">IF(COUNT(L58:N58)=0,"",(L58+4*M58+N58)/6)</f>
        <v>0</v>
      </c>
      <c r="P58" s="62">
        <v>0.0</v>
      </c>
      <c r="Q58" s="63">
        <f t="shared" ref="Q58:Q60" si="86">IF(O58="","",IF(P58="",O58,O58*(1+P58)))</f>
        <v>0</v>
      </c>
      <c r="R58" s="64"/>
      <c r="S58" s="64"/>
      <c r="T58" s="65" t="s">
        <v>31</v>
      </c>
      <c r="U58" s="26"/>
      <c r="V58" s="26"/>
      <c r="W58" s="26"/>
      <c r="X58" s="26"/>
      <c r="Y58" s="26"/>
      <c r="Z58" s="26"/>
      <c r="AA58" s="26"/>
      <c r="AB58" s="26"/>
      <c r="AC58" s="26"/>
    </row>
    <row r="59" ht="33.75" customHeight="1">
      <c r="A59" s="73" t="s">
        <v>134</v>
      </c>
      <c r="B59" s="56" t="str">
        <f t="shared" ref="B59:D59" si="83">B58</f>
        <v>Technical Framework</v>
      </c>
      <c r="C59" s="56" t="str">
        <f t="shared" si="83"/>
        <v>Backend</v>
      </c>
      <c r="D59" s="56" t="str">
        <f t="shared" si="83"/>
        <v>Admin / Back Office Foundation</v>
      </c>
      <c r="E59" s="57"/>
      <c r="F59" s="58"/>
      <c r="G59" s="58"/>
      <c r="H59" s="58"/>
      <c r="I59" s="58"/>
      <c r="J59" s="58" t="s">
        <v>9</v>
      </c>
      <c r="K59" s="59" t="s">
        <v>9</v>
      </c>
      <c r="L59" s="60">
        <v>1.0</v>
      </c>
      <c r="M59" s="67">
        <f t="shared" si="84"/>
        <v>2</v>
      </c>
      <c r="N59" s="60">
        <v>3.0</v>
      </c>
      <c r="O59" s="68">
        <f t="shared" si="85"/>
        <v>2</v>
      </c>
      <c r="P59" s="62">
        <v>0.0</v>
      </c>
      <c r="Q59" s="63">
        <f t="shared" si="86"/>
        <v>2</v>
      </c>
      <c r="R59" s="64"/>
      <c r="S59" s="64"/>
      <c r="T59" s="69" t="s">
        <v>68</v>
      </c>
      <c r="U59" s="26"/>
      <c r="V59" s="26"/>
      <c r="W59" s="26"/>
      <c r="X59" s="26"/>
      <c r="Y59" s="26"/>
      <c r="Z59" s="26"/>
      <c r="AA59" s="26"/>
      <c r="AB59" s="26"/>
      <c r="AC59" s="26"/>
    </row>
    <row r="60" ht="33.75" customHeight="1">
      <c r="A60" s="73" t="s">
        <v>135</v>
      </c>
      <c r="B60" s="56" t="str">
        <f t="shared" ref="B60:D60" si="87">B59</f>
        <v>Technical Framework</v>
      </c>
      <c r="C60" s="56" t="str">
        <f t="shared" si="87"/>
        <v>Backend</v>
      </c>
      <c r="D60" s="56" t="str">
        <f t="shared" si="87"/>
        <v>Admin / Back Office Foundation</v>
      </c>
      <c r="E60" s="57"/>
      <c r="F60" s="58"/>
      <c r="G60" s="58"/>
      <c r="H60" s="58"/>
      <c r="I60" s="58"/>
      <c r="J60" s="58" t="s">
        <v>9</v>
      </c>
      <c r="K60" s="59" t="s">
        <v>9</v>
      </c>
      <c r="L60" s="60">
        <v>0.0</v>
      </c>
      <c r="M60" s="67">
        <f t="shared" si="84"/>
        <v>0</v>
      </c>
      <c r="N60" s="60">
        <v>0.0</v>
      </c>
      <c r="O60" s="68">
        <f t="shared" si="85"/>
        <v>0</v>
      </c>
      <c r="P60" s="62">
        <v>0.0</v>
      </c>
      <c r="Q60" s="63">
        <f t="shared" si="86"/>
        <v>0</v>
      </c>
      <c r="R60" s="64"/>
      <c r="S60" s="64"/>
      <c r="T60" s="65" t="s">
        <v>70</v>
      </c>
      <c r="U60" s="26"/>
      <c r="V60" s="26"/>
      <c r="W60" s="26"/>
      <c r="X60" s="26"/>
      <c r="Y60" s="26"/>
      <c r="Z60" s="26"/>
      <c r="AA60" s="26"/>
      <c r="AB60" s="26"/>
      <c r="AC60" s="26"/>
    </row>
    <row r="61" ht="33.75" customHeight="1">
      <c r="A61" s="71" t="s">
        <v>136</v>
      </c>
      <c r="B61" s="47" t="s">
        <v>60</v>
      </c>
      <c r="C61" s="70" t="s">
        <v>76</v>
      </c>
      <c r="D61" s="70" t="s">
        <v>137</v>
      </c>
      <c r="E61" s="48"/>
      <c r="F61" s="49"/>
      <c r="G61" s="49"/>
      <c r="H61" s="49"/>
      <c r="I61" s="49"/>
      <c r="J61" s="49" t="s">
        <v>9</v>
      </c>
      <c r="K61" s="50" t="s">
        <v>9</v>
      </c>
      <c r="L61" s="51">
        <f>IF(COUNT(L62:N64)=0,"",SUM(L62:L64))</f>
        <v>3</v>
      </c>
      <c r="M61" s="51">
        <f>IF(COUNT(L62:N64)=0,"",SUM(M62:M64))</f>
        <v>4</v>
      </c>
      <c r="N61" s="51">
        <f>IF(COUNT(L62:N64)=0,"",SUM(N62:N64))</f>
        <v>5</v>
      </c>
      <c r="O61" s="51">
        <f>IF(COUNT(O62:O64)=0,"",SUM(O62:O64))</f>
        <v>4</v>
      </c>
      <c r="P61" s="52"/>
      <c r="Q61" s="51">
        <f>IF(COUNT(Q62:Q64)=0,"",SUM(Q62:Q64))</f>
        <v>4</v>
      </c>
      <c r="R61" s="53"/>
      <c r="S61" s="53"/>
      <c r="T61" s="54" t="s">
        <v>65</v>
      </c>
      <c r="U61" s="26"/>
      <c r="V61" s="26"/>
      <c r="W61" s="26"/>
      <c r="X61" s="26"/>
      <c r="Y61" s="26"/>
      <c r="Z61" s="26"/>
      <c r="AA61" s="26"/>
      <c r="AB61" s="26"/>
      <c r="AC61" s="26"/>
    </row>
    <row r="62" ht="33.75" customHeight="1">
      <c r="A62" s="72" t="s">
        <v>138</v>
      </c>
      <c r="B62" s="56" t="str">
        <f t="shared" ref="B62:D62" si="88">B61</f>
        <v>Technical Framework</v>
      </c>
      <c r="C62" s="56" t="str">
        <f t="shared" si="88"/>
        <v>Backend</v>
      </c>
      <c r="D62" s="56" t="str">
        <f t="shared" si="88"/>
        <v>Localization / Jurisdiction Foundation</v>
      </c>
      <c r="E62" s="57"/>
      <c r="F62" s="58"/>
      <c r="G62" s="58"/>
      <c r="H62" s="58"/>
      <c r="I62" s="58"/>
      <c r="J62" s="58" t="s">
        <v>9</v>
      </c>
      <c r="K62" s="59" t="s">
        <v>9</v>
      </c>
      <c r="L62" s="60">
        <v>0.0</v>
      </c>
      <c r="M62" s="67">
        <f t="shared" ref="M62:M64" si="90">(N62+L62)/2</f>
        <v>0</v>
      </c>
      <c r="N62" s="60">
        <v>0.0</v>
      </c>
      <c r="O62" s="68">
        <f t="shared" ref="O62:O64" si="91">IF(COUNT(L62:N62)=0,"",(L62+4*M62+N62)/6)</f>
        <v>0</v>
      </c>
      <c r="P62" s="62">
        <v>0.0</v>
      </c>
      <c r="Q62" s="63">
        <f t="shared" ref="Q62:Q64" si="92">IF(O62="","",IF(P62="",O62,O62*(1+P62)))</f>
        <v>0</v>
      </c>
      <c r="R62" s="64"/>
      <c r="S62" s="64"/>
      <c r="T62" s="65" t="s">
        <v>31</v>
      </c>
      <c r="U62" s="26"/>
      <c r="V62" s="26"/>
      <c r="W62" s="26"/>
      <c r="X62" s="26"/>
      <c r="Y62" s="26"/>
      <c r="Z62" s="26"/>
      <c r="AA62" s="26"/>
      <c r="AB62" s="26"/>
      <c r="AC62" s="26"/>
    </row>
    <row r="63" ht="33.75" customHeight="1">
      <c r="A63" s="73" t="s">
        <v>139</v>
      </c>
      <c r="B63" s="56" t="str">
        <f t="shared" ref="B63:D63" si="89">B62</f>
        <v>Technical Framework</v>
      </c>
      <c r="C63" s="56" t="str">
        <f t="shared" si="89"/>
        <v>Backend</v>
      </c>
      <c r="D63" s="56" t="str">
        <f t="shared" si="89"/>
        <v>Localization / Jurisdiction Foundation</v>
      </c>
      <c r="E63" s="57"/>
      <c r="F63" s="58"/>
      <c r="G63" s="58"/>
      <c r="H63" s="58"/>
      <c r="I63" s="58"/>
      <c r="J63" s="58" t="s">
        <v>9</v>
      </c>
      <c r="K63" s="59" t="s">
        <v>9</v>
      </c>
      <c r="L63" s="60">
        <v>3.0</v>
      </c>
      <c r="M63" s="67">
        <f t="shared" si="90"/>
        <v>4</v>
      </c>
      <c r="N63" s="60">
        <v>5.0</v>
      </c>
      <c r="O63" s="68">
        <f t="shared" si="91"/>
        <v>4</v>
      </c>
      <c r="P63" s="62">
        <v>0.0</v>
      </c>
      <c r="Q63" s="63">
        <f t="shared" si="92"/>
        <v>4</v>
      </c>
      <c r="R63" s="64"/>
      <c r="S63" s="64"/>
      <c r="T63" s="69" t="s">
        <v>68</v>
      </c>
      <c r="U63" s="26"/>
      <c r="V63" s="26"/>
      <c r="W63" s="26"/>
      <c r="X63" s="26"/>
      <c r="Y63" s="26"/>
      <c r="Z63" s="26"/>
      <c r="AA63" s="26"/>
      <c r="AB63" s="26"/>
      <c r="AC63" s="26"/>
    </row>
    <row r="64" ht="33.75" customHeight="1">
      <c r="A64" s="66" t="s">
        <v>140</v>
      </c>
      <c r="B64" s="56" t="str">
        <f t="shared" ref="B64:D64" si="93">B63</f>
        <v>Technical Framework</v>
      </c>
      <c r="C64" s="56" t="str">
        <f t="shared" si="93"/>
        <v>Backend</v>
      </c>
      <c r="D64" s="56" t="str">
        <f t="shared" si="93"/>
        <v>Localization / Jurisdiction Foundation</v>
      </c>
      <c r="E64" s="57"/>
      <c r="F64" s="58"/>
      <c r="G64" s="58"/>
      <c r="H64" s="58"/>
      <c r="I64" s="58"/>
      <c r="J64" s="58" t="s">
        <v>9</v>
      </c>
      <c r="K64" s="59" t="s">
        <v>9</v>
      </c>
      <c r="L64" s="60">
        <v>0.0</v>
      </c>
      <c r="M64" s="67">
        <f t="shared" si="90"/>
        <v>0</v>
      </c>
      <c r="N64" s="60">
        <v>0.0</v>
      </c>
      <c r="O64" s="68">
        <f t="shared" si="91"/>
        <v>0</v>
      </c>
      <c r="P64" s="62">
        <v>0.0</v>
      </c>
      <c r="Q64" s="63">
        <f t="shared" si="92"/>
        <v>0</v>
      </c>
      <c r="R64" s="64"/>
      <c r="S64" s="64"/>
      <c r="T64" s="65" t="s">
        <v>70</v>
      </c>
      <c r="U64" s="26"/>
      <c r="V64" s="26"/>
      <c r="W64" s="26"/>
      <c r="X64" s="26"/>
      <c r="Y64" s="26"/>
      <c r="Z64" s="26"/>
      <c r="AA64" s="26"/>
      <c r="AB64" s="26"/>
      <c r="AC64" s="26"/>
    </row>
    <row r="65" ht="33.75" customHeight="1">
      <c r="A65" s="36">
        <v>0.2</v>
      </c>
      <c r="B65" s="37" t="s">
        <v>60</v>
      </c>
      <c r="C65" s="37" t="s">
        <v>141</v>
      </c>
      <c r="D65" s="37"/>
      <c r="E65" s="39"/>
      <c r="F65" s="40"/>
      <c r="G65" s="40"/>
      <c r="H65" s="40"/>
      <c r="I65" s="40"/>
      <c r="J65" s="40"/>
      <c r="K65" s="41"/>
      <c r="L65" s="42">
        <f t="shared" ref="L65:O65" si="94">IF(COUNT(L66,L70,L74,L78)=0,"",SUM(L66,L70,L74,L78))</f>
        <v>33</v>
      </c>
      <c r="M65" s="42">
        <f t="shared" si="94"/>
        <v>49.75</v>
      </c>
      <c r="N65" s="42">
        <f t="shared" si="94"/>
        <v>66.5</v>
      </c>
      <c r="O65" s="42">
        <f t="shared" si="94"/>
        <v>36.625</v>
      </c>
      <c r="P65" s="43"/>
      <c r="Q65" s="42">
        <f>IF(COUNT(Q66,Q70,Q74,Q78)=0,"",SUM(Q66,Q70,Q74,Q78))</f>
        <v>37.88125</v>
      </c>
      <c r="R65" s="44"/>
      <c r="S65" s="44"/>
      <c r="T65" s="45" t="s">
        <v>62</v>
      </c>
      <c r="U65" s="26"/>
      <c r="V65" s="26"/>
      <c r="W65" s="26"/>
      <c r="X65" s="46">
        <f t="shared" ref="X65:AA65" si="95">L65</f>
        <v>33</v>
      </c>
      <c r="Y65" s="46">
        <f t="shared" si="95"/>
        <v>49.75</v>
      </c>
      <c r="Z65" s="46">
        <f t="shared" si="95"/>
        <v>66.5</v>
      </c>
      <c r="AA65" s="46">
        <f t="shared" si="95"/>
        <v>36.625</v>
      </c>
      <c r="AB65" s="26"/>
      <c r="AC65" s="46">
        <f>Q65</f>
        <v>37.88125</v>
      </c>
    </row>
    <row r="66" ht="33.75" customHeight="1">
      <c r="A66" s="36" t="s">
        <v>142</v>
      </c>
      <c r="B66" s="47" t="s">
        <v>60</v>
      </c>
      <c r="C66" s="70" t="s">
        <v>141</v>
      </c>
      <c r="D66" s="70" t="s">
        <v>143</v>
      </c>
      <c r="E66" s="48"/>
      <c r="F66" s="49"/>
      <c r="G66" s="49"/>
      <c r="H66" s="49"/>
      <c r="I66" s="49"/>
      <c r="J66" s="49" t="s">
        <v>9</v>
      </c>
      <c r="K66" s="50" t="s">
        <v>9</v>
      </c>
      <c r="L66" s="51">
        <f>IF(COUNT(L67:N69)=0,"",SUM(L67:L69))</f>
        <v>5</v>
      </c>
      <c r="M66" s="51">
        <f>IF(COUNT(L67:N69)=0,"",SUM(M67:M69))</f>
        <v>7.5</v>
      </c>
      <c r="N66" s="51">
        <f>IF(COUNT(L67:N69)=0,"",SUM(N67:N69))</f>
        <v>10</v>
      </c>
      <c r="O66" s="51">
        <f>IF(COUNT(O67:O69)=0,"",SUM(O67:O69))</f>
        <v>7.5</v>
      </c>
      <c r="P66" s="52"/>
      <c r="Q66" s="51">
        <f>IF(COUNT(Q67:Q69)=0,"",SUM(Q67:Q69))</f>
        <v>7.5</v>
      </c>
      <c r="R66" s="53"/>
      <c r="S66" s="53"/>
      <c r="T66" s="54" t="s">
        <v>65</v>
      </c>
      <c r="U66" s="26"/>
      <c r="V66" s="26"/>
      <c r="W66" s="26"/>
      <c r="X66" s="26"/>
      <c r="Y66" s="26"/>
      <c r="Z66" s="26"/>
      <c r="AA66" s="26"/>
      <c r="AB66" s="26"/>
      <c r="AC66" s="26"/>
    </row>
    <row r="67" ht="33.75" customHeight="1">
      <c r="A67" s="72" t="s">
        <v>144</v>
      </c>
      <c r="B67" s="56" t="str">
        <f t="shared" ref="B67:D67" si="96">B66</f>
        <v>Technical Framework</v>
      </c>
      <c r="C67" s="56" t="str">
        <f t="shared" si="96"/>
        <v>System/DevOps</v>
      </c>
      <c r="D67" s="56" t="str">
        <f t="shared" si="96"/>
        <v>DevOps / Environment / Release Foundation</v>
      </c>
      <c r="E67" s="57"/>
      <c r="F67" s="58"/>
      <c r="G67" s="58"/>
      <c r="H67" s="58"/>
      <c r="I67" s="58"/>
      <c r="J67" s="58" t="s">
        <v>9</v>
      </c>
      <c r="K67" s="59" t="s">
        <v>9</v>
      </c>
      <c r="L67" s="60">
        <v>0.0</v>
      </c>
      <c r="M67" s="67">
        <f t="shared" ref="M67:M69" si="98">(N67+L67)/2</f>
        <v>0</v>
      </c>
      <c r="N67" s="60">
        <v>0.0</v>
      </c>
      <c r="O67" s="68">
        <f t="shared" ref="O67:O69" si="99">IF(COUNT(L67:N67)=0,"",(L67+4*M67+N67)/6)</f>
        <v>0</v>
      </c>
      <c r="P67" s="62">
        <v>0.0</v>
      </c>
      <c r="Q67" s="63">
        <f t="shared" ref="Q67:Q69" si="100">IF(O67="","",IF(P67="",O67,O67*(1+P67)))</f>
        <v>0</v>
      </c>
      <c r="R67" s="64"/>
      <c r="S67" s="64"/>
      <c r="T67" s="65" t="s">
        <v>31</v>
      </c>
      <c r="U67" s="26"/>
      <c r="V67" s="26"/>
      <c r="W67" s="26"/>
      <c r="X67" s="26"/>
      <c r="Y67" s="26"/>
      <c r="Z67" s="26"/>
      <c r="AA67" s="26"/>
      <c r="AB67" s="26"/>
      <c r="AC67" s="26"/>
    </row>
    <row r="68" ht="33.75" customHeight="1">
      <c r="A68" s="66" t="s">
        <v>145</v>
      </c>
      <c r="B68" s="56" t="str">
        <f t="shared" ref="B68:D68" si="97">B67</f>
        <v>Technical Framework</v>
      </c>
      <c r="C68" s="56" t="str">
        <f t="shared" si="97"/>
        <v>System/DevOps</v>
      </c>
      <c r="D68" s="56" t="str">
        <f t="shared" si="97"/>
        <v>DevOps / Environment / Release Foundation</v>
      </c>
      <c r="E68" s="57"/>
      <c r="F68" s="58"/>
      <c r="G68" s="58"/>
      <c r="H68" s="58"/>
      <c r="I68" s="58"/>
      <c r="J68" s="58" t="s">
        <v>9</v>
      </c>
      <c r="K68" s="59" t="s">
        <v>9</v>
      </c>
      <c r="L68" s="60">
        <v>5.0</v>
      </c>
      <c r="M68" s="67">
        <f t="shared" si="98"/>
        <v>7.5</v>
      </c>
      <c r="N68" s="60">
        <v>10.0</v>
      </c>
      <c r="O68" s="68">
        <f t="shared" si="99"/>
        <v>7.5</v>
      </c>
      <c r="P68" s="62">
        <v>0.0</v>
      </c>
      <c r="Q68" s="63">
        <f t="shared" si="100"/>
        <v>7.5</v>
      </c>
      <c r="R68" s="64"/>
      <c r="S68" s="64"/>
      <c r="T68" s="69" t="s">
        <v>68</v>
      </c>
      <c r="U68" s="26"/>
      <c r="V68" s="26"/>
      <c r="W68" s="26"/>
      <c r="X68" s="26"/>
      <c r="Y68" s="26"/>
      <c r="Z68" s="26"/>
      <c r="AA68" s="26"/>
      <c r="AB68" s="26"/>
      <c r="AC68" s="26"/>
    </row>
    <row r="69" ht="33.75" customHeight="1">
      <c r="A69" s="66" t="s">
        <v>146</v>
      </c>
      <c r="B69" s="56" t="str">
        <f t="shared" ref="B69:D69" si="101">B68</f>
        <v>Technical Framework</v>
      </c>
      <c r="C69" s="56" t="str">
        <f t="shared" si="101"/>
        <v>System/DevOps</v>
      </c>
      <c r="D69" s="56" t="str">
        <f t="shared" si="101"/>
        <v>DevOps / Environment / Release Foundation</v>
      </c>
      <c r="E69" s="57"/>
      <c r="F69" s="58"/>
      <c r="G69" s="58"/>
      <c r="H69" s="58"/>
      <c r="I69" s="58"/>
      <c r="J69" s="58" t="s">
        <v>9</v>
      </c>
      <c r="K69" s="59" t="s">
        <v>9</v>
      </c>
      <c r="L69" s="60">
        <v>0.0</v>
      </c>
      <c r="M69" s="67">
        <f t="shared" si="98"/>
        <v>0</v>
      </c>
      <c r="N69" s="60">
        <v>0.0</v>
      </c>
      <c r="O69" s="68">
        <f t="shared" si="99"/>
        <v>0</v>
      </c>
      <c r="P69" s="62">
        <v>0.0</v>
      </c>
      <c r="Q69" s="63">
        <f t="shared" si="100"/>
        <v>0</v>
      </c>
      <c r="R69" s="64"/>
      <c r="S69" s="64"/>
      <c r="T69" s="65" t="s">
        <v>70</v>
      </c>
      <c r="U69" s="26"/>
      <c r="V69" s="26"/>
      <c r="W69" s="26"/>
      <c r="X69" s="26"/>
      <c r="Y69" s="26"/>
      <c r="Z69" s="26"/>
      <c r="AA69" s="26"/>
      <c r="AB69" s="26"/>
      <c r="AC69" s="26"/>
    </row>
    <row r="70" ht="33.75" customHeight="1">
      <c r="A70" s="27" t="s">
        <v>147</v>
      </c>
      <c r="B70" s="28"/>
      <c r="C70" s="28"/>
      <c r="D70" s="28"/>
      <c r="E70" s="29"/>
      <c r="F70" s="30"/>
      <c r="G70" s="30"/>
      <c r="H70" s="30"/>
      <c r="I70" s="30"/>
      <c r="J70" s="30"/>
      <c r="K70" s="31"/>
      <c r="L70" s="32">
        <f t="shared" ref="L70:N70" si="102">SUM(X71:X154)</f>
        <v>28</v>
      </c>
      <c r="M70" s="32">
        <f t="shared" si="102"/>
        <v>42.25</v>
      </c>
      <c r="N70" s="32">
        <f t="shared" si="102"/>
        <v>56.5</v>
      </c>
      <c r="O70" s="32">
        <f>SUM(AA71:AA152)</f>
        <v>29.125</v>
      </c>
      <c r="P70" s="33"/>
      <c r="Q70" s="32">
        <f>SUM(AC71:AC152)</f>
        <v>30.38125</v>
      </c>
      <c r="R70" s="34"/>
      <c r="S70" s="34"/>
      <c r="T70" s="35" t="s">
        <v>59</v>
      </c>
    </row>
    <row r="71" ht="33.75" customHeight="1">
      <c r="A71" s="75" t="s">
        <v>148</v>
      </c>
      <c r="B71" s="38" t="s">
        <v>21</v>
      </c>
      <c r="C71" s="38" t="s">
        <v>149</v>
      </c>
      <c r="D71" s="38" t="s">
        <v>149</v>
      </c>
      <c r="E71" s="39" t="s">
        <v>150</v>
      </c>
      <c r="F71" s="40"/>
      <c r="G71" s="40"/>
      <c r="H71" s="40"/>
      <c r="I71" s="40"/>
      <c r="J71" s="40"/>
      <c r="K71" s="41"/>
      <c r="L71" s="42">
        <f t="shared" ref="L71:O71" si="103">IF(COUNT(L72,L76,L80,L84)=0,"",SUM(L72,L76,L80,L84))</f>
        <v>5.75</v>
      </c>
      <c r="M71" s="42">
        <f t="shared" si="103"/>
        <v>8</v>
      </c>
      <c r="N71" s="42">
        <f t="shared" si="103"/>
        <v>10.25</v>
      </c>
      <c r="O71" s="42">
        <f t="shared" si="103"/>
        <v>8</v>
      </c>
      <c r="P71" s="43"/>
      <c r="Q71" s="42">
        <f>IF(COUNT(Q72,Q76,Q80,Q84)=0,"",SUM(Q72,Q76,Q80,Q84))</f>
        <v>8.9</v>
      </c>
      <c r="R71" s="44"/>
      <c r="S71" s="44"/>
      <c r="T71" s="45" t="s">
        <v>62</v>
      </c>
      <c r="U71" s="26"/>
      <c r="V71" s="26"/>
      <c r="W71" s="26"/>
      <c r="X71" s="46">
        <f t="shared" ref="X71:AA71" si="104">L71</f>
        <v>5.75</v>
      </c>
      <c r="Y71" s="46">
        <f t="shared" si="104"/>
        <v>8</v>
      </c>
      <c r="Z71" s="46">
        <f t="shared" si="104"/>
        <v>10.25</v>
      </c>
      <c r="AA71" s="46">
        <f t="shared" si="104"/>
        <v>8</v>
      </c>
      <c r="AB71" s="26"/>
      <c r="AC71" s="46">
        <f>Q71</f>
        <v>8.9</v>
      </c>
    </row>
    <row r="72" ht="49.5" customHeight="1">
      <c r="A72" s="76" t="s">
        <v>151</v>
      </c>
      <c r="B72" s="77" t="s">
        <v>21</v>
      </c>
      <c r="C72" s="77" t="s">
        <v>149</v>
      </c>
      <c r="D72" s="77" t="s">
        <v>152</v>
      </c>
      <c r="E72" s="48" t="s">
        <v>153</v>
      </c>
      <c r="F72" s="49"/>
      <c r="G72" s="49" t="s">
        <v>154</v>
      </c>
      <c r="H72" s="49" t="s">
        <v>154</v>
      </c>
      <c r="I72" s="49"/>
      <c r="J72" s="49" t="s">
        <v>9</v>
      </c>
      <c r="K72" s="50" t="s">
        <v>9</v>
      </c>
      <c r="L72" s="51">
        <f>IF(COUNT(L73:N75)=0,"",SUM(L73:L75))</f>
        <v>0.75</v>
      </c>
      <c r="M72" s="51">
        <f>IF(COUNT(L73:N75)=0,"",SUM(M73:M75))</f>
        <v>1.125</v>
      </c>
      <c r="N72" s="51">
        <f>IF(COUNT(L73:N75)=0,"",SUM(N73:N75))</f>
        <v>1.5</v>
      </c>
      <c r="O72" s="51">
        <f>IF(COUNT(O73:O75)=0,"",SUM(O73:O75))</f>
        <v>1.125</v>
      </c>
      <c r="P72" s="52"/>
      <c r="Q72" s="51">
        <f>IF(COUNT(Q73:Q75)=0,"",SUM(Q73:Q75))</f>
        <v>1.18125</v>
      </c>
      <c r="R72" s="53"/>
      <c r="S72" s="53"/>
      <c r="T72" s="54" t="s">
        <v>65</v>
      </c>
      <c r="U72" s="26"/>
      <c r="V72" s="26"/>
      <c r="W72" s="26"/>
      <c r="X72" s="26"/>
      <c r="Y72" s="26"/>
      <c r="Z72" s="26"/>
      <c r="AA72" s="26"/>
      <c r="AB72" s="26"/>
      <c r="AC72" s="26"/>
    </row>
    <row r="73" ht="33.75" customHeight="1">
      <c r="A73" s="78" t="s">
        <v>155</v>
      </c>
      <c r="B73" s="79" t="s">
        <v>21</v>
      </c>
      <c r="C73" s="79" t="s">
        <v>149</v>
      </c>
      <c r="D73" s="79" t="s">
        <v>152</v>
      </c>
      <c r="E73" s="57" t="s">
        <v>153</v>
      </c>
      <c r="F73" s="58"/>
      <c r="G73" s="58" t="s">
        <v>154</v>
      </c>
      <c r="H73" s="58" t="s">
        <v>154</v>
      </c>
      <c r="I73" s="58"/>
      <c r="J73" s="58" t="s">
        <v>9</v>
      </c>
      <c r="K73" s="59" t="s">
        <v>9</v>
      </c>
      <c r="L73" s="67">
        <v>0.5</v>
      </c>
      <c r="M73" s="67">
        <f t="shared" ref="M73:M75" si="105">(N73+L73)/2</f>
        <v>0.75</v>
      </c>
      <c r="N73" s="67">
        <v>1.0</v>
      </c>
      <c r="O73" s="68">
        <f t="shared" ref="O73:O75" si="106">IF(COUNT(L73:N73)=0,"",(L73+4*M73+N73)/6)</f>
        <v>0.75</v>
      </c>
      <c r="P73" s="62">
        <v>0.05</v>
      </c>
      <c r="Q73" s="63">
        <f t="shared" ref="Q73:Q75" si="107">IF(O73="","",IF(P73="",O73,O73*(1+P73)))</f>
        <v>0.7875</v>
      </c>
      <c r="R73" s="64">
        <v>5.0</v>
      </c>
      <c r="S73" s="64">
        <v>0.0</v>
      </c>
      <c r="T73" s="65" t="s">
        <v>31</v>
      </c>
      <c r="U73" s="26"/>
      <c r="V73" s="26"/>
      <c r="W73" s="26"/>
      <c r="X73" s="26"/>
      <c r="Y73" s="26"/>
      <c r="Z73" s="26"/>
      <c r="AA73" s="26"/>
      <c r="AB73" s="26"/>
      <c r="AC73" s="26"/>
    </row>
    <row r="74" ht="33.75" customHeight="1">
      <c r="A74" s="78" t="s">
        <v>156</v>
      </c>
      <c r="B74" s="79" t="s">
        <v>21</v>
      </c>
      <c r="C74" s="79" t="s">
        <v>149</v>
      </c>
      <c r="D74" s="79" t="s">
        <v>152</v>
      </c>
      <c r="E74" s="57" t="s">
        <v>153</v>
      </c>
      <c r="F74" s="58"/>
      <c r="G74" s="58" t="s">
        <v>154</v>
      </c>
      <c r="H74" s="58" t="s">
        <v>154</v>
      </c>
      <c r="I74" s="58"/>
      <c r="J74" s="58" t="s">
        <v>9</v>
      </c>
      <c r="K74" s="59" t="s">
        <v>9</v>
      </c>
      <c r="L74" s="67">
        <v>0.0</v>
      </c>
      <c r="M74" s="67">
        <f t="shared" si="105"/>
        <v>0</v>
      </c>
      <c r="N74" s="67">
        <v>0.0</v>
      </c>
      <c r="O74" s="68">
        <f t="shared" si="106"/>
        <v>0</v>
      </c>
      <c r="P74" s="62">
        <v>0.0</v>
      </c>
      <c r="Q74" s="63">
        <f t="shared" si="107"/>
        <v>0</v>
      </c>
      <c r="R74" s="64">
        <v>5.0</v>
      </c>
      <c r="S74" s="64">
        <v>0.0</v>
      </c>
      <c r="T74" s="65" t="s">
        <v>32</v>
      </c>
      <c r="U74" s="26"/>
      <c r="V74" s="26"/>
      <c r="W74" s="26"/>
      <c r="X74" s="26"/>
      <c r="Y74" s="26"/>
      <c r="Z74" s="26"/>
      <c r="AA74" s="26"/>
      <c r="AB74" s="26"/>
      <c r="AC74" s="26"/>
    </row>
    <row r="75" ht="33.75" customHeight="1">
      <c r="A75" s="78" t="s">
        <v>157</v>
      </c>
      <c r="B75" s="79" t="s">
        <v>21</v>
      </c>
      <c r="C75" s="79" t="s">
        <v>149</v>
      </c>
      <c r="D75" s="79" t="s">
        <v>152</v>
      </c>
      <c r="E75" s="57" t="s">
        <v>153</v>
      </c>
      <c r="F75" s="58"/>
      <c r="G75" s="58" t="s">
        <v>154</v>
      </c>
      <c r="H75" s="58" t="s">
        <v>154</v>
      </c>
      <c r="I75" s="58"/>
      <c r="J75" s="58" t="s">
        <v>9</v>
      </c>
      <c r="K75" s="59" t="s">
        <v>9</v>
      </c>
      <c r="L75" s="67">
        <v>0.25</v>
      </c>
      <c r="M75" s="67">
        <f t="shared" si="105"/>
        <v>0.375</v>
      </c>
      <c r="N75" s="67">
        <v>0.5</v>
      </c>
      <c r="O75" s="68">
        <f t="shared" si="106"/>
        <v>0.375</v>
      </c>
      <c r="P75" s="62">
        <v>0.05</v>
      </c>
      <c r="Q75" s="63">
        <f t="shared" si="107"/>
        <v>0.39375</v>
      </c>
      <c r="R75" s="64">
        <v>5.0</v>
      </c>
      <c r="S75" s="64">
        <v>1.0</v>
      </c>
      <c r="T75" s="65" t="s">
        <v>70</v>
      </c>
      <c r="U75" s="26"/>
      <c r="V75" s="26"/>
      <c r="W75" s="26"/>
      <c r="X75" s="26"/>
      <c r="Y75" s="26"/>
      <c r="Z75" s="26"/>
      <c r="AA75" s="26"/>
      <c r="AB75" s="26"/>
      <c r="AC75" s="26"/>
    </row>
    <row r="76" ht="33.75" customHeight="1">
      <c r="A76" s="76" t="s">
        <v>158</v>
      </c>
      <c r="B76" s="77" t="s">
        <v>21</v>
      </c>
      <c r="C76" s="77" t="s">
        <v>149</v>
      </c>
      <c r="D76" s="77" t="s">
        <v>159</v>
      </c>
      <c r="E76" s="48" t="s">
        <v>160</v>
      </c>
      <c r="F76" s="49" t="s">
        <v>161</v>
      </c>
      <c r="G76" s="49" t="s">
        <v>154</v>
      </c>
      <c r="H76" s="49" t="s">
        <v>154</v>
      </c>
      <c r="I76" s="49"/>
      <c r="J76" s="49" t="s">
        <v>9</v>
      </c>
      <c r="K76" s="50" t="s">
        <v>9</v>
      </c>
      <c r="L76" s="80">
        <f t="shared" ref="L76:M76" si="108">IF(COUNT(L77:N79)=0,"",SUM(L77:L79))</f>
        <v>1</v>
      </c>
      <c r="M76" s="80">
        <f t="shared" si="108"/>
        <v>1.375</v>
      </c>
      <c r="N76" s="80">
        <f>IF(COUNT(L77:N79)=0,"",SUM(N77:N79))</f>
        <v>1.75</v>
      </c>
      <c r="O76" s="80">
        <f>IF(COUNT(O77:O79)=0,"",SUM(O77:O79))</f>
        <v>1.375</v>
      </c>
      <c r="P76" s="81"/>
      <c r="Q76" s="80">
        <f>IF(COUNT(Q77:Q79)=0,"",SUM(Q77:Q79))</f>
        <v>1.44375</v>
      </c>
      <c r="R76" s="82"/>
      <c r="S76" s="82"/>
      <c r="T76" s="54" t="s">
        <v>65</v>
      </c>
      <c r="U76" s="26"/>
      <c r="V76" s="26"/>
      <c r="W76" s="26"/>
      <c r="X76" s="26"/>
      <c r="Y76" s="26"/>
      <c r="Z76" s="26"/>
      <c r="AA76" s="26"/>
      <c r="AB76" s="26"/>
      <c r="AC76" s="26"/>
    </row>
    <row r="77" ht="33.75" customHeight="1">
      <c r="A77" s="78" t="s">
        <v>162</v>
      </c>
      <c r="B77" s="79" t="s">
        <v>21</v>
      </c>
      <c r="C77" s="79" t="s">
        <v>149</v>
      </c>
      <c r="D77" s="79" t="s">
        <v>159</v>
      </c>
      <c r="E77" s="57" t="s">
        <v>160</v>
      </c>
      <c r="F77" s="58" t="s">
        <v>161</v>
      </c>
      <c r="G77" s="58" t="s">
        <v>154</v>
      </c>
      <c r="H77" s="58" t="s">
        <v>154</v>
      </c>
      <c r="I77" s="58"/>
      <c r="J77" s="58" t="s">
        <v>9</v>
      </c>
      <c r="K77" s="59" t="s">
        <v>9</v>
      </c>
      <c r="L77" s="83">
        <v>0.75</v>
      </c>
      <c r="M77" s="83">
        <f t="shared" ref="M77:M79" si="109">(N77+L77)/2</f>
        <v>1</v>
      </c>
      <c r="N77" s="83">
        <v>1.25</v>
      </c>
      <c r="O77" s="68">
        <f t="shared" ref="O77:O79" si="110">IF(COUNT(L77:N77)=0,"",(L77+4*M77+N77)/6)</f>
        <v>1</v>
      </c>
      <c r="P77" s="84">
        <v>0.05</v>
      </c>
      <c r="Q77" s="63">
        <f t="shared" ref="Q77:Q79" si="111">IF(O77="","",IF(P77="",O77,O77*(1+P77)))</f>
        <v>1.05</v>
      </c>
      <c r="R77" s="85">
        <v>5.0</v>
      </c>
      <c r="S77" s="85">
        <v>1.0</v>
      </c>
      <c r="T77" s="65" t="s">
        <v>31</v>
      </c>
      <c r="U77" s="26"/>
      <c r="V77" s="26"/>
      <c r="W77" s="26"/>
      <c r="X77" s="26"/>
      <c r="Y77" s="26"/>
      <c r="Z77" s="26"/>
      <c r="AA77" s="26"/>
      <c r="AB77" s="26"/>
      <c r="AC77" s="26"/>
    </row>
    <row r="78" ht="33.75" customHeight="1">
      <c r="A78" s="78" t="s">
        <v>163</v>
      </c>
      <c r="B78" s="79" t="s">
        <v>21</v>
      </c>
      <c r="C78" s="79" t="s">
        <v>149</v>
      </c>
      <c r="D78" s="79" t="s">
        <v>159</v>
      </c>
      <c r="E78" s="57" t="s">
        <v>160</v>
      </c>
      <c r="F78" s="58" t="s">
        <v>161</v>
      </c>
      <c r="G78" s="58" t="s">
        <v>154</v>
      </c>
      <c r="H78" s="58" t="s">
        <v>154</v>
      </c>
      <c r="I78" s="58"/>
      <c r="J78" s="58" t="s">
        <v>9</v>
      </c>
      <c r="K78" s="59" t="s">
        <v>9</v>
      </c>
      <c r="L78" s="83">
        <v>0.0</v>
      </c>
      <c r="M78" s="83">
        <f t="shared" si="109"/>
        <v>0</v>
      </c>
      <c r="N78" s="83">
        <v>0.0</v>
      </c>
      <c r="O78" s="68">
        <f t="shared" si="110"/>
        <v>0</v>
      </c>
      <c r="P78" s="84">
        <v>0.0</v>
      </c>
      <c r="Q78" s="63">
        <f t="shared" si="111"/>
        <v>0</v>
      </c>
      <c r="R78" s="85">
        <v>5.0</v>
      </c>
      <c r="S78" s="85">
        <v>0.0</v>
      </c>
      <c r="T78" s="65" t="s">
        <v>32</v>
      </c>
      <c r="U78" s="26"/>
      <c r="V78" s="26"/>
      <c r="W78" s="26"/>
      <c r="X78" s="26"/>
      <c r="Y78" s="26"/>
      <c r="Z78" s="26"/>
      <c r="AA78" s="26"/>
      <c r="AB78" s="26"/>
      <c r="AC78" s="26"/>
    </row>
    <row r="79" ht="33.75" customHeight="1">
      <c r="A79" s="78" t="s">
        <v>164</v>
      </c>
      <c r="B79" s="79" t="s">
        <v>21</v>
      </c>
      <c r="C79" s="79" t="s">
        <v>149</v>
      </c>
      <c r="D79" s="79" t="s">
        <v>159</v>
      </c>
      <c r="E79" s="57" t="s">
        <v>160</v>
      </c>
      <c r="F79" s="58" t="s">
        <v>161</v>
      </c>
      <c r="G79" s="58" t="s">
        <v>154</v>
      </c>
      <c r="H79" s="58" t="s">
        <v>154</v>
      </c>
      <c r="I79" s="58"/>
      <c r="J79" s="58" t="s">
        <v>9</v>
      </c>
      <c r="K79" s="59" t="s">
        <v>9</v>
      </c>
      <c r="L79" s="83">
        <v>0.25</v>
      </c>
      <c r="M79" s="83">
        <f t="shared" si="109"/>
        <v>0.375</v>
      </c>
      <c r="N79" s="83">
        <v>0.5</v>
      </c>
      <c r="O79" s="68">
        <f t="shared" si="110"/>
        <v>0.375</v>
      </c>
      <c r="P79" s="84">
        <v>0.05</v>
      </c>
      <c r="Q79" s="63">
        <f t="shared" si="111"/>
        <v>0.39375</v>
      </c>
      <c r="R79" s="85">
        <v>5.0</v>
      </c>
      <c r="S79" s="85">
        <v>1.0</v>
      </c>
      <c r="T79" s="65" t="s">
        <v>70</v>
      </c>
      <c r="U79" s="26"/>
      <c r="V79" s="26"/>
      <c r="W79" s="26"/>
      <c r="X79" s="26"/>
      <c r="Y79" s="26"/>
      <c r="Z79" s="26"/>
      <c r="AA79" s="26"/>
      <c r="AB79" s="26"/>
      <c r="AC79" s="26"/>
    </row>
    <row r="80" ht="33.75" customHeight="1">
      <c r="A80" s="76" t="s">
        <v>165</v>
      </c>
      <c r="B80" s="77" t="s">
        <v>21</v>
      </c>
      <c r="C80" s="77" t="s">
        <v>149</v>
      </c>
      <c r="D80" s="77" t="s">
        <v>166</v>
      </c>
      <c r="E80" s="48" t="s">
        <v>167</v>
      </c>
      <c r="F80" s="49" t="s">
        <v>158</v>
      </c>
      <c r="G80" s="49" t="s">
        <v>168</v>
      </c>
      <c r="H80" s="49" t="s">
        <v>168</v>
      </c>
      <c r="I80" s="49"/>
      <c r="J80" s="49" t="s">
        <v>9</v>
      </c>
      <c r="K80" s="50" t="s">
        <v>9</v>
      </c>
      <c r="L80" s="80">
        <f t="shared" ref="L80:M80" si="112">IF(COUNT(L81:N83)=0,"",SUM(L81:L83))</f>
        <v>2</v>
      </c>
      <c r="M80" s="80">
        <f t="shared" si="112"/>
        <v>2.875</v>
      </c>
      <c r="N80" s="80">
        <f>IF(COUNT(L81:N83)=0,"",SUM(N81:N83))</f>
        <v>3.75</v>
      </c>
      <c r="O80" s="80">
        <f>IF(COUNT(O81:O83)=0,"",SUM(O81:O83))</f>
        <v>2.875</v>
      </c>
      <c r="P80" s="81"/>
      <c r="Q80" s="80">
        <f>IF(COUNT(Q81:Q83)=0,"",SUM(Q81:Q83))</f>
        <v>3.275</v>
      </c>
      <c r="R80" s="82"/>
      <c r="S80" s="82"/>
      <c r="T80" s="54" t="s">
        <v>65</v>
      </c>
      <c r="U80" s="26"/>
      <c r="V80" s="26"/>
      <c r="W80" s="26"/>
      <c r="X80" s="26"/>
      <c r="Y80" s="26"/>
      <c r="Z80" s="26"/>
      <c r="AA80" s="26"/>
      <c r="AB80" s="26"/>
      <c r="AC80" s="26"/>
    </row>
    <row r="81" ht="33.75" customHeight="1">
      <c r="A81" s="78" t="s">
        <v>169</v>
      </c>
      <c r="B81" s="79" t="s">
        <v>21</v>
      </c>
      <c r="C81" s="79" t="s">
        <v>149</v>
      </c>
      <c r="D81" s="79" t="s">
        <v>166</v>
      </c>
      <c r="E81" s="57" t="s">
        <v>167</v>
      </c>
      <c r="F81" s="58" t="s">
        <v>158</v>
      </c>
      <c r="G81" s="58" t="s">
        <v>168</v>
      </c>
      <c r="H81" s="58" t="s">
        <v>168</v>
      </c>
      <c r="I81" s="58"/>
      <c r="J81" s="58" t="s">
        <v>9</v>
      </c>
      <c r="K81" s="59" t="s">
        <v>9</v>
      </c>
      <c r="L81" s="83">
        <v>1.5</v>
      </c>
      <c r="M81" s="83">
        <f t="shared" ref="M81:M83" si="113">(N81+L81)/2</f>
        <v>2</v>
      </c>
      <c r="N81" s="83">
        <v>2.5</v>
      </c>
      <c r="O81" s="68">
        <f t="shared" ref="O81:O83" si="114">IF(COUNT(L81:N81)=0,"",(L81+4*M81+N81)/6)</f>
        <v>2</v>
      </c>
      <c r="P81" s="84">
        <v>0.15</v>
      </c>
      <c r="Q81" s="63">
        <f t="shared" ref="Q81:Q83" si="115">IF(O81="","",IF(P81="",O81,O81*(1+P81)))</f>
        <v>2.3</v>
      </c>
      <c r="R81" s="85">
        <v>4.0</v>
      </c>
      <c r="S81" s="85">
        <v>2.0</v>
      </c>
      <c r="T81" s="65" t="s">
        <v>31</v>
      </c>
      <c r="U81" s="26"/>
      <c r="V81" s="26"/>
      <c r="W81" s="26"/>
      <c r="X81" s="26"/>
      <c r="Y81" s="26"/>
      <c r="Z81" s="26"/>
      <c r="AA81" s="26"/>
      <c r="AB81" s="26"/>
      <c r="AC81" s="26"/>
    </row>
    <row r="82" ht="33.75" customHeight="1">
      <c r="A82" s="78" t="s">
        <v>170</v>
      </c>
      <c r="B82" s="79" t="s">
        <v>21</v>
      </c>
      <c r="C82" s="79" t="s">
        <v>149</v>
      </c>
      <c r="D82" s="79" t="s">
        <v>166</v>
      </c>
      <c r="E82" s="57" t="s">
        <v>167</v>
      </c>
      <c r="F82" s="58" t="s">
        <v>158</v>
      </c>
      <c r="G82" s="58" t="s">
        <v>168</v>
      </c>
      <c r="H82" s="58" t="s">
        <v>168</v>
      </c>
      <c r="I82" s="58"/>
      <c r="J82" s="58" t="s">
        <v>9</v>
      </c>
      <c r="K82" s="59" t="s">
        <v>9</v>
      </c>
      <c r="L82" s="83">
        <v>0.0</v>
      </c>
      <c r="M82" s="83">
        <f t="shared" si="113"/>
        <v>0.25</v>
      </c>
      <c r="N82" s="83">
        <v>0.5</v>
      </c>
      <c r="O82" s="68">
        <f t="shared" si="114"/>
        <v>0.25</v>
      </c>
      <c r="P82" s="84">
        <v>0.15</v>
      </c>
      <c r="Q82" s="63">
        <f t="shared" si="115"/>
        <v>0.2875</v>
      </c>
      <c r="R82" s="85">
        <v>4.0</v>
      </c>
      <c r="S82" s="85">
        <v>2.0</v>
      </c>
      <c r="T82" s="65" t="s">
        <v>32</v>
      </c>
      <c r="U82" s="26"/>
      <c r="V82" s="26"/>
      <c r="W82" s="26"/>
      <c r="X82" s="26"/>
      <c r="Y82" s="26"/>
      <c r="Z82" s="26"/>
      <c r="AA82" s="26"/>
      <c r="AB82" s="26"/>
      <c r="AC82" s="26"/>
    </row>
    <row r="83" ht="33.75" customHeight="1">
      <c r="A83" s="78" t="s">
        <v>171</v>
      </c>
      <c r="B83" s="79" t="s">
        <v>21</v>
      </c>
      <c r="C83" s="79" t="s">
        <v>149</v>
      </c>
      <c r="D83" s="79" t="s">
        <v>166</v>
      </c>
      <c r="E83" s="57" t="s">
        <v>167</v>
      </c>
      <c r="F83" s="58" t="s">
        <v>158</v>
      </c>
      <c r="G83" s="58" t="s">
        <v>168</v>
      </c>
      <c r="H83" s="58" t="s">
        <v>168</v>
      </c>
      <c r="I83" s="58"/>
      <c r="J83" s="58" t="s">
        <v>9</v>
      </c>
      <c r="K83" s="59" t="s">
        <v>9</v>
      </c>
      <c r="L83" s="83">
        <v>0.5</v>
      </c>
      <c r="M83" s="83">
        <f t="shared" si="113"/>
        <v>0.625</v>
      </c>
      <c r="N83" s="83">
        <v>0.75</v>
      </c>
      <c r="O83" s="68">
        <f t="shared" si="114"/>
        <v>0.625</v>
      </c>
      <c r="P83" s="84">
        <v>0.09999999999999999</v>
      </c>
      <c r="Q83" s="63">
        <f t="shared" si="115"/>
        <v>0.6875</v>
      </c>
      <c r="R83" s="85">
        <v>5.0</v>
      </c>
      <c r="S83" s="85">
        <v>1.0</v>
      </c>
      <c r="T83" s="65" t="s">
        <v>70</v>
      </c>
      <c r="U83" s="26"/>
      <c r="V83" s="26"/>
      <c r="W83" s="26"/>
      <c r="X83" s="26"/>
      <c r="Y83" s="26"/>
      <c r="Z83" s="26"/>
      <c r="AA83" s="26"/>
      <c r="AB83" s="26"/>
      <c r="AC83" s="26"/>
    </row>
    <row r="84" ht="33.75" customHeight="1">
      <c r="A84" s="76" t="s">
        <v>172</v>
      </c>
      <c r="B84" s="77" t="s">
        <v>21</v>
      </c>
      <c r="C84" s="77" t="s">
        <v>149</v>
      </c>
      <c r="D84" s="77" t="s">
        <v>173</v>
      </c>
      <c r="E84" s="48" t="s">
        <v>174</v>
      </c>
      <c r="F84" s="49" t="s">
        <v>175</v>
      </c>
      <c r="G84" s="49" t="s">
        <v>168</v>
      </c>
      <c r="H84" s="49" t="s">
        <v>168</v>
      </c>
      <c r="I84" s="49"/>
      <c r="J84" s="49" t="s">
        <v>9</v>
      </c>
      <c r="K84" s="50" t="s">
        <v>9</v>
      </c>
      <c r="L84" s="86">
        <f t="shared" ref="L84:M84" si="116">IF(COUNT(L85:N87)=0,"",SUM(L85:L87))</f>
        <v>2</v>
      </c>
      <c r="M84" s="86">
        <f t="shared" si="116"/>
        <v>2.625</v>
      </c>
      <c r="N84" s="86">
        <f>IF(COUNT(L85:N87)=0,"",SUM(N85:N87))</f>
        <v>3.25</v>
      </c>
      <c r="O84" s="86">
        <f>IF(COUNT(O85:O87)=0,"",SUM(O85:O87))</f>
        <v>2.625</v>
      </c>
      <c r="P84" s="87"/>
      <c r="Q84" s="86">
        <f>IF(COUNT(Q85:Q87)=0,"",SUM(Q85:Q87))</f>
        <v>3</v>
      </c>
      <c r="R84" s="88"/>
      <c r="S84" s="88"/>
      <c r="T84" s="54" t="s">
        <v>65</v>
      </c>
      <c r="U84" s="26"/>
      <c r="V84" s="26"/>
      <c r="W84" s="26"/>
      <c r="X84" s="26"/>
      <c r="Y84" s="26"/>
      <c r="Z84" s="26"/>
      <c r="AA84" s="26"/>
      <c r="AB84" s="26"/>
      <c r="AC84" s="26"/>
    </row>
    <row r="85" ht="33.75" customHeight="1">
      <c r="A85" s="78" t="s">
        <v>176</v>
      </c>
      <c r="B85" s="79" t="s">
        <v>21</v>
      </c>
      <c r="C85" s="79" t="s">
        <v>149</v>
      </c>
      <c r="D85" s="79" t="s">
        <v>173</v>
      </c>
      <c r="E85" s="57" t="s">
        <v>174</v>
      </c>
      <c r="F85" s="58" t="s">
        <v>175</v>
      </c>
      <c r="G85" s="58" t="s">
        <v>168</v>
      </c>
      <c r="H85" s="58" t="s">
        <v>168</v>
      </c>
      <c r="I85" s="58"/>
      <c r="J85" s="58" t="s">
        <v>9</v>
      </c>
      <c r="K85" s="59" t="s">
        <v>9</v>
      </c>
      <c r="L85" s="83">
        <v>1.0</v>
      </c>
      <c r="M85" s="83">
        <f t="shared" ref="M85:M87" si="117">(N85+L85)/2</f>
        <v>1.375</v>
      </c>
      <c r="N85" s="83">
        <v>1.75</v>
      </c>
      <c r="O85" s="68">
        <f t="shared" ref="O85:O87" si="118">IF(COUNT(L85:N85)=0,"",(L85+4*M85+N85)/6)</f>
        <v>1.375</v>
      </c>
      <c r="P85" s="84">
        <v>0.15</v>
      </c>
      <c r="Q85" s="63">
        <f t="shared" ref="Q85:Q87" si="119">IF(O85="","",IF(P85="",O85,O85*(1+P85)))</f>
        <v>1.58125</v>
      </c>
      <c r="R85" s="85">
        <v>4.0</v>
      </c>
      <c r="S85" s="85">
        <v>2.0</v>
      </c>
      <c r="T85" s="65" t="s">
        <v>31</v>
      </c>
      <c r="U85" s="26"/>
      <c r="V85" s="26"/>
      <c r="W85" s="26"/>
      <c r="X85" s="26"/>
      <c r="Y85" s="26"/>
      <c r="Z85" s="26"/>
      <c r="AA85" s="26"/>
      <c r="AB85" s="26"/>
      <c r="AC85" s="26"/>
    </row>
    <row r="86" ht="33.75" customHeight="1">
      <c r="A86" s="78" t="s">
        <v>177</v>
      </c>
      <c r="B86" s="79" t="s">
        <v>21</v>
      </c>
      <c r="C86" s="79" t="s">
        <v>149</v>
      </c>
      <c r="D86" s="79" t="s">
        <v>173</v>
      </c>
      <c r="E86" s="57" t="s">
        <v>174</v>
      </c>
      <c r="F86" s="58" t="s">
        <v>175</v>
      </c>
      <c r="G86" s="58" t="s">
        <v>168</v>
      </c>
      <c r="H86" s="58" t="s">
        <v>168</v>
      </c>
      <c r="I86" s="58"/>
      <c r="J86" s="58" t="s">
        <v>9</v>
      </c>
      <c r="K86" s="59" t="s">
        <v>9</v>
      </c>
      <c r="L86" s="83">
        <v>0.75</v>
      </c>
      <c r="M86" s="83">
        <f t="shared" si="117"/>
        <v>0.875</v>
      </c>
      <c r="N86" s="89">
        <v>1.0</v>
      </c>
      <c r="O86" s="68">
        <f t="shared" si="118"/>
        <v>0.875</v>
      </c>
      <c r="P86" s="84">
        <v>0.15</v>
      </c>
      <c r="Q86" s="63">
        <f t="shared" si="119"/>
        <v>1.00625</v>
      </c>
      <c r="R86" s="85">
        <v>4.0</v>
      </c>
      <c r="S86" s="85">
        <v>2.0</v>
      </c>
      <c r="T86" s="65" t="s">
        <v>32</v>
      </c>
      <c r="U86" s="26"/>
      <c r="V86" s="26"/>
      <c r="W86" s="26"/>
      <c r="X86" s="26"/>
      <c r="Y86" s="26"/>
      <c r="Z86" s="26"/>
      <c r="AA86" s="26"/>
      <c r="AB86" s="26"/>
      <c r="AC86" s="26"/>
    </row>
    <row r="87" ht="33.75" customHeight="1">
      <c r="A87" s="78" t="s">
        <v>178</v>
      </c>
      <c r="B87" s="79" t="s">
        <v>21</v>
      </c>
      <c r="C87" s="79" t="s">
        <v>149</v>
      </c>
      <c r="D87" s="79" t="s">
        <v>173</v>
      </c>
      <c r="E87" s="57" t="s">
        <v>174</v>
      </c>
      <c r="F87" s="58" t="s">
        <v>175</v>
      </c>
      <c r="G87" s="58" t="s">
        <v>168</v>
      </c>
      <c r="H87" s="58" t="s">
        <v>168</v>
      </c>
      <c r="I87" s="58"/>
      <c r="J87" s="58" t="s">
        <v>9</v>
      </c>
      <c r="K87" s="59" t="s">
        <v>9</v>
      </c>
      <c r="L87" s="83">
        <v>0.25</v>
      </c>
      <c r="M87" s="83">
        <f t="shared" si="117"/>
        <v>0.375</v>
      </c>
      <c r="N87" s="83">
        <v>0.5</v>
      </c>
      <c r="O87" s="68">
        <f t="shared" si="118"/>
        <v>0.375</v>
      </c>
      <c r="P87" s="84">
        <v>0.09999999999999999</v>
      </c>
      <c r="Q87" s="63">
        <f t="shared" si="119"/>
        <v>0.4125</v>
      </c>
      <c r="R87" s="85">
        <v>5.0</v>
      </c>
      <c r="S87" s="85">
        <v>1.0</v>
      </c>
      <c r="T87" s="65" t="s">
        <v>70</v>
      </c>
      <c r="U87" s="26"/>
      <c r="V87" s="26"/>
      <c r="W87" s="26"/>
      <c r="X87" s="26"/>
      <c r="Y87" s="26"/>
      <c r="Z87" s="26"/>
      <c r="AA87" s="26"/>
      <c r="AB87" s="26"/>
      <c r="AC87" s="26"/>
    </row>
    <row r="88" ht="33.75" customHeight="1">
      <c r="A88" s="75" t="s">
        <v>179</v>
      </c>
      <c r="B88" s="38" t="s">
        <v>21</v>
      </c>
      <c r="C88" s="38" t="s">
        <v>180</v>
      </c>
      <c r="D88" s="38" t="s">
        <v>180</v>
      </c>
      <c r="E88" s="39" t="s">
        <v>181</v>
      </c>
      <c r="F88" s="40"/>
      <c r="G88" s="40"/>
      <c r="H88" s="40"/>
      <c r="I88" s="40"/>
      <c r="J88" s="40"/>
      <c r="K88" s="41"/>
      <c r="L88" s="90">
        <f t="shared" ref="L88:N88" si="120">IF(COUNT(L89,L93,L97)=0,"",SUM(L89,L93,L97))</f>
        <v>3</v>
      </c>
      <c r="M88" s="90">
        <f t="shared" si="120"/>
        <v>4.625</v>
      </c>
      <c r="N88" s="90">
        <f t="shared" si="120"/>
        <v>6.25</v>
      </c>
      <c r="O88" s="42">
        <f>IF(COUNT(O89,O93)=0,"",SUM(O89,O93))</f>
        <v>4.625</v>
      </c>
      <c r="P88" s="91"/>
      <c r="Q88" s="42">
        <f>IF(COUNT(Q89,Q93)=0,"",SUM(Q89,Q93))</f>
        <v>4.98125</v>
      </c>
      <c r="R88" s="92"/>
      <c r="S88" s="92"/>
      <c r="T88" s="45" t="s">
        <v>62</v>
      </c>
      <c r="U88" s="26"/>
      <c r="V88" s="26"/>
      <c r="W88" s="26"/>
      <c r="X88" s="46">
        <f t="shared" ref="X88:AA88" si="121">L88</f>
        <v>3</v>
      </c>
      <c r="Y88" s="46">
        <f t="shared" si="121"/>
        <v>4.625</v>
      </c>
      <c r="Z88" s="46">
        <f t="shared" si="121"/>
        <v>6.25</v>
      </c>
      <c r="AA88" s="46">
        <f t="shared" si="121"/>
        <v>4.625</v>
      </c>
      <c r="AB88" s="26"/>
      <c r="AC88" s="46">
        <f>Q88</f>
        <v>4.98125</v>
      </c>
    </row>
    <row r="89" ht="33.75" customHeight="1">
      <c r="A89" s="76" t="s">
        <v>182</v>
      </c>
      <c r="B89" s="77" t="s">
        <v>21</v>
      </c>
      <c r="C89" s="77" t="s">
        <v>180</v>
      </c>
      <c r="D89" s="77" t="s">
        <v>183</v>
      </c>
      <c r="E89" s="48" t="s">
        <v>184</v>
      </c>
      <c r="F89" s="49" t="s">
        <v>185</v>
      </c>
      <c r="G89" s="49" t="s">
        <v>168</v>
      </c>
      <c r="H89" s="49" t="s">
        <v>168</v>
      </c>
      <c r="I89" s="49"/>
      <c r="J89" s="49" t="s">
        <v>9</v>
      </c>
      <c r="K89" s="50" t="s">
        <v>9</v>
      </c>
      <c r="L89" s="80">
        <f t="shared" ref="L89:M89" si="122">IF(COUNT(L90:N92)=0,"",SUM(L90:L92))</f>
        <v>0.75</v>
      </c>
      <c r="M89" s="80">
        <f t="shared" si="122"/>
        <v>1.25</v>
      </c>
      <c r="N89" s="80">
        <f>IF(COUNT(L90:N92)=0,"",SUM(N90:N92))</f>
        <v>1.75</v>
      </c>
      <c r="O89" s="80">
        <f>IF(COUNT(O90:O92)=0,"",SUM(O90:O92))</f>
        <v>1.25</v>
      </c>
      <c r="P89" s="81"/>
      <c r="Q89" s="80">
        <f>IF(COUNT(Q90:Q92)=0,"",SUM(Q90:Q92))</f>
        <v>1.3125</v>
      </c>
      <c r="R89" s="82"/>
      <c r="S89" s="82"/>
      <c r="T89" s="54" t="s">
        <v>65</v>
      </c>
      <c r="U89" s="26"/>
      <c r="V89" s="26"/>
      <c r="W89" s="26"/>
      <c r="X89" s="26"/>
      <c r="Y89" s="26"/>
      <c r="Z89" s="26"/>
      <c r="AA89" s="26"/>
      <c r="AB89" s="26"/>
      <c r="AC89" s="26"/>
    </row>
    <row r="90" ht="33.75" customHeight="1">
      <c r="A90" s="78" t="s">
        <v>186</v>
      </c>
      <c r="B90" s="79" t="s">
        <v>21</v>
      </c>
      <c r="C90" s="79" t="s">
        <v>180</v>
      </c>
      <c r="D90" s="79" t="s">
        <v>183</v>
      </c>
      <c r="E90" s="57" t="s">
        <v>184</v>
      </c>
      <c r="F90" s="58" t="s">
        <v>185</v>
      </c>
      <c r="G90" s="58" t="s">
        <v>168</v>
      </c>
      <c r="H90" s="58" t="s">
        <v>168</v>
      </c>
      <c r="I90" s="58"/>
      <c r="J90" s="58" t="s">
        <v>9</v>
      </c>
      <c r="K90" s="59" t="s">
        <v>9</v>
      </c>
      <c r="L90" s="60">
        <v>0.25</v>
      </c>
      <c r="M90" s="67">
        <f t="shared" ref="M90:M92" si="123">(N90+L90)/2</f>
        <v>0.5</v>
      </c>
      <c r="N90" s="60">
        <v>0.75</v>
      </c>
      <c r="O90" s="68">
        <f t="shared" ref="O90:O93" si="124">IF(COUNT(L90:N90)=0,"",(L90+4*M90+N90)/6)</f>
        <v>0.5</v>
      </c>
      <c r="P90" s="93">
        <v>0.05</v>
      </c>
      <c r="Q90" s="63">
        <f t="shared" ref="Q90:Q92" si="125">IF(O90="","",IF(P90="",O90,O90*(1+P90)))</f>
        <v>0.525</v>
      </c>
      <c r="R90" s="64"/>
      <c r="S90" s="64"/>
      <c r="T90" s="65" t="s">
        <v>31</v>
      </c>
      <c r="U90" s="26"/>
      <c r="V90" s="26"/>
      <c r="W90" s="26"/>
      <c r="X90" s="26"/>
      <c r="Y90" s="26"/>
      <c r="Z90" s="26"/>
      <c r="AA90" s="26"/>
      <c r="AB90" s="26"/>
      <c r="AC90" s="26"/>
    </row>
    <row r="91" ht="33.75" customHeight="1">
      <c r="A91" s="78" t="s">
        <v>187</v>
      </c>
      <c r="B91" s="79" t="s">
        <v>21</v>
      </c>
      <c r="C91" s="79" t="s">
        <v>180</v>
      </c>
      <c r="D91" s="79" t="s">
        <v>183</v>
      </c>
      <c r="E91" s="57" t="s">
        <v>184</v>
      </c>
      <c r="F91" s="58" t="s">
        <v>185</v>
      </c>
      <c r="G91" s="58" t="s">
        <v>168</v>
      </c>
      <c r="H91" s="58" t="s">
        <v>168</v>
      </c>
      <c r="I91" s="58"/>
      <c r="J91" s="58" t="s">
        <v>9</v>
      </c>
      <c r="K91" s="59" t="s">
        <v>9</v>
      </c>
      <c r="L91" s="60">
        <v>0.25</v>
      </c>
      <c r="M91" s="67">
        <f t="shared" si="123"/>
        <v>0.375</v>
      </c>
      <c r="N91" s="60">
        <v>0.5</v>
      </c>
      <c r="O91" s="68">
        <f t="shared" si="124"/>
        <v>0.375</v>
      </c>
      <c r="P91" s="93">
        <v>0.05</v>
      </c>
      <c r="Q91" s="63">
        <f t="shared" si="125"/>
        <v>0.39375</v>
      </c>
      <c r="R91" s="64"/>
      <c r="S91" s="64"/>
      <c r="T91" s="65" t="s">
        <v>32</v>
      </c>
      <c r="U91" s="26"/>
      <c r="V91" s="26"/>
      <c r="W91" s="26"/>
      <c r="X91" s="26"/>
      <c r="Y91" s="26"/>
      <c r="Z91" s="26"/>
      <c r="AA91" s="26"/>
      <c r="AB91" s="26"/>
      <c r="AC91" s="26"/>
    </row>
    <row r="92" ht="33.75" customHeight="1">
      <c r="A92" s="78" t="s">
        <v>188</v>
      </c>
      <c r="B92" s="79" t="s">
        <v>21</v>
      </c>
      <c r="C92" s="79" t="s">
        <v>180</v>
      </c>
      <c r="D92" s="79" t="s">
        <v>183</v>
      </c>
      <c r="E92" s="57" t="s">
        <v>184</v>
      </c>
      <c r="F92" s="58" t="s">
        <v>185</v>
      </c>
      <c r="G92" s="58" t="s">
        <v>168</v>
      </c>
      <c r="H92" s="58" t="s">
        <v>168</v>
      </c>
      <c r="I92" s="58"/>
      <c r="J92" s="58" t="s">
        <v>9</v>
      </c>
      <c r="K92" s="59" t="s">
        <v>9</v>
      </c>
      <c r="L92" s="60">
        <v>0.25</v>
      </c>
      <c r="M92" s="67">
        <f t="shared" si="123"/>
        <v>0.375</v>
      </c>
      <c r="N92" s="60">
        <v>0.5</v>
      </c>
      <c r="O92" s="68">
        <f t="shared" si="124"/>
        <v>0.375</v>
      </c>
      <c r="P92" s="93">
        <v>0.05</v>
      </c>
      <c r="Q92" s="63">
        <f t="shared" si="125"/>
        <v>0.39375</v>
      </c>
      <c r="R92" s="64"/>
      <c r="S92" s="64"/>
      <c r="T92" s="65" t="s">
        <v>70</v>
      </c>
      <c r="U92" s="26"/>
      <c r="V92" s="26"/>
      <c r="W92" s="26"/>
      <c r="X92" s="26"/>
      <c r="Y92" s="26"/>
      <c r="Z92" s="26"/>
      <c r="AA92" s="26"/>
      <c r="AB92" s="26"/>
      <c r="AC92" s="26"/>
    </row>
    <row r="93" ht="33.75" customHeight="1">
      <c r="A93" s="76" t="s">
        <v>189</v>
      </c>
      <c r="B93" s="77" t="s">
        <v>21</v>
      </c>
      <c r="C93" s="77" t="s">
        <v>180</v>
      </c>
      <c r="D93" s="77" t="s">
        <v>190</v>
      </c>
      <c r="E93" s="48" t="s">
        <v>191</v>
      </c>
      <c r="F93" s="49" t="s">
        <v>192</v>
      </c>
      <c r="G93" s="49" t="s">
        <v>168</v>
      </c>
      <c r="H93" s="49" t="s">
        <v>168</v>
      </c>
      <c r="I93" s="49"/>
      <c r="J93" s="49" t="s">
        <v>9</v>
      </c>
      <c r="K93" s="50" t="s">
        <v>9</v>
      </c>
      <c r="L93" s="80">
        <f t="shared" ref="L93:M93" si="126">IF(COUNT(L94:N96)=0,"",SUM(L94:L96))</f>
        <v>2.25</v>
      </c>
      <c r="M93" s="80">
        <f t="shared" si="126"/>
        <v>3.375</v>
      </c>
      <c r="N93" s="80">
        <f>IF(COUNT(L94:N96)=0,"",SUM(N94:N96))</f>
        <v>4.5</v>
      </c>
      <c r="O93" s="80">
        <f t="shared" si="124"/>
        <v>3.375</v>
      </c>
      <c r="P93" s="81"/>
      <c r="Q93" s="80">
        <f>IF(COUNT(Q94:Q96)=0,"",SUM(Q94:Q96))</f>
        <v>3.66875</v>
      </c>
      <c r="R93" s="82"/>
      <c r="S93" s="82"/>
      <c r="T93" s="54" t="s">
        <v>65</v>
      </c>
      <c r="U93" s="26"/>
      <c r="V93" s="26"/>
      <c r="W93" s="26"/>
      <c r="X93" s="26"/>
      <c r="Y93" s="26"/>
      <c r="Z93" s="26"/>
      <c r="AA93" s="26"/>
      <c r="AB93" s="26"/>
      <c r="AC93" s="26"/>
    </row>
    <row r="94" ht="33.75" customHeight="1">
      <c r="A94" s="78" t="s">
        <v>193</v>
      </c>
      <c r="B94" s="79" t="s">
        <v>21</v>
      </c>
      <c r="C94" s="79" t="s">
        <v>180</v>
      </c>
      <c r="D94" s="79" t="s">
        <v>190</v>
      </c>
      <c r="E94" s="94" t="s">
        <v>191</v>
      </c>
      <c r="F94" s="95" t="s">
        <v>192</v>
      </c>
      <c r="G94" s="95" t="s">
        <v>168</v>
      </c>
      <c r="H94" s="65" t="s">
        <v>168</v>
      </c>
      <c r="I94" s="65"/>
      <c r="J94" s="95" t="s">
        <v>9</v>
      </c>
      <c r="K94" s="96" t="s">
        <v>9</v>
      </c>
      <c r="L94" s="83">
        <v>1.0</v>
      </c>
      <c r="M94" s="83">
        <f t="shared" ref="M94:M96" si="127">(N94+L94)/2</f>
        <v>1.625</v>
      </c>
      <c r="N94" s="83">
        <v>2.25</v>
      </c>
      <c r="O94" s="68">
        <f t="shared" ref="O94:O96" si="128">IF(COUNT(L94:N94)=0,"",(L94+4*M94+N94)/6)</f>
        <v>1.625</v>
      </c>
      <c r="P94" s="84">
        <v>0.1</v>
      </c>
      <c r="Q94" s="63">
        <f t="shared" ref="Q94:Q96" si="129">IF(O94="","",IF(P94="",O94,O94*(1+P94)))</f>
        <v>1.7875</v>
      </c>
      <c r="R94" s="85">
        <v>4.0</v>
      </c>
      <c r="S94" s="85">
        <v>1.0</v>
      </c>
      <c r="T94" s="65" t="s">
        <v>31</v>
      </c>
      <c r="U94" s="26"/>
      <c r="V94" s="26"/>
      <c r="W94" s="26"/>
      <c r="X94" s="26"/>
      <c r="Y94" s="26"/>
      <c r="Z94" s="26"/>
      <c r="AA94" s="26"/>
      <c r="AB94" s="26"/>
      <c r="AC94" s="26"/>
    </row>
    <row r="95" ht="33.75" customHeight="1">
      <c r="A95" s="78" t="s">
        <v>194</v>
      </c>
      <c r="B95" s="79" t="s">
        <v>21</v>
      </c>
      <c r="C95" s="79" t="s">
        <v>180</v>
      </c>
      <c r="D95" s="79" t="s">
        <v>190</v>
      </c>
      <c r="E95" s="94" t="s">
        <v>191</v>
      </c>
      <c r="F95" s="95" t="s">
        <v>192</v>
      </c>
      <c r="G95" s="95" t="s">
        <v>168</v>
      </c>
      <c r="H95" s="65" t="s">
        <v>168</v>
      </c>
      <c r="I95" s="65"/>
      <c r="J95" s="95" t="s">
        <v>9</v>
      </c>
      <c r="K95" s="96" t="s">
        <v>9</v>
      </c>
      <c r="L95" s="83">
        <v>0.75</v>
      </c>
      <c r="M95" s="83">
        <f t="shared" si="127"/>
        <v>0.875</v>
      </c>
      <c r="N95" s="89">
        <v>1.0</v>
      </c>
      <c r="O95" s="68">
        <f t="shared" si="128"/>
        <v>0.875</v>
      </c>
      <c r="P95" s="84">
        <v>0.1</v>
      </c>
      <c r="Q95" s="63">
        <f t="shared" si="129"/>
        <v>0.9625</v>
      </c>
      <c r="R95" s="85">
        <v>4.0</v>
      </c>
      <c r="S95" s="85">
        <v>1.0</v>
      </c>
      <c r="T95" s="65" t="s">
        <v>32</v>
      </c>
      <c r="U95" s="26"/>
      <c r="V95" s="26"/>
      <c r="W95" s="26"/>
      <c r="X95" s="26"/>
      <c r="Y95" s="26"/>
      <c r="Z95" s="26"/>
      <c r="AA95" s="26"/>
      <c r="AB95" s="26"/>
      <c r="AC95" s="26"/>
    </row>
    <row r="96" ht="33.75" customHeight="1">
      <c r="A96" s="78" t="s">
        <v>195</v>
      </c>
      <c r="B96" s="79" t="s">
        <v>21</v>
      </c>
      <c r="C96" s="79" t="s">
        <v>180</v>
      </c>
      <c r="D96" s="79" t="s">
        <v>190</v>
      </c>
      <c r="E96" s="94" t="s">
        <v>191</v>
      </c>
      <c r="F96" s="95" t="s">
        <v>192</v>
      </c>
      <c r="G96" s="95" t="s">
        <v>168</v>
      </c>
      <c r="H96" s="97" t="s">
        <v>168</v>
      </c>
      <c r="I96" s="65"/>
      <c r="J96" s="95" t="s">
        <v>9</v>
      </c>
      <c r="K96" s="96" t="s">
        <v>9</v>
      </c>
      <c r="L96" s="83">
        <v>0.5</v>
      </c>
      <c r="M96" s="83">
        <f t="shared" si="127"/>
        <v>0.875</v>
      </c>
      <c r="N96" s="83">
        <v>1.25</v>
      </c>
      <c r="O96" s="68">
        <f t="shared" si="128"/>
        <v>0.875</v>
      </c>
      <c r="P96" s="84">
        <v>0.05</v>
      </c>
      <c r="Q96" s="63">
        <f t="shared" si="129"/>
        <v>0.91875</v>
      </c>
      <c r="R96" s="85">
        <v>5.0</v>
      </c>
      <c r="S96" s="85">
        <v>1.0</v>
      </c>
      <c r="T96" s="65" t="s">
        <v>70</v>
      </c>
      <c r="U96" s="26"/>
      <c r="V96" s="26"/>
      <c r="W96" s="26"/>
      <c r="X96" s="26"/>
      <c r="Y96" s="26"/>
      <c r="Z96" s="26"/>
      <c r="AA96" s="26"/>
      <c r="AB96" s="26"/>
      <c r="AC96" s="26"/>
    </row>
    <row r="97" ht="33.75" customHeight="1">
      <c r="A97" s="98" t="s">
        <v>196</v>
      </c>
      <c r="B97" s="99" t="s">
        <v>21</v>
      </c>
      <c r="C97" s="99" t="s">
        <v>180</v>
      </c>
      <c r="D97" s="99" t="s">
        <v>197</v>
      </c>
      <c r="E97" s="99" t="s">
        <v>198</v>
      </c>
      <c r="F97" s="98" t="s">
        <v>199</v>
      </c>
      <c r="G97" s="98" t="s">
        <v>200</v>
      </c>
      <c r="H97" s="98" t="s">
        <v>200</v>
      </c>
      <c r="I97" s="98"/>
      <c r="J97" s="98" t="s">
        <v>12</v>
      </c>
      <c r="K97" s="100" t="s">
        <v>12</v>
      </c>
      <c r="L97" s="101">
        <f t="shared" ref="L97:M97" si="130">IF(COUNT(L98:N100)=0,"",SUM(L98:L100))</f>
        <v>0</v>
      </c>
      <c r="M97" s="102">
        <f t="shared" si="130"/>
        <v>0</v>
      </c>
      <c r="N97" s="101">
        <f>IF(COUNT(L98:N100)=0,"",SUM(N98:N100))</f>
        <v>0</v>
      </c>
      <c r="O97" s="101">
        <f t="shared" ref="O97:O100" si="131">IF(COUNT(L97:N97)=0,"",(L97+4*M97+N97)/6)</f>
        <v>0</v>
      </c>
      <c r="P97" s="103"/>
      <c r="Q97" s="101">
        <f t="shared" ref="Q97:Q100" si="132">IF(O97="","",IF(P97="",O97,O97*(1+P97)))</f>
        <v>0</v>
      </c>
      <c r="R97" s="104"/>
      <c r="S97" s="104"/>
      <c r="T97" s="98" t="s">
        <v>65</v>
      </c>
      <c r="U97" s="26"/>
      <c r="V97" s="26"/>
      <c r="W97" s="26"/>
      <c r="X97" s="105"/>
      <c r="Y97" s="105"/>
      <c r="Z97" s="105"/>
      <c r="AA97" s="105"/>
      <c r="AB97" s="105"/>
      <c r="AC97" s="105"/>
    </row>
    <row r="98" ht="33.75" customHeight="1">
      <c r="A98" s="106" t="s">
        <v>201</v>
      </c>
      <c r="B98" s="107" t="s">
        <v>21</v>
      </c>
      <c r="C98" s="107" t="s">
        <v>180</v>
      </c>
      <c r="D98" s="107" t="s">
        <v>197</v>
      </c>
      <c r="E98" s="107" t="s">
        <v>198</v>
      </c>
      <c r="F98" s="106" t="s">
        <v>199</v>
      </c>
      <c r="G98" s="106" t="s">
        <v>200</v>
      </c>
      <c r="H98" s="106" t="s">
        <v>200</v>
      </c>
      <c r="I98" s="106"/>
      <c r="J98" s="106" t="s">
        <v>12</v>
      </c>
      <c r="K98" s="108" t="s">
        <v>12</v>
      </c>
      <c r="L98" s="109"/>
      <c r="M98" s="109">
        <f t="shared" ref="M98:M100" si="133">(N98+L98)/2</f>
        <v>0</v>
      </c>
      <c r="N98" s="109"/>
      <c r="O98" s="109">
        <f t="shared" si="131"/>
        <v>0</v>
      </c>
      <c r="P98" s="110"/>
      <c r="Q98" s="109">
        <f t="shared" si="132"/>
        <v>0</v>
      </c>
      <c r="R98" s="111"/>
      <c r="S98" s="111"/>
      <c r="T98" s="106" t="s">
        <v>31</v>
      </c>
      <c r="U98" s="26"/>
      <c r="V98" s="26"/>
      <c r="W98" s="26"/>
      <c r="X98" s="26"/>
      <c r="Y98" s="26"/>
      <c r="Z98" s="26"/>
      <c r="AA98" s="26"/>
      <c r="AB98" s="26"/>
      <c r="AC98" s="26"/>
    </row>
    <row r="99" ht="33.75" customHeight="1">
      <c r="A99" s="106" t="s">
        <v>202</v>
      </c>
      <c r="B99" s="107" t="s">
        <v>21</v>
      </c>
      <c r="C99" s="107" t="s">
        <v>180</v>
      </c>
      <c r="D99" s="107" t="s">
        <v>197</v>
      </c>
      <c r="E99" s="107" t="s">
        <v>198</v>
      </c>
      <c r="F99" s="106" t="s">
        <v>199</v>
      </c>
      <c r="G99" s="106" t="s">
        <v>200</v>
      </c>
      <c r="H99" s="106" t="s">
        <v>200</v>
      </c>
      <c r="I99" s="106"/>
      <c r="J99" s="106" t="s">
        <v>12</v>
      </c>
      <c r="K99" s="108" t="s">
        <v>12</v>
      </c>
      <c r="L99" s="109"/>
      <c r="M99" s="109">
        <f t="shared" si="133"/>
        <v>0</v>
      </c>
      <c r="N99" s="109"/>
      <c r="O99" s="109">
        <f t="shared" si="131"/>
        <v>0</v>
      </c>
      <c r="P99" s="110"/>
      <c r="Q99" s="109">
        <f t="shared" si="132"/>
        <v>0</v>
      </c>
      <c r="R99" s="111"/>
      <c r="S99" s="111"/>
      <c r="T99" s="106" t="s">
        <v>32</v>
      </c>
      <c r="U99" s="26"/>
      <c r="V99" s="26"/>
      <c r="W99" s="26"/>
      <c r="X99" s="26"/>
      <c r="Y99" s="26"/>
      <c r="Z99" s="26"/>
      <c r="AA99" s="26"/>
      <c r="AB99" s="26"/>
      <c r="AC99" s="26"/>
    </row>
    <row r="100" ht="33.75" customHeight="1">
      <c r="A100" s="106" t="s">
        <v>203</v>
      </c>
      <c r="B100" s="107" t="s">
        <v>21</v>
      </c>
      <c r="C100" s="107" t="s">
        <v>180</v>
      </c>
      <c r="D100" s="107" t="s">
        <v>197</v>
      </c>
      <c r="E100" s="107" t="s">
        <v>198</v>
      </c>
      <c r="F100" s="106" t="s">
        <v>199</v>
      </c>
      <c r="G100" s="106" t="s">
        <v>200</v>
      </c>
      <c r="H100" s="106" t="s">
        <v>200</v>
      </c>
      <c r="I100" s="106"/>
      <c r="J100" s="106" t="s">
        <v>12</v>
      </c>
      <c r="K100" s="108" t="s">
        <v>12</v>
      </c>
      <c r="L100" s="109"/>
      <c r="M100" s="109">
        <f t="shared" si="133"/>
        <v>0</v>
      </c>
      <c r="N100" s="109"/>
      <c r="O100" s="109">
        <f t="shared" si="131"/>
        <v>0</v>
      </c>
      <c r="P100" s="110"/>
      <c r="Q100" s="109">
        <f t="shared" si="132"/>
        <v>0</v>
      </c>
      <c r="R100" s="111"/>
      <c r="S100" s="111"/>
      <c r="T100" s="106" t="s">
        <v>70</v>
      </c>
      <c r="U100" s="26"/>
      <c r="V100" s="26"/>
      <c r="W100" s="26"/>
      <c r="X100" s="26"/>
      <c r="Y100" s="26"/>
      <c r="Z100" s="26"/>
      <c r="AA100" s="26"/>
      <c r="AB100" s="26"/>
      <c r="AC100" s="26"/>
    </row>
    <row r="101" ht="33.75" customHeight="1">
      <c r="A101" s="112" t="s">
        <v>204</v>
      </c>
      <c r="B101" s="38" t="s">
        <v>21</v>
      </c>
      <c r="C101" s="38" t="s">
        <v>205</v>
      </c>
      <c r="D101" s="38" t="s">
        <v>205</v>
      </c>
      <c r="E101" s="113" t="s">
        <v>206</v>
      </c>
      <c r="F101" s="114"/>
      <c r="G101" s="114"/>
      <c r="H101" s="45"/>
      <c r="I101" s="45"/>
      <c r="J101" s="114"/>
      <c r="K101" s="115"/>
      <c r="L101" s="90">
        <f t="shared" ref="L101:O101" si="134">IF(COUNT(L102,L106,L110)=0,"",SUM(L102,L106,L110))</f>
        <v>3.5</v>
      </c>
      <c r="M101" s="90">
        <f t="shared" si="134"/>
        <v>5.25</v>
      </c>
      <c r="N101" s="90">
        <f t="shared" si="134"/>
        <v>7</v>
      </c>
      <c r="O101" s="90">
        <f t="shared" si="134"/>
        <v>5.25</v>
      </c>
      <c r="P101" s="91"/>
      <c r="Q101" s="90">
        <f>IF(COUNT(Q102,Q106,Q110)=0,"",SUM(Q102,Q106,Q110))</f>
        <v>5.25</v>
      </c>
      <c r="R101" s="92"/>
      <c r="S101" s="92"/>
      <c r="T101" s="45" t="s">
        <v>62</v>
      </c>
      <c r="U101" s="26"/>
      <c r="V101" s="26"/>
      <c r="W101" s="26"/>
      <c r="X101" s="46">
        <f t="shared" ref="X101:AA101" si="135">L101</f>
        <v>3.5</v>
      </c>
      <c r="Y101" s="46">
        <f t="shared" si="135"/>
        <v>5.25</v>
      </c>
      <c r="Z101" s="46">
        <f t="shared" si="135"/>
        <v>7</v>
      </c>
      <c r="AA101" s="46">
        <f t="shared" si="135"/>
        <v>5.25</v>
      </c>
      <c r="AB101" s="26"/>
      <c r="AC101" s="46">
        <f>Q101</f>
        <v>5.25</v>
      </c>
    </row>
    <row r="102" ht="33.75" customHeight="1">
      <c r="A102" s="116" t="s">
        <v>207</v>
      </c>
      <c r="B102" s="77" t="s">
        <v>21</v>
      </c>
      <c r="C102" s="77" t="s">
        <v>205</v>
      </c>
      <c r="D102" s="77" t="s">
        <v>208</v>
      </c>
      <c r="E102" s="117" t="s">
        <v>209</v>
      </c>
      <c r="F102" s="118" t="s">
        <v>210</v>
      </c>
      <c r="G102" s="118" t="s">
        <v>168</v>
      </c>
      <c r="H102" s="119" t="s">
        <v>168</v>
      </c>
      <c r="I102" s="54"/>
      <c r="J102" s="118" t="s">
        <v>9</v>
      </c>
      <c r="K102" s="120" t="s">
        <v>9</v>
      </c>
      <c r="L102" s="80">
        <f t="shared" ref="L102:M102" si="136">IF(COUNT(L103:N105)=0,"",SUM(L103:L105))</f>
        <v>1.25</v>
      </c>
      <c r="M102" s="80">
        <f t="shared" si="136"/>
        <v>1.625</v>
      </c>
      <c r="N102" s="80">
        <f>IF(COUNT(L103:N105)=0,"",SUM(N103:N105))</f>
        <v>2</v>
      </c>
      <c r="O102" s="80">
        <f>IF(COUNT(L102:N102)=0,"",(L102+4*M102+N102)/6)</f>
        <v>1.625</v>
      </c>
      <c r="P102" s="81"/>
      <c r="Q102" s="80">
        <f>IF(O102="","",IF(P102="",O102,O102*(1+P102)))</f>
        <v>1.625</v>
      </c>
      <c r="R102" s="82"/>
      <c r="S102" s="82"/>
      <c r="T102" s="54" t="s">
        <v>65</v>
      </c>
      <c r="U102" s="26"/>
      <c r="V102" s="26"/>
      <c r="W102" s="26"/>
      <c r="X102" s="26"/>
      <c r="Y102" s="26"/>
      <c r="Z102" s="26"/>
      <c r="AA102" s="26"/>
      <c r="AB102" s="26"/>
      <c r="AC102" s="26"/>
    </row>
    <row r="103" ht="33.75" customHeight="1">
      <c r="A103" s="78" t="s">
        <v>211</v>
      </c>
      <c r="B103" s="79" t="s">
        <v>21</v>
      </c>
      <c r="C103" s="79" t="s">
        <v>205</v>
      </c>
      <c r="D103" s="79" t="s">
        <v>208</v>
      </c>
      <c r="E103" s="94" t="s">
        <v>209</v>
      </c>
      <c r="F103" s="95" t="s">
        <v>210</v>
      </c>
      <c r="G103" s="95" t="s">
        <v>168</v>
      </c>
      <c r="H103" s="97" t="s">
        <v>168</v>
      </c>
      <c r="I103" s="65"/>
      <c r="J103" s="95" t="s">
        <v>9</v>
      </c>
      <c r="K103" s="121" t="s">
        <v>9</v>
      </c>
      <c r="L103" s="83">
        <v>0.25</v>
      </c>
      <c r="M103" s="83">
        <f t="shared" ref="M103:M105" si="137">(N103+L103)/2</f>
        <v>0.375</v>
      </c>
      <c r="N103" s="83">
        <v>0.5</v>
      </c>
      <c r="O103" s="68">
        <f t="shared" ref="O103:O105" si="138">IF(COUNT(L103:N103)=0,"",(L103+4*M103+N103)/6)</f>
        <v>0.375</v>
      </c>
      <c r="P103" s="84">
        <v>0.1</v>
      </c>
      <c r="Q103" s="63">
        <f t="shared" ref="Q103:Q113" si="139">IF(O103="","",IF(P103="",O103,O103*(1+P103)))</f>
        <v>0.4125</v>
      </c>
      <c r="R103" s="85">
        <v>4.0</v>
      </c>
      <c r="S103" s="85">
        <v>1.0</v>
      </c>
      <c r="T103" s="65" t="s">
        <v>31</v>
      </c>
      <c r="U103" s="26"/>
      <c r="V103" s="26"/>
      <c r="W103" s="26"/>
      <c r="X103" s="26"/>
      <c r="Y103" s="26"/>
      <c r="Z103" s="26"/>
      <c r="AA103" s="26"/>
      <c r="AB103" s="26"/>
      <c r="AC103" s="26"/>
    </row>
    <row r="104" ht="33.75" customHeight="1">
      <c r="A104" s="78" t="s">
        <v>212</v>
      </c>
      <c r="B104" s="79" t="s">
        <v>21</v>
      </c>
      <c r="C104" s="79" t="s">
        <v>205</v>
      </c>
      <c r="D104" s="79" t="s">
        <v>208</v>
      </c>
      <c r="E104" s="94" t="s">
        <v>209</v>
      </c>
      <c r="F104" s="95" t="s">
        <v>210</v>
      </c>
      <c r="G104" s="95" t="s">
        <v>168</v>
      </c>
      <c r="H104" s="97" t="s">
        <v>168</v>
      </c>
      <c r="I104" s="65"/>
      <c r="J104" s="95" t="s">
        <v>9</v>
      </c>
      <c r="K104" s="121" t="s">
        <v>9</v>
      </c>
      <c r="L104" s="83">
        <v>0.75</v>
      </c>
      <c r="M104" s="83">
        <f t="shared" si="137"/>
        <v>0.875</v>
      </c>
      <c r="N104" s="89">
        <v>1.0</v>
      </c>
      <c r="O104" s="68">
        <f t="shared" si="138"/>
        <v>0.875</v>
      </c>
      <c r="P104" s="84">
        <v>0.1</v>
      </c>
      <c r="Q104" s="63">
        <f t="shared" si="139"/>
        <v>0.9625</v>
      </c>
      <c r="R104" s="85">
        <v>4.0</v>
      </c>
      <c r="S104" s="85">
        <v>1.0</v>
      </c>
      <c r="T104" s="65" t="s">
        <v>32</v>
      </c>
      <c r="U104" s="26"/>
      <c r="V104" s="26"/>
      <c r="W104" s="26"/>
      <c r="X104" s="26"/>
      <c r="Y104" s="26"/>
      <c r="Z104" s="26"/>
      <c r="AA104" s="26"/>
      <c r="AB104" s="26"/>
      <c r="AC104" s="26"/>
    </row>
    <row r="105" ht="33.75" customHeight="1">
      <c r="A105" s="78" t="s">
        <v>213</v>
      </c>
      <c r="B105" s="79" t="s">
        <v>21</v>
      </c>
      <c r="C105" s="79" t="s">
        <v>205</v>
      </c>
      <c r="D105" s="79" t="s">
        <v>208</v>
      </c>
      <c r="E105" s="94" t="s">
        <v>209</v>
      </c>
      <c r="F105" s="95" t="s">
        <v>210</v>
      </c>
      <c r="G105" s="95" t="s">
        <v>168</v>
      </c>
      <c r="H105" s="97" t="s">
        <v>168</v>
      </c>
      <c r="I105" s="65"/>
      <c r="J105" s="95" t="s">
        <v>9</v>
      </c>
      <c r="K105" s="121" t="s">
        <v>9</v>
      </c>
      <c r="L105" s="83">
        <v>0.25</v>
      </c>
      <c r="M105" s="83">
        <f t="shared" si="137"/>
        <v>0.375</v>
      </c>
      <c r="N105" s="83">
        <v>0.5</v>
      </c>
      <c r="O105" s="68">
        <f t="shared" si="138"/>
        <v>0.375</v>
      </c>
      <c r="P105" s="84">
        <v>0.05</v>
      </c>
      <c r="Q105" s="63">
        <f t="shared" si="139"/>
        <v>0.39375</v>
      </c>
      <c r="R105" s="85">
        <v>5.0</v>
      </c>
      <c r="S105" s="85">
        <v>1.0</v>
      </c>
      <c r="T105" s="65" t="s">
        <v>70</v>
      </c>
      <c r="U105" s="26"/>
      <c r="V105" s="26"/>
      <c r="W105" s="26"/>
      <c r="X105" s="26"/>
      <c r="Y105" s="26"/>
      <c r="Z105" s="26"/>
      <c r="AA105" s="26"/>
      <c r="AB105" s="26"/>
      <c r="AC105" s="26"/>
    </row>
    <row r="106" ht="33.75" customHeight="1">
      <c r="A106" s="116" t="s">
        <v>214</v>
      </c>
      <c r="B106" s="77" t="s">
        <v>21</v>
      </c>
      <c r="C106" s="77" t="s">
        <v>205</v>
      </c>
      <c r="D106" s="77" t="s">
        <v>215</v>
      </c>
      <c r="E106" s="117" t="s">
        <v>216</v>
      </c>
      <c r="F106" s="118" t="s">
        <v>217</v>
      </c>
      <c r="G106" s="118" t="s">
        <v>168</v>
      </c>
      <c r="H106" s="119" t="s">
        <v>168</v>
      </c>
      <c r="I106" s="119"/>
      <c r="J106" s="118" t="s">
        <v>9</v>
      </c>
      <c r="K106" s="120" t="s">
        <v>9</v>
      </c>
      <c r="L106" s="86">
        <f t="shared" ref="L106:M106" si="140">IF(COUNT(L107:N109)=0,"",SUM(L107:L109))</f>
        <v>1.25</v>
      </c>
      <c r="M106" s="86">
        <f t="shared" si="140"/>
        <v>1.875</v>
      </c>
      <c r="N106" s="86">
        <f>IF(COUNT(L107:N109)=0,"",SUM(N107:N109))</f>
        <v>2.5</v>
      </c>
      <c r="O106" s="86">
        <f>IF(COUNT(O107:O109)=0,"",SUM(O107:O109))</f>
        <v>1.875</v>
      </c>
      <c r="P106" s="87"/>
      <c r="Q106" s="86">
        <f t="shared" si="139"/>
        <v>1.875</v>
      </c>
      <c r="R106" s="122"/>
      <c r="S106" s="122"/>
      <c r="T106" s="119" t="s">
        <v>65</v>
      </c>
      <c r="U106" s="26"/>
      <c r="V106" s="26"/>
      <c r="W106" s="26"/>
      <c r="X106" s="26"/>
      <c r="Y106" s="26"/>
      <c r="Z106" s="26"/>
      <c r="AA106" s="26"/>
      <c r="AB106" s="26"/>
      <c r="AC106" s="26"/>
    </row>
    <row r="107" ht="33.75" customHeight="1">
      <c r="A107" s="78" t="s">
        <v>218</v>
      </c>
      <c r="B107" s="79" t="s">
        <v>21</v>
      </c>
      <c r="C107" s="79" t="s">
        <v>205</v>
      </c>
      <c r="D107" s="79" t="s">
        <v>215</v>
      </c>
      <c r="E107" s="94" t="s">
        <v>216</v>
      </c>
      <c r="F107" s="95" t="s">
        <v>217</v>
      </c>
      <c r="G107" s="95" t="s">
        <v>168</v>
      </c>
      <c r="H107" s="65" t="s">
        <v>168</v>
      </c>
      <c r="I107" s="65"/>
      <c r="J107" s="95" t="s">
        <v>9</v>
      </c>
      <c r="K107" s="121" t="s">
        <v>9</v>
      </c>
      <c r="L107" s="83">
        <v>0.25</v>
      </c>
      <c r="M107" s="83">
        <f t="shared" ref="M107:M109" si="141">(N107+L107)/2</f>
        <v>0.375</v>
      </c>
      <c r="N107" s="83">
        <v>0.5</v>
      </c>
      <c r="O107" s="68">
        <f t="shared" ref="O107:O109" si="142">IF(COUNT(L107:N107)=0,"",(L107+4*M107+N107)/6)</f>
        <v>0.375</v>
      </c>
      <c r="P107" s="84">
        <v>0.1</v>
      </c>
      <c r="Q107" s="63">
        <f t="shared" si="139"/>
        <v>0.4125</v>
      </c>
      <c r="R107" s="85">
        <v>4.0</v>
      </c>
      <c r="S107" s="85">
        <v>1.0</v>
      </c>
      <c r="T107" s="65" t="s">
        <v>31</v>
      </c>
      <c r="U107" s="26"/>
      <c r="V107" s="26"/>
      <c r="W107" s="26"/>
      <c r="X107" s="26"/>
      <c r="Y107" s="26"/>
      <c r="Z107" s="26"/>
      <c r="AA107" s="26"/>
      <c r="AB107" s="26"/>
      <c r="AC107" s="26"/>
    </row>
    <row r="108" ht="33.75" customHeight="1">
      <c r="A108" s="78" t="s">
        <v>219</v>
      </c>
      <c r="B108" s="79" t="s">
        <v>21</v>
      </c>
      <c r="C108" s="79" t="s">
        <v>205</v>
      </c>
      <c r="D108" s="79" t="s">
        <v>215</v>
      </c>
      <c r="E108" s="94" t="s">
        <v>216</v>
      </c>
      <c r="F108" s="95" t="s">
        <v>217</v>
      </c>
      <c r="G108" s="95" t="s">
        <v>168</v>
      </c>
      <c r="H108" s="97" t="s">
        <v>168</v>
      </c>
      <c r="I108" s="65"/>
      <c r="J108" s="95" t="s">
        <v>9</v>
      </c>
      <c r="K108" s="121" t="s">
        <v>9</v>
      </c>
      <c r="L108" s="83">
        <v>0.75</v>
      </c>
      <c r="M108" s="83">
        <f t="shared" si="141"/>
        <v>1.125</v>
      </c>
      <c r="N108" s="83">
        <v>1.5</v>
      </c>
      <c r="O108" s="68">
        <f t="shared" si="142"/>
        <v>1.125</v>
      </c>
      <c r="P108" s="84">
        <v>0.1</v>
      </c>
      <c r="Q108" s="63">
        <f t="shared" si="139"/>
        <v>1.2375</v>
      </c>
      <c r="R108" s="85">
        <v>4.0</v>
      </c>
      <c r="S108" s="85">
        <v>1.0</v>
      </c>
      <c r="T108" s="65" t="s">
        <v>32</v>
      </c>
      <c r="U108" s="26"/>
      <c r="V108" s="26"/>
      <c r="W108" s="26"/>
      <c r="X108" s="26"/>
      <c r="Y108" s="26"/>
      <c r="Z108" s="26"/>
      <c r="AA108" s="26"/>
      <c r="AB108" s="26"/>
      <c r="AC108" s="26"/>
    </row>
    <row r="109" ht="33.75" customHeight="1">
      <c r="A109" s="78" t="s">
        <v>220</v>
      </c>
      <c r="B109" s="79" t="s">
        <v>21</v>
      </c>
      <c r="C109" s="79" t="s">
        <v>205</v>
      </c>
      <c r="D109" s="79" t="s">
        <v>215</v>
      </c>
      <c r="E109" s="94" t="s">
        <v>216</v>
      </c>
      <c r="F109" s="95" t="s">
        <v>217</v>
      </c>
      <c r="G109" s="95" t="s">
        <v>168</v>
      </c>
      <c r="H109" s="97" t="s">
        <v>168</v>
      </c>
      <c r="I109" s="65"/>
      <c r="J109" s="95" t="s">
        <v>9</v>
      </c>
      <c r="K109" s="121" t="s">
        <v>9</v>
      </c>
      <c r="L109" s="83">
        <v>0.25</v>
      </c>
      <c r="M109" s="83">
        <f t="shared" si="141"/>
        <v>0.375</v>
      </c>
      <c r="N109" s="83">
        <v>0.5</v>
      </c>
      <c r="O109" s="68">
        <f t="shared" si="142"/>
        <v>0.375</v>
      </c>
      <c r="P109" s="84">
        <v>0.05</v>
      </c>
      <c r="Q109" s="63">
        <f t="shared" si="139"/>
        <v>0.39375</v>
      </c>
      <c r="R109" s="85">
        <v>5.0</v>
      </c>
      <c r="S109" s="85">
        <v>1.0</v>
      </c>
      <c r="T109" s="65" t="s">
        <v>70</v>
      </c>
      <c r="U109" s="26"/>
      <c r="V109" s="26"/>
      <c r="W109" s="26"/>
      <c r="X109" s="26"/>
      <c r="Y109" s="26"/>
      <c r="Z109" s="26"/>
      <c r="AA109" s="26"/>
      <c r="AB109" s="26"/>
      <c r="AC109" s="26"/>
    </row>
    <row r="110" ht="33.75" customHeight="1">
      <c r="A110" s="116" t="s">
        <v>221</v>
      </c>
      <c r="B110" s="77" t="s">
        <v>21</v>
      </c>
      <c r="C110" s="77" t="s">
        <v>205</v>
      </c>
      <c r="D110" s="77" t="s">
        <v>222</v>
      </c>
      <c r="E110" s="117" t="s">
        <v>223</v>
      </c>
      <c r="F110" s="118" t="s">
        <v>207</v>
      </c>
      <c r="G110" s="118" t="s">
        <v>154</v>
      </c>
      <c r="H110" s="119" t="s">
        <v>154</v>
      </c>
      <c r="I110" s="54"/>
      <c r="J110" s="118" t="s">
        <v>9</v>
      </c>
      <c r="K110" s="120" t="s">
        <v>9</v>
      </c>
      <c r="L110" s="86">
        <f t="shared" ref="L110:M110" si="143">IF(COUNT(L111:N113)=0,"",SUM(L111:L113))</f>
        <v>1</v>
      </c>
      <c r="M110" s="86">
        <f t="shared" si="143"/>
        <v>1.75</v>
      </c>
      <c r="N110" s="86">
        <f>IF(COUNT(L111:N113)=0,"",SUM(N111:N113))</f>
        <v>2.5</v>
      </c>
      <c r="O110" s="86">
        <f>IF(COUNT(O111:O113)=0,"",SUM(O111:O113))</f>
        <v>1.75</v>
      </c>
      <c r="P110" s="87"/>
      <c r="Q110" s="86">
        <f t="shared" si="139"/>
        <v>1.75</v>
      </c>
      <c r="R110" s="88"/>
      <c r="S110" s="88"/>
      <c r="T110" s="54" t="s">
        <v>65</v>
      </c>
      <c r="U110" s="26"/>
      <c r="V110" s="26"/>
      <c r="W110" s="26"/>
      <c r="X110" s="26"/>
      <c r="Y110" s="26"/>
      <c r="Z110" s="26"/>
      <c r="AA110" s="26"/>
      <c r="AB110" s="26"/>
      <c r="AC110" s="26"/>
    </row>
    <row r="111" ht="33.75" customHeight="1">
      <c r="A111" s="78" t="s">
        <v>224</v>
      </c>
      <c r="B111" s="79" t="s">
        <v>21</v>
      </c>
      <c r="C111" s="79" t="s">
        <v>205</v>
      </c>
      <c r="D111" s="79" t="s">
        <v>222</v>
      </c>
      <c r="E111" s="94" t="s">
        <v>223</v>
      </c>
      <c r="F111" s="95" t="s">
        <v>207</v>
      </c>
      <c r="G111" s="95" t="s">
        <v>154</v>
      </c>
      <c r="H111" s="97" t="s">
        <v>154</v>
      </c>
      <c r="I111" s="65"/>
      <c r="J111" s="95" t="s">
        <v>9</v>
      </c>
      <c r="K111" s="121" t="s">
        <v>9</v>
      </c>
      <c r="L111" s="83">
        <v>0.75</v>
      </c>
      <c r="M111" s="83">
        <f t="shared" ref="M111:M113" si="144">(N111+L111)/2</f>
        <v>1.125</v>
      </c>
      <c r="N111" s="83">
        <v>1.5</v>
      </c>
      <c r="O111" s="68">
        <f t="shared" ref="O111:O113" si="145">IF(COUNT(L111:N111)=0,"",(L111+4*M111+N111)/6)</f>
        <v>1.125</v>
      </c>
      <c r="P111" s="84">
        <v>0.05</v>
      </c>
      <c r="Q111" s="63">
        <f t="shared" si="139"/>
        <v>1.18125</v>
      </c>
      <c r="R111" s="85">
        <v>5.0</v>
      </c>
      <c r="S111" s="85">
        <v>1.0</v>
      </c>
      <c r="T111" s="65" t="s">
        <v>31</v>
      </c>
      <c r="U111" s="26"/>
      <c r="V111" s="26"/>
      <c r="W111" s="26"/>
      <c r="X111" s="26"/>
      <c r="Y111" s="26"/>
      <c r="Z111" s="26"/>
      <c r="AA111" s="26"/>
      <c r="AB111" s="26"/>
      <c r="AC111" s="26"/>
    </row>
    <row r="112" ht="33.75" customHeight="1">
      <c r="A112" s="78" t="s">
        <v>225</v>
      </c>
      <c r="B112" s="79" t="s">
        <v>21</v>
      </c>
      <c r="C112" s="79" t="s">
        <v>205</v>
      </c>
      <c r="D112" s="79" t="s">
        <v>222</v>
      </c>
      <c r="E112" s="94" t="s">
        <v>223</v>
      </c>
      <c r="F112" s="95" t="s">
        <v>207</v>
      </c>
      <c r="G112" s="95" t="s">
        <v>154</v>
      </c>
      <c r="H112" s="97" t="s">
        <v>154</v>
      </c>
      <c r="I112" s="65"/>
      <c r="J112" s="95" t="s">
        <v>9</v>
      </c>
      <c r="K112" s="121" t="s">
        <v>9</v>
      </c>
      <c r="L112" s="83">
        <v>0.0</v>
      </c>
      <c r="M112" s="83">
        <f t="shared" si="144"/>
        <v>0.125</v>
      </c>
      <c r="N112" s="83">
        <v>0.25</v>
      </c>
      <c r="O112" s="68">
        <f t="shared" si="145"/>
        <v>0.125</v>
      </c>
      <c r="P112" s="84">
        <v>0.05</v>
      </c>
      <c r="Q112" s="63">
        <f t="shared" si="139"/>
        <v>0.13125</v>
      </c>
      <c r="R112" s="85">
        <v>5.0</v>
      </c>
      <c r="S112" s="85">
        <v>1.0</v>
      </c>
      <c r="T112" s="65" t="s">
        <v>32</v>
      </c>
      <c r="U112" s="26"/>
      <c r="V112" s="26"/>
      <c r="W112" s="26"/>
      <c r="X112" s="26"/>
      <c r="Y112" s="26"/>
      <c r="Z112" s="26"/>
      <c r="AA112" s="26"/>
      <c r="AB112" s="26"/>
      <c r="AC112" s="26"/>
    </row>
    <row r="113" ht="33.75" customHeight="1">
      <c r="A113" s="78" t="s">
        <v>226</v>
      </c>
      <c r="B113" s="79" t="s">
        <v>21</v>
      </c>
      <c r="C113" s="79" t="s">
        <v>205</v>
      </c>
      <c r="D113" s="79" t="s">
        <v>222</v>
      </c>
      <c r="E113" s="94" t="s">
        <v>223</v>
      </c>
      <c r="F113" s="95" t="s">
        <v>207</v>
      </c>
      <c r="G113" s="95" t="s">
        <v>154</v>
      </c>
      <c r="H113" s="65" t="s">
        <v>154</v>
      </c>
      <c r="I113" s="65"/>
      <c r="J113" s="95" t="s">
        <v>9</v>
      </c>
      <c r="K113" s="121" t="s">
        <v>9</v>
      </c>
      <c r="L113" s="83">
        <v>0.25</v>
      </c>
      <c r="M113" s="83">
        <f t="shared" si="144"/>
        <v>0.5</v>
      </c>
      <c r="N113" s="83">
        <v>0.75</v>
      </c>
      <c r="O113" s="68">
        <f t="shared" si="145"/>
        <v>0.5</v>
      </c>
      <c r="P113" s="84">
        <v>0.05</v>
      </c>
      <c r="Q113" s="63">
        <f t="shared" si="139"/>
        <v>0.525</v>
      </c>
      <c r="R113" s="85">
        <v>5.0</v>
      </c>
      <c r="S113" s="85">
        <v>1.0</v>
      </c>
      <c r="T113" s="65" t="s">
        <v>70</v>
      </c>
      <c r="U113" s="26"/>
      <c r="V113" s="26"/>
      <c r="W113" s="26"/>
      <c r="X113" s="26"/>
      <c r="Y113" s="26"/>
      <c r="Z113" s="26"/>
      <c r="AA113" s="26"/>
      <c r="AB113" s="26"/>
      <c r="AC113" s="26"/>
    </row>
    <row r="114" ht="33.75" customHeight="1">
      <c r="A114" s="112" t="s">
        <v>227</v>
      </c>
      <c r="B114" s="38" t="s">
        <v>21</v>
      </c>
      <c r="C114" s="38" t="s">
        <v>228</v>
      </c>
      <c r="D114" s="38" t="s">
        <v>228</v>
      </c>
      <c r="E114" s="113" t="s">
        <v>229</v>
      </c>
      <c r="F114" s="114"/>
      <c r="G114" s="114"/>
      <c r="H114" s="123"/>
      <c r="I114" s="45"/>
      <c r="J114" s="114"/>
      <c r="K114" s="115"/>
      <c r="L114" s="42">
        <f t="shared" ref="L114:O114" si="146">IF(COUNT(L115,L119,L123,L127)=0,"",SUM(L115,L119,L123,L127))</f>
        <v>6</v>
      </c>
      <c r="M114" s="42">
        <f t="shared" si="146"/>
        <v>10.125</v>
      </c>
      <c r="N114" s="42">
        <f t="shared" si="146"/>
        <v>14.25</v>
      </c>
      <c r="O114" s="42">
        <f t="shared" si="146"/>
        <v>10.125</v>
      </c>
      <c r="P114" s="43"/>
      <c r="Q114" s="42">
        <f>IF(COUNT(Q115,Q119,Q123,Q127)=0,"",SUM(Q115,Q119,Q123,Q127))</f>
        <v>10.125</v>
      </c>
      <c r="R114" s="44"/>
      <c r="S114" s="44"/>
      <c r="T114" s="45" t="s">
        <v>62</v>
      </c>
      <c r="U114" s="26"/>
      <c r="V114" s="26"/>
      <c r="W114" s="26"/>
      <c r="X114" s="46">
        <f t="shared" ref="X114:AA114" si="147">L114</f>
        <v>6</v>
      </c>
      <c r="Y114" s="46">
        <f t="shared" si="147"/>
        <v>10.125</v>
      </c>
      <c r="Z114" s="46">
        <f t="shared" si="147"/>
        <v>14.25</v>
      </c>
      <c r="AA114" s="46">
        <f t="shared" si="147"/>
        <v>10.125</v>
      </c>
      <c r="AB114" s="26"/>
      <c r="AC114" s="46">
        <f>Q114</f>
        <v>10.125</v>
      </c>
    </row>
    <row r="115" ht="33.75" customHeight="1">
      <c r="A115" s="116" t="s">
        <v>230</v>
      </c>
      <c r="B115" s="77" t="s">
        <v>21</v>
      </c>
      <c r="C115" s="77" t="s">
        <v>228</v>
      </c>
      <c r="D115" s="77" t="s">
        <v>231</v>
      </c>
      <c r="E115" s="117" t="s">
        <v>232</v>
      </c>
      <c r="F115" s="118" t="s">
        <v>233</v>
      </c>
      <c r="G115" s="118" t="s">
        <v>154</v>
      </c>
      <c r="H115" s="119" t="s">
        <v>154</v>
      </c>
      <c r="I115" s="54"/>
      <c r="J115" s="118" t="s">
        <v>9</v>
      </c>
      <c r="K115" s="120" t="s">
        <v>9</v>
      </c>
      <c r="L115" s="51">
        <f t="shared" ref="L115:M115" si="148">IF(COUNT(L116:N118)=0,"",SUM(L116:L118))</f>
        <v>1</v>
      </c>
      <c r="M115" s="51">
        <f t="shared" si="148"/>
        <v>1.75</v>
      </c>
      <c r="N115" s="51">
        <f>IF(COUNT(L116:N118)=0,"",SUM(N116:N118))</f>
        <v>2.5</v>
      </c>
      <c r="O115" s="51">
        <f>IF(COUNT(O116:O118)=0,"",SUM(O116:O118))</f>
        <v>1.75</v>
      </c>
      <c r="P115" s="52"/>
      <c r="Q115" s="51">
        <f>IF(O115="","",IF(P115="",O115,O115*(1+P115)))</f>
        <v>1.75</v>
      </c>
      <c r="R115" s="53"/>
      <c r="S115" s="53"/>
      <c r="T115" s="54" t="s">
        <v>65</v>
      </c>
      <c r="U115" s="26"/>
      <c r="V115" s="26"/>
      <c r="W115" s="26"/>
      <c r="X115" s="26"/>
      <c r="Y115" s="26"/>
      <c r="Z115" s="26"/>
      <c r="AA115" s="26"/>
      <c r="AB115" s="26"/>
      <c r="AC115" s="26"/>
    </row>
    <row r="116" ht="33.75" customHeight="1">
      <c r="A116" s="78" t="s">
        <v>234</v>
      </c>
      <c r="B116" s="79" t="s">
        <v>21</v>
      </c>
      <c r="C116" s="79" t="s">
        <v>228</v>
      </c>
      <c r="D116" s="79" t="s">
        <v>231</v>
      </c>
      <c r="E116" s="94" t="s">
        <v>232</v>
      </c>
      <c r="F116" s="95" t="s">
        <v>233</v>
      </c>
      <c r="G116" s="95" t="s">
        <v>154</v>
      </c>
      <c r="H116" s="97" t="s">
        <v>154</v>
      </c>
      <c r="I116" s="65"/>
      <c r="J116" s="95" t="s">
        <v>9</v>
      </c>
      <c r="K116" s="121" t="s">
        <v>9</v>
      </c>
      <c r="L116" s="83">
        <v>0.75</v>
      </c>
      <c r="M116" s="83">
        <f t="shared" ref="M116:M118" si="149">(N116+L116)/2</f>
        <v>1.125</v>
      </c>
      <c r="N116" s="83">
        <v>1.5</v>
      </c>
      <c r="O116" s="68">
        <f t="shared" ref="O116:O118" si="150">IF(COUNT(L116:N116)=0,"",(L116+4*M116+N116)/6)</f>
        <v>1.125</v>
      </c>
      <c r="P116" s="84">
        <v>0.15</v>
      </c>
      <c r="Q116" s="63">
        <f t="shared" ref="Q116:Q130" si="151">IF(O116="","",IF(P116="",O116,O116*(1+P116)))</f>
        <v>1.29375</v>
      </c>
      <c r="R116" s="85">
        <v>3.0</v>
      </c>
      <c r="S116" s="85">
        <v>3.0</v>
      </c>
      <c r="T116" s="65" t="s">
        <v>31</v>
      </c>
      <c r="U116" s="26"/>
      <c r="V116" s="26"/>
      <c r="W116" s="26"/>
      <c r="X116" s="26"/>
      <c r="Y116" s="26"/>
      <c r="Z116" s="26"/>
      <c r="AA116" s="26"/>
      <c r="AB116" s="26"/>
      <c r="AC116" s="26"/>
    </row>
    <row r="117" ht="33.75" customHeight="1">
      <c r="A117" s="78" t="s">
        <v>235</v>
      </c>
      <c r="B117" s="79" t="s">
        <v>21</v>
      </c>
      <c r="C117" s="79" t="s">
        <v>228</v>
      </c>
      <c r="D117" s="79" t="s">
        <v>231</v>
      </c>
      <c r="E117" s="94" t="s">
        <v>232</v>
      </c>
      <c r="F117" s="95" t="s">
        <v>233</v>
      </c>
      <c r="G117" s="95" t="s">
        <v>154</v>
      </c>
      <c r="H117" s="97" t="s">
        <v>154</v>
      </c>
      <c r="I117" s="65"/>
      <c r="J117" s="95" t="s">
        <v>9</v>
      </c>
      <c r="K117" s="121" t="s">
        <v>9</v>
      </c>
      <c r="L117" s="83">
        <v>0.0</v>
      </c>
      <c r="M117" s="83">
        <f t="shared" si="149"/>
        <v>0.125</v>
      </c>
      <c r="N117" s="83">
        <v>0.25</v>
      </c>
      <c r="O117" s="68">
        <f t="shared" si="150"/>
        <v>0.125</v>
      </c>
      <c r="P117" s="84">
        <v>0.2</v>
      </c>
      <c r="Q117" s="63">
        <f t="shared" si="151"/>
        <v>0.15</v>
      </c>
      <c r="R117" s="85">
        <v>3.0</v>
      </c>
      <c r="S117" s="85">
        <v>3.0</v>
      </c>
      <c r="T117" s="65" t="s">
        <v>32</v>
      </c>
      <c r="U117" s="26"/>
      <c r="V117" s="26"/>
      <c r="W117" s="26"/>
      <c r="X117" s="26"/>
      <c r="Y117" s="26"/>
      <c r="Z117" s="26"/>
      <c r="AA117" s="26"/>
      <c r="AB117" s="26"/>
      <c r="AC117" s="26"/>
    </row>
    <row r="118" ht="33.75" customHeight="1">
      <c r="A118" s="78" t="s">
        <v>236</v>
      </c>
      <c r="B118" s="79" t="s">
        <v>21</v>
      </c>
      <c r="C118" s="79" t="s">
        <v>228</v>
      </c>
      <c r="D118" s="79" t="s">
        <v>231</v>
      </c>
      <c r="E118" s="94" t="s">
        <v>232</v>
      </c>
      <c r="F118" s="95" t="s">
        <v>233</v>
      </c>
      <c r="G118" s="95" t="s">
        <v>154</v>
      </c>
      <c r="H118" s="65" t="s">
        <v>154</v>
      </c>
      <c r="I118" s="65"/>
      <c r="J118" s="95" t="s">
        <v>9</v>
      </c>
      <c r="K118" s="121" t="s">
        <v>9</v>
      </c>
      <c r="L118" s="83">
        <v>0.25</v>
      </c>
      <c r="M118" s="83">
        <f t="shared" si="149"/>
        <v>0.5</v>
      </c>
      <c r="N118" s="83">
        <v>0.75</v>
      </c>
      <c r="O118" s="68">
        <f t="shared" si="150"/>
        <v>0.5</v>
      </c>
      <c r="P118" s="84">
        <v>0.09999999999999999</v>
      </c>
      <c r="Q118" s="63">
        <f t="shared" si="151"/>
        <v>0.55</v>
      </c>
      <c r="R118" s="85">
        <v>4.0</v>
      </c>
      <c r="S118" s="85">
        <v>2.0</v>
      </c>
      <c r="T118" s="65" t="s">
        <v>70</v>
      </c>
      <c r="U118" s="26"/>
      <c r="V118" s="26"/>
      <c r="W118" s="26"/>
      <c r="X118" s="26"/>
      <c r="Y118" s="26"/>
      <c r="Z118" s="26"/>
      <c r="AA118" s="26"/>
      <c r="AB118" s="26"/>
      <c r="AC118" s="26"/>
    </row>
    <row r="119" ht="33.75" customHeight="1">
      <c r="A119" s="116" t="s">
        <v>237</v>
      </c>
      <c r="B119" s="77" t="s">
        <v>21</v>
      </c>
      <c r="C119" s="77" t="s">
        <v>228</v>
      </c>
      <c r="D119" s="77" t="s">
        <v>238</v>
      </c>
      <c r="E119" s="117" t="s">
        <v>239</v>
      </c>
      <c r="F119" s="118" t="s">
        <v>233</v>
      </c>
      <c r="G119" s="118" t="s">
        <v>168</v>
      </c>
      <c r="H119" s="119" t="s">
        <v>168</v>
      </c>
      <c r="I119" s="54"/>
      <c r="J119" s="118" t="s">
        <v>9</v>
      </c>
      <c r="K119" s="120" t="s">
        <v>9</v>
      </c>
      <c r="L119" s="86">
        <f t="shared" ref="L119:M119" si="152">IF(COUNT(L120:N122)=0,"",SUM(L120:L122))</f>
        <v>1.75</v>
      </c>
      <c r="M119" s="86">
        <f t="shared" si="152"/>
        <v>2.75</v>
      </c>
      <c r="N119" s="86">
        <f>IF(COUNT(L120:N122)=0,"",SUM(N120:N122))</f>
        <v>3.75</v>
      </c>
      <c r="O119" s="86">
        <f>IF(COUNT(O120:O122)=0,"",SUM(O120:O122))</f>
        <v>2.75</v>
      </c>
      <c r="P119" s="87"/>
      <c r="Q119" s="86">
        <f t="shared" si="151"/>
        <v>2.75</v>
      </c>
      <c r="R119" s="88"/>
      <c r="S119" s="88"/>
      <c r="T119" s="54" t="s">
        <v>65</v>
      </c>
      <c r="U119" s="26"/>
      <c r="V119" s="26"/>
      <c r="W119" s="26"/>
      <c r="X119" s="26"/>
      <c r="Y119" s="26"/>
      <c r="Z119" s="26"/>
      <c r="AA119" s="26"/>
      <c r="AB119" s="26"/>
      <c r="AC119" s="26"/>
    </row>
    <row r="120" ht="33.75" customHeight="1">
      <c r="A120" s="78" t="s">
        <v>240</v>
      </c>
      <c r="B120" s="79" t="s">
        <v>21</v>
      </c>
      <c r="C120" s="79" t="s">
        <v>228</v>
      </c>
      <c r="D120" s="79" t="s">
        <v>241</v>
      </c>
      <c r="E120" s="94" t="s">
        <v>239</v>
      </c>
      <c r="F120" s="95" t="s">
        <v>233</v>
      </c>
      <c r="G120" s="95" t="s">
        <v>168</v>
      </c>
      <c r="H120" s="97" t="s">
        <v>168</v>
      </c>
      <c r="I120" s="65"/>
      <c r="J120" s="95" t="s">
        <v>9</v>
      </c>
      <c r="K120" s="121" t="s">
        <v>9</v>
      </c>
      <c r="L120" s="83">
        <v>0.75</v>
      </c>
      <c r="M120" s="83">
        <f t="shared" ref="M120:M122" si="153">(N120+L120)/2</f>
        <v>1.25</v>
      </c>
      <c r="N120" s="83">
        <v>1.75</v>
      </c>
      <c r="O120" s="68">
        <f t="shared" ref="O120:O122" si="154">IF(COUNT(L120:N120)=0,"",(L120+4*M120+N120)/6)</f>
        <v>1.25</v>
      </c>
      <c r="P120" s="84">
        <v>0.15</v>
      </c>
      <c r="Q120" s="63">
        <f t="shared" si="151"/>
        <v>1.4375</v>
      </c>
      <c r="R120" s="85">
        <v>3.0</v>
      </c>
      <c r="S120" s="85">
        <v>3.0</v>
      </c>
      <c r="T120" s="65" t="s">
        <v>31</v>
      </c>
      <c r="U120" s="26"/>
      <c r="V120" s="26"/>
      <c r="W120" s="26"/>
      <c r="X120" s="26"/>
      <c r="Y120" s="26"/>
      <c r="Z120" s="26"/>
      <c r="AA120" s="26"/>
      <c r="AB120" s="26"/>
      <c r="AC120" s="26"/>
    </row>
    <row r="121" ht="33.75" customHeight="1">
      <c r="A121" s="78" t="s">
        <v>242</v>
      </c>
      <c r="B121" s="79" t="s">
        <v>21</v>
      </c>
      <c r="C121" s="79" t="s">
        <v>228</v>
      </c>
      <c r="D121" s="79" t="s">
        <v>241</v>
      </c>
      <c r="E121" s="94" t="s">
        <v>239</v>
      </c>
      <c r="F121" s="95" t="s">
        <v>233</v>
      </c>
      <c r="G121" s="95" t="s">
        <v>168</v>
      </c>
      <c r="H121" s="65" t="s">
        <v>168</v>
      </c>
      <c r="I121" s="65"/>
      <c r="J121" s="95" t="s">
        <v>9</v>
      </c>
      <c r="K121" s="121" t="s">
        <v>9</v>
      </c>
      <c r="L121" s="83">
        <v>0.5</v>
      </c>
      <c r="M121" s="83">
        <f t="shared" si="153"/>
        <v>0.75</v>
      </c>
      <c r="N121" s="89">
        <v>1.0</v>
      </c>
      <c r="O121" s="68">
        <f t="shared" si="154"/>
        <v>0.75</v>
      </c>
      <c r="P121" s="84">
        <v>0.2</v>
      </c>
      <c r="Q121" s="63">
        <f t="shared" si="151"/>
        <v>0.9</v>
      </c>
      <c r="R121" s="85">
        <v>3.0</v>
      </c>
      <c r="S121" s="85">
        <v>3.0</v>
      </c>
      <c r="T121" s="65" t="s">
        <v>32</v>
      </c>
      <c r="U121" s="26"/>
      <c r="V121" s="26"/>
      <c r="W121" s="26"/>
      <c r="X121" s="26"/>
      <c r="Y121" s="26"/>
      <c r="Z121" s="26"/>
      <c r="AA121" s="26"/>
      <c r="AB121" s="26"/>
      <c r="AC121" s="26"/>
    </row>
    <row r="122" ht="33.75" customHeight="1">
      <c r="A122" s="78" t="s">
        <v>243</v>
      </c>
      <c r="B122" s="79" t="s">
        <v>21</v>
      </c>
      <c r="C122" s="79" t="s">
        <v>228</v>
      </c>
      <c r="D122" s="79" t="s">
        <v>241</v>
      </c>
      <c r="E122" s="94" t="s">
        <v>239</v>
      </c>
      <c r="F122" s="95" t="s">
        <v>233</v>
      </c>
      <c r="G122" s="95" t="s">
        <v>168</v>
      </c>
      <c r="H122" s="97" t="s">
        <v>168</v>
      </c>
      <c r="I122" s="65"/>
      <c r="J122" s="95" t="s">
        <v>9</v>
      </c>
      <c r="K122" s="121" t="s">
        <v>9</v>
      </c>
      <c r="L122" s="83">
        <v>0.5</v>
      </c>
      <c r="M122" s="83">
        <f t="shared" si="153"/>
        <v>0.75</v>
      </c>
      <c r="N122" s="83">
        <v>1.0</v>
      </c>
      <c r="O122" s="68">
        <f t="shared" si="154"/>
        <v>0.75</v>
      </c>
      <c r="P122" s="84">
        <v>0.09999999999999999</v>
      </c>
      <c r="Q122" s="63">
        <f t="shared" si="151"/>
        <v>0.825</v>
      </c>
      <c r="R122" s="85">
        <v>4.0</v>
      </c>
      <c r="S122" s="85">
        <v>2.0</v>
      </c>
      <c r="T122" s="65" t="s">
        <v>70</v>
      </c>
      <c r="U122" s="26"/>
      <c r="V122" s="26"/>
      <c r="W122" s="26"/>
      <c r="X122" s="26"/>
      <c r="Y122" s="26"/>
      <c r="Z122" s="26"/>
      <c r="AA122" s="26"/>
      <c r="AB122" s="26"/>
      <c r="AC122" s="26"/>
    </row>
    <row r="123" ht="33.75" customHeight="1">
      <c r="A123" s="116" t="s">
        <v>244</v>
      </c>
      <c r="B123" s="77" t="s">
        <v>21</v>
      </c>
      <c r="C123" s="77" t="s">
        <v>228</v>
      </c>
      <c r="D123" s="77" t="s">
        <v>245</v>
      </c>
      <c r="E123" s="117" t="s">
        <v>246</v>
      </c>
      <c r="F123" s="118" t="s">
        <v>237</v>
      </c>
      <c r="G123" s="118" t="s">
        <v>168</v>
      </c>
      <c r="H123" s="119" t="s">
        <v>168</v>
      </c>
      <c r="I123" s="54"/>
      <c r="J123" s="118" t="s">
        <v>9</v>
      </c>
      <c r="K123" s="120" t="s">
        <v>9</v>
      </c>
      <c r="L123" s="86">
        <f t="shared" ref="L123:M123" si="155">IF(COUNT(L124:N126)=0,"",SUM(L124:L126))</f>
        <v>2.25</v>
      </c>
      <c r="M123" s="86">
        <f t="shared" si="155"/>
        <v>3.875</v>
      </c>
      <c r="N123" s="86">
        <f>IF(COUNT(L124:N126)=0,"",SUM(N124:N126))</f>
        <v>5.5</v>
      </c>
      <c r="O123" s="86">
        <f>IF(COUNT(O124:O126)=0,"",SUM(O124:O126))</f>
        <v>3.875</v>
      </c>
      <c r="P123" s="87"/>
      <c r="Q123" s="86">
        <f t="shared" si="151"/>
        <v>3.875</v>
      </c>
      <c r="R123" s="88"/>
      <c r="S123" s="88"/>
      <c r="T123" s="54" t="s">
        <v>65</v>
      </c>
      <c r="U123" s="26"/>
      <c r="V123" s="26"/>
      <c r="W123" s="26"/>
      <c r="X123" s="26"/>
      <c r="Y123" s="26"/>
      <c r="Z123" s="26"/>
      <c r="AA123" s="26"/>
      <c r="AB123" s="26"/>
      <c r="AC123" s="26"/>
    </row>
    <row r="124" ht="33.75" customHeight="1">
      <c r="A124" s="78" t="s">
        <v>247</v>
      </c>
      <c r="B124" s="79" t="s">
        <v>21</v>
      </c>
      <c r="C124" s="79" t="s">
        <v>228</v>
      </c>
      <c r="D124" s="79" t="s">
        <v>245</v>
      </c>
      <c r="E124" s="94" t="s">
        <v>246</v>
      </c>
      <c r="F124" s="95" t="s">
        <v>237</v>
      </c>
      <c r="G124" s="95" t="s">
        <v>168</v>
      </c>
      <c r="H124" s="97" t="s">
        <v>168</v>
      </c>
      <c r="I124" s="65"/>
      <c r="J124" s="95" t="s">
        <v>9</v>
      </c>
      <c r="K124" s="121" t="s">
        <v>9</v>
      </c>
      <c r="L124" s="83">
        <v>1.0</v>
      </c>
      <c r="M124" s="83">
        <f t="shared" ref="M124:M126" si="156">(N124+L124)/2</f>
        <v>1.625</v>
      </c>
      <c r="N124" s="83">
        <v>2.25</v>
      </c>
      <c r="O124" s="68">
        <f t="shared" ref="O124:O126" si="157">IF(COUNT(L124:N124)=0,"",(L124+4*M124+N124)/6)</f>
        <v>1.625</v>
      </c>
      <c r="P124" s="84">
        <v>0.15</v>
      </c>
      <c r="Q124" s="63">
        <f t="shared" si="151"/>
        <v>1.86875</v>
      </c>
      <c r="R124" s="85">
        <v>4.0</v>
      </c>
      <c r="S124" s="85">
        <v>2.0</v>
      </c>
      <c r="T124" s="65" t="s">
        <v>31</v>
      </c>
      <c r="U124" s="26"/>
      <c r="V124" s="26"/>
      <c r="W124" s="26"/>
      <c r="X124" s="26"/>
      <c r="Y124" s="26"/>
      <c r="Z124" s="26"/>
      <c r="AA124" s="26"/>
      <c r="AB124" s="26"/>
      <c r="AC124" s="26"/>
    </row>
    <row r="125" ht="33.75" customHeight="1">
      <c r="A125" s="78" t="s">
        <v>248</v>
      </c>
      <c r="B125" s="79" t="s">
        <v>21</v>
      </c>
      <c r="C125" s="79" t="s">
        <v>228</v>
      </c>
      <c r="D125" s="79" t="s">
        <v>245</v>
      </c>
      <c r="E125" s="94" t="s">
        <v>246</v>
      </c>
      <c r="F125" s="95" t="s">
        <v>237</v>
      </c>
      <c r="G125" s="95" t="s">
        <v>168</v>
      </c>
      <c r="H125" s="97" t="s">
        <v>168</v>
      </c>
      <c r="I125" s="65"/>
      <c r="J125" s="95" t="s">
        <v>9</v>
      </c>
      <c r="K125" s="121" t="s">
        <v>9</v>
      </c>
      <c r="L125" s="83">
        <v>0.75</v>
      </c>
      <c r="M125" s="83">
        <f t="shared" si="156"/>
        <v>1.375</v>
      </c>
      <c r="N125" s="83">
        <v>2.0</v>
      </c>
      <c r="O125" s="68">
        <f t="shared" si="157"/>
        <v>1.375</v>
      </c>
      <c r="P125" s="84">
        <v>0.15</v>
      </c>
      <c r="Q125" s="63">
        <f t="shared" si="151"/>
        <v>1.58125</v>
      </c>
      <c r="R125" s="85">
        <v>4.0</v>
      </c>
      <c r="S125" s="85">
        <v>2.0</v>
      </c>
      <c r="T125" s="65" t="s">
        <v>32</v>
      </c>
      <c r="U125" s="26"/>
      <c r="V125" s="26"/>
      <c r="W125" s="26"/>
      <c r="X125" s="26"/>
      <c r="Y125" s="26"/>
      <c r="Z125" s="26"/>
      <c r="AA125" s="26"/>
      <c r="AB125" s="26"/>
      <c r="AC125" s="26"/>
    </row>
    <row r="126" ht="33.75" customHeight="1">
      <c r="A126" s="78" t="s">
        <v>249</v>
      </c>
      <c r="B126" s="79" t="s">
        <v>21</v>
      </c>
      <c r="C126" s="79" t="s">
        <v>228</v>
      </c>
      <c r="D126" s="79" t="s">
        <v>245</v>
      </c>
      <c r="E126" s="94" t="s">
        <v>246</v>
      </c>
      <c r="F126" s="95" t="s">
        <v>237</v>
      </c>
      <c r="G126" s="95" t="s">
        <v>168</v>
      </c>
      <c r="H126" s="97" t="s">
        <v>168</v>
      </c>
      <c r="I126" s="65"/>
      <c r="J126" s="95" t="s">
        <v>9</v>
      </c>
      <c r="K126" s="121" t="s">
        <v>9</v>
      </c>
      <c r="L126" s="83">
        <v>0.5</v>
      </c>
      <c r="M126" s="83">
        <f t="shared" si="156"/>
        <v>0.875</v>
      </c>
      <c r="N126" s="83">
        <v>1.25</v>
      </c>
      <c r="O126" s="68">
        <f t="shared" si="157"/>
        <v>0.875</v>
      </c>
      <c r="P126" s="84">
        <v>0.09999999999999999</v>
      </c>
      <c r="Q126" s="63">
        <f t="shared" si="151"/>
        <v>0.9625</v>
      </c>
      <c r="R126" s="85">
        <v>5.0</v>
      </c>
      <c r="S126" s="85">
        <v>1.0</v>
      </c>
      <c r="T126" s="65" t="s">
        <v>70</v>
      </c>
      <c r="U126" s="26"/>
      <c r="V126" s="26"/>
      <c r="W126" s="26"/>
      <c r="X126" s="26"/>
      <c r="Y126" s="26"/>
      <c r="Z126" s="26"/>
      <c r="AA126" s="26"/>
      <c r="AB126" s="26"/>
      <c r="AC126" s="26"/>
    </row>
    <row r="127" ht="33.75" customHeight="1">
      <c r="A127" s="116" t="s">
        <v>250</v>
      </c>
      <c r="B127" s="77" t="s">
        <v>21</v>
      </c>
      <c r="C127" s="77" t="s">
        <v>228</v>
      </c>
      <c r="D127" s="77" t="s">
        <v>251</v>
      </c>
      <c r="E127" s="117" t="s">
        <v>252</v>
      </c>
      <c r="F127" s="118" t="s">
        <v>253</v>
      </c>
      <c r="G127" s="118" t="s">
        <v>154</v>
      </c>
      <c r="H127" s="54" t="s">
        <v>154</v>
      </c>
      <c r="I127" s="54"/>
      <c r="J127" s="118" t="s">
        <v>9</v>
      </c>
      <c r="K127" s="120" t="s">
        <v>9</v>
      </c>
      <c r="L127" s="86">
        <f t="shared" ref="L127:M127" si="158">IF(COUNT(L128:N130)=0,"",SUM(L128:L130))</f>
        <v>1</v>
      </c>
      <c r="M127" s="86">
        <f t="shared" si="158"/>
        <v>1.75</v>
      </c>
      <c r="N127" s="86">
        <f>IF(COUNT(L128:N130)=0,"",SUM(N128:N130))</f>
        <v>2.5</v>
      </c>
      <c r="O127" s="86">
        <f>IF(COUNT(O128:O130)=0,"",SUM(O128:O130))</f>
        <v>1.75</v>
      </c>
      <c r="P127" s="87"/>
      <c r="Q127" s="86">
        <f t="shared" si="151"/>
        <v>1.75</v>
      </c>
      <c r="R127" s="88"/>
      <c r="S127" s="88"/>
      <c r="T127" s="54" t="s">
        <v>65</v>
      </c>
      <c r="U127" s="26"/>
      <c r="V127" s="26"/>
      <c r="W127" s="26"/>
      <c r="X127" s="26"/>
      <c r="Y127" s="26"/>
      <c r="Z127" s="26"/>
      <c r="AA127" s="26"/>
      <c r="AB127" s="26"/>
      <c r="AC127" s="26"/>
    </row>
    <row r="128" ht="33.75" customHeight="1">
      <c r="A128" s="78" t="s">
        <v>254</v>
      </c>
      <c r="B128" s="79" t="s">
        <v>21</v>
      </c>
      <c r="C128" s="79" t="s">
        <v>228</v>
      </c>
      <c r="D128" s="79" t="s">
        <v>251</v>
      </c>
      <c r="E128" s="94" t="s">
        <v>252</v>
      </c>
      <c r="F128" s="95" t="s">
        <v>253</v>
      </c>
      <c r="G128" s="95" t="s">
        <v>154</v>
      </c>
      <c r="H128" s="97" t="s">
        <v>154</v>
      </c>
      <c r="I128" s="65"/>
      <c r="J128" s="95" t="s">
        <v>9</v>
      </c>
      <c r="K128" s="121" t="s">
        <v>9</v>
      </c>
      <c r="L128" s="83">
        <v>0.75</v>
      </c>
      <c r="M128" s="83">
        <f t="shared" ref="M128:M130" si="159">(N128+L128)/2</f>
        <v>1.125</v>
      </c>
      <c r="N128" s="83">
        <v>1.5</v>
      </c>
      <c r="O128" s="68">
        <f t="shared" ref="O128:O130" si="160">IF(COUNT(L128:N128)=0,"",(L128+4*M128+N128)/6)</f>
        <v>1.125</v>
      </c>
      <c r="P128" s="84">
        <v>0.1</v>
      </c>
      <c r="Q128" s="63">
        <f t="shared" si="151"/>
        <v>1.2375</v>
      </c>
      <c r="R128" s="85">
        <v>4.0</v>
      </c>
      <c r="S128" s="85">
        <v>1.0</v>
      </c>
      <c r="T128" s="65" t="s">
        <v>31</v>
      </c>
      <c r="U128" s="26"/>
      <c r="V128" s="26"/>
      <c r="W128" s="26"/>
      <c r="X128" s="26"/>
      <c r="Y128" s="26"/>
      <c r="Z128" s="26"/>
      <c r="AA128" s="26"/>
      <c r="AB128" s="26"/>
      <c r="AC128" s="26"/>
    </row>
    <row r="129" ht="33.75" customHeight="1">
      <c r="A129" s="78" t="s">
        <v>255</v>
      </c>
      <c r="B129" s="79" t="s">
        <v>21</v>
      </c>
      <c r="C129" s="79" t="s">
        <v>228</v>
      </c>
      <c r="D129" s="79" t="s">
        <v>251</v>
      </c>
      <c r="E129" s="94" t="s">
        <v>252</v>
      </c>
      <c r="F129" s="95" t="s">
        <v>253</v>
      </c>
      <c r="G129" s="95" t="s">
        <v>154</v>
      </c>
      <c r="H129" s="97" t="s">
        <v>154</v>
      </c>
      <c r="I129" s="65"/>
      <c r="J129" s="95" t="s">
        <v>9</v>
      </c>
      <c r="K129" s="121" t="s">
        <v>9</v>
      </c>
      <c r="L129" s="83">
        <v>0.0</v>
      </c>
      <c r="M129" s="83">
        <f t="shared" si="159"/>
        <v>0.125</v>
      </c>
      <c r="N129" s="83">
        <v>0.25</v>
      </c>
      <c r="O129" s="68">
        <f t="shared" si="160"/>
        <v>0.125</v>
      </c>
      <c r="P129" s="84">
        <v>0.1</v>
      </c>
      <c r="Q129" s="63">
        <f t="shared" si="151"/>
        <v>0.1375</v>
      </c>
      <c r="R129" s="85">
        <v>4.0</v>
      </c>
      <c r="S129" s="85">
        <v>1.0</v>
      </c>
      <c r="T129" s="65" t="s">
        <v>32</v>
      </c>
      <c r="U129" s="26"/>
      <c r="V129" s="26"/>
      <c r="W129" s="26"/>
      <c r="X129" s="26"/>
      <c r="Y129" s="26"/>
      <c r="Z129" s="26"/>
      <c r="AA129" s="26"/>
      <c r="AB129" s="26"/>
      <c r="AC129" s="26"/>
    </row>
    <row r="130" ht="33.75" customHeight="1">
      <c r="A130" s="78" t="s">
        <v>256</v>
      </c>
      <c r="B130" s="79" t="s">
        <v>21</v>
      </c>
      <c r="C130" s="79" t="s">
        <v>228</v>
      </c>
      <c r="D130" s="79" t="s">
        <v>251</v>
      </c>
      <c r="E130" s="94" t="s">
        <v>252</v>
      </c>
      <c r="F130" s="95" t="s">
        <v>253</v>
      </c>
      <c r="G130" s="95" t="s">
        <v>154</v>
      </c>
      <c r="H130" s="97" t="s">
        <v>154</v>
      </c>
      <c r="I130" s="65"/>
      <c r="J130" s="95" t="s">
        <v>9</v>
      </c>
      <c r="K130" s="121" t="s">
        <v>9</v>
      </c>
      <c r="L130" s="83">
        <v>0.25</v>
      </c>
      <c r="M130" s="83">
        <f t="shared" si="159"/>
        <v>0.5</v>
      </c>
      <c r="N130" s="83">
        <v>0.75</v>
      </c>
      <c r="O130" s="68">
        <f t="shared" si="160"/>
        <v>0.5</v>
      </c>
      <c r="P130" s="84">
        <v>0.05</v>
      </c>
      <c r="Q130" s="63">
        <f t="shared" si="151"/>
        <v>0.525</v>
      </c>
      <c r="R130" s="85">
        <v>5.0</v>
      </c>
      <c r="S130" s="85">
        <v>1.0</v>
      </c>
      <c r="T130" s="65" t="s">
        <v>70</v>
      </c>
      <c r="U130" s="26"/>
      <c r="V130" s="26"/>
      <c r="W130" s="26"/>
      <c r="X130" s="26"/>
      <c r="Y130" s="26"/>
      <c r="Z130" s="26"/>
      <c r="AA130" s="26"/>
      <c r="AB130" s="26"/>
      <c r="AC130" s="26"/>
    </row>
    <row r="131" ht="33.75" customHeight="1">
      <c r="A131" s="112" t="s">
        <v>257</v>
      </c>
      <c r="B131" s="38" t="s">
        <v>21</v>
      </c>
      <c r="C131" s="38" t="s">
        <v>258</v>
      </c>
      <c r="D131" s="38" t="s">
        <v>258</v>
      </c>
      <c r="E131" s="113" t="s">
        <v>259</v>
      </c>
      <c r="F131" s="114"/>
      <c r="G131" s="114"/>
      <c r="H131" s="123"/>
      <c r="I131" s="123"/>
      <c r="J131" s="114"/>
      <c r="K131" s="115"/>
      <c r="L131" s="42">
        <f t="shared" ref="L131:O131" si="161">IF(COUNT(L132,L136)=0,"",SUM(L132,L136))</f>
        <v>0</v>
      </c>
      <c r="M131" s="42">
        <f t="shared" si="161"/>
        <v>0</v>
      </c>
      <c r="N131" s="42">
        <f t="shared" si="161"/>
        <v>0</v>
      </c>
      <c r="O131" s="42">
        <f t="shared" si="161"/>
        <v>0</v>
      </c>
      <c r="P131" s="124"/>
      <c r="Q131" s="125">
        <f t="shared" ref="Q131:Q143" si="164">IF(O131="","",IF(P131="",O131,O131*(1+P131)))</f>
        <v>0</v>
      </c>
      <c r="R131" s="126"/>
      <c r="S131" s="126"/>
      <c r="T131" s="123" t="s">
        <v>62</v>
      </c>
      <c r="U131" s="26"/>
      <c r="V131" s="26"/>
      <c r="W131" s="26"/>
      <c r="X131" s="46">
        <f t="shared" ref="X131:AA131" si="162">L131</f>
        <v>0</v>
      </c>
      <c r="Y131" s="46">
        <f t="shared" si="162"/>
        <v>0</v>
      </c>
      <c r="Z131" s="46">
        <f t="shared" si="162"/>
        <v>0</v>
      </c>
      <c r="AA131" s="46">
        <f t="shared" si="162"/>
        <v>0</v>
      </c>
      <c r="AB131" s="26"/>
      <c r="AC131" s="46">
        <f>Q131</f>
        <v>0</v>
      </c>
    </row>
    <row r="132" ht="33.75" customHeight="1">
      <c r="A132" s="98" t="s">
        <v>260</v>
      </c>
      <c r="B132" s="99" t="s">
        <v>21</v>
      </c>
      <c r="C132" s="99" t="s">
        <v>258</v>
      </c>
      <c r="D132" s="99" t="s">
        <v>261</v>
      </c>
      <c r="E132" s="99" t="s">
        <v>262</v>
      </c>
      <c r="F132" s="98" t="s">
        <v>263</v>
      </c>
      <c r="G132" s="98" t="s">
        <v>200</v>
      </c>
      <c r="H132" s="98" t="s">
        <v>200</v>
      </c>
      <c r="I132" s="98"/>
      <c r="J132" s="98" t="s">
        <v>12</v>
      </c>
      <c r="K132" s="100" t="s">
        <v>12</v>
      </c>
      <c r="L132" s="101">
        <f t="shared" ref="L132:M132" si="163">IF(COUNT(L133:N135)=0,"",SUM(L133:L135))</f>
        <v>0</v>
      </c>
      <c r="M132" s="102">
        <f t="shared" si="163"/>
        <v>0</v>
      </c>
      <c r="N132" s="101">
        <f>IF(COUNT(L133:N135)=0,"",SUM(N133:N135))</f>
        <v>0</v>
      </c>
      <c r="O132" s="101">
        <f>IF(COUNT(O133:O135)=0,"",SUM(O133:O135))</f>
        <v>0</v>
      </c>
      <c r="P132" s="103"/>
      <c r="Q132" s="101">
        <f t="shared" si="164"/>
        <v>0</v>
      </c>
      <c r="R132" s="104"/>
      <c r="S132" s="104"/>
      <c r="T132" s="98" t="s">
        <v>65</v>
      </c>
      <c r="U132" s="26"/>
      <c r="V132" s="26"/>
      <c r="W132" s="26"/>
      <c r="X132" s="105"/>
      <c r="Y132" s="105"/>
      <c r="Z132" s="105"/>
      <c r="AA132" s="105"/>
      <c r="AB132" s="105"/>
      <c r="AC132" s="105"/>
    </row>
    <row r="133" ht="33.75" customHeight="1">
      <c r="A133" s="106" t="s">
        <v>264</v>
      </c>
      <c r="B133" s="107" t="s">
        <v>21</v>
      </c>
      <c r="C133" s="107" t="s">
        <v>258</v>
      </c>
      <c r="D133" s="107" t="s">
        <v>261</v>
      </c>
      <c r="E133" s="107" t="s">
        <v>262</v>
      </c>
      <c r="F133" s="106" t="s">
        <v>263</v>
      </c>
      <c r="G133" s="106" t="s">
        <v>200</v>
      </c>
      <c r="H133" s="106" t="s">
        <v>200</v>
      </c>
      <c r="I133" s="106"/>
      <c r="J133" s="106" t="s">
        <v>12</v>
      </c>
      <c r="K133" s="108" t="s">
        <v>12</v>
      </c>
      <c r="L133" s="109"/>
      <c r="M133" s="109">
        <f t="shared" ref="M133:M135" si="165">(N133+L133)/2</f>
        <v>0</v>
      </c>
      <c r="N133" s="109"/>
      <c r="O133" s="109">
        <f t="shared" ref="O133:O135" si="166">IF(COUNT(L133:N133)=0,"",(L133+4*M133+N133)/6)</f>
        <v>0</v>
      </c>
      <c r="P133" s="110"/>
      <c r="Q133" s="109">
        <f t="shared" si="164"/>
        <v>0</v>
      </c>
      <c r="R133" s="111"/>
      <c r="S133" s="111"/>
      <c r="T133" s="106" t="s">
        <v>31</v>
      </c>
      <c r="U133" s="26"/>
      <c r="V133" s="26"/>
      <c r="W133" s="26"/>
      <c r="X133" s="26"/>
      <c r="Y133" s="26"/>
      <c r="Z133" s="26"/>
      <c r="AA133" s="26"/>
      <c r="AB133" s="26"/>
      <c r="AC133" s="26"/>
    </row>
    <row r="134" ht="33.75" customHeight="1">
      <c r="A134" s="106" t="s">
        <v>265</v>
      </c>
      <c r="B134" s="107" t="s">
        <v>21</v>
      </c>
      <c r="C134" s="107" t="s">
        <v>258</v>
      </c>
      <c r="D134" s="107" t="s">
        <v>261</v>
      </c>
      <c r="E134" s="107" t="s">
        <v>262</v>
      </c>
      <c r="F134" s="106" t="s">
        <v>263</v>
      </c>
      <c r="G134" s="106" t="s">
        <v>200</v>
      </c>
      <c r="H134" s="106" t="s">
        <v>200</v>
      </c>
      <c r="I134" s="106"/>
      <c r="J134" s="106" t="s">
        <v>12</v>
      </c>
      <c r="K134" s="108" t="s">
        <v>12</v>
      </c>
      <c r="L134" s="109"/>
      <c r="M134" s="109">
        <f t="shared" si="165"/>
        <v>0</v>
      </c>
      <c r="N134" s="109"/>
      <c r="O134" s="109">
        <f t="shared" si="166"/>
        <v>0</v>
      </c>
      <c r="P134" s="110"/>
      <c r="Q134" s="109">
        <f t="shared" si="164"/>
        <v>0</v>
      </c>
      <c r="R134" s="111"/>
      <c r="S134" s="111"/>
      <c r="T134" s="106" t="s">
        <v>32</v>
      </c>
      <c r="U134" s="26"/>
      <c r="V134" s="26"/>
      <c r="W134" s="26"/>
      <c r="X134" s="26"/>
      <c r="Y134" s="26"/>
      <c r="Z134" s="26"/>
      <c r="AA134" s="26"/>
      <c r="AB134" s="26"/>
      <c r="AC134" s="26"/>
    </row>
    <row r="135" ht="33.75" customHeight="1">
      <c r="A135" s="106" t="s">
        <v>266</v>
      </c>
      <c r="B135" s="107" t="s">
        <v>21</v>
      </c>
      <c r="C135" s="107" t="s">
        <v>258</v>
      </c>
      <c r="D135" s="107" t="s">
        <v>261</v>
      </c>
      <c r="E135" s="107" t="s">
        <v>262</v>
      </c>
      <c r="F135" s="106" t="s">
        <v>263</v>
      </c>
      <c r="G135" s="106" t="s">
        <v>200</v>
      </c>
      <c r="H135" s="106" t="s">
        <v>200</v>
      </c>
      <c r="I135" s="106"/>
      <c r="J135" s="106" t="s">
        <v>12</v>
      </c>
      <c r="K135" s="108" t="s">
        <v>12</v>
      </c>
      <c r="L135" s="109"/>
      <c r="M135" s="109">
        <f t="shared" si="165"/>
        <v>0</v>
      </c>
      <c r="N135" s="109"/>
      <c r="O135" s="109">
        <f t="shared" si="166"/>
        <v>0</v>
      </c>
      <c r="P135" s="110"/>
      <c r="Q135" s="109">
        <f t="shared" si="164"/>
        <v>0</v>
      </c>
      <c r="R135" s="111"/>
      <c r="S135" s="111"/>
      <c r="T135" s="106" t="s">
        <v>70</v>
      </c>
      <c r="U135" s="26"/>
      <c r="V135" s="26"/>
      <c r="W135" s="26"/>
      <c r="X135" s="26"/>
      <c r="Y135" s="26"/>
      <c r="Z135" s="26"/>
      <c r="AA135" s="26"/>
      <c r="AB135" s="26"/>
      <c r="AC135" s="26"/>
    </row>
    <row r="136" ht="33.75" customHeight="1">
      <c r="A136" s="98" t="s">
        <v>267</v>
      </c>
      <c r="B136" s="99" t="s">
        <v>21</v>
      </c>
      <c r="C136" s="99" t="s">
        <v>258</v>
      </c>
      <c r="D136" s="99" t="s">
        <v>268</v>
      </c>
      <c r="E136" s="99" t="s">
        <v>269</v>
      </c>
      <c r="F136" s="98" t="s">
        <v>260</v>
      </c>
      <c r="G136" s="98" t="s">
        <v>168</v>
      </c>
      <c r="H136" s="98" t="s">
        <v>168</v>
      </c>
      <c r="I136" s="98"/>
      <c r="J136" s="98" t="s">
        <v>12</v>
      </c>
      <c r="K136" s="100" t="s">
        <v>12</v>
      </c>
      <c r="L136" s="101">
        <f t="shared" ref="L136:M136" si="167">IF(COUNT(L137:N139)=0,"",SUM(L137:L139))</f>
        <v>0</v>
      </c>
      <c r="M136" s="102">
        <f t="shared" si="167"/>
        <v>0</v>
      </c>
      <c r="N136" s="101">
        <f>IF(COUNT(L137:N139)=0,"",SUM(N137:N139))</f>
        <v>0</v>
      </c>
      <c r="O136" s="101">
        <f>IF(COUNT(O137:O139)=0,"",SUM(O137:O139))</f>
        <v>0</v>
      </c>
      <c r="P136" s="103"/>
      <c r="Q136" s="101">
        <f t="shared" si="164"/>
        <v>0</v>
      </c>
      <c r="R136" s="104"/>
      <c r="S136" s="104"/>
      <c r="T136" s="98" t="s">
        <v>65</v>
      </c>
      <c r="U136" s="26"/>
      <c r="V136" s="26"/>
      <c r="W136" s="26"/>
      <c r="X136" s="105"/>
      <c r="Y136" s="105"/>
      <c r="Z136" s="105"/>
      <c r="AA136" s="105"/>
      <c r="AB136" s="105"/>
      <c r="AC136" s="105"/>
    </row>
    <row r="137" ht="33.75" customHeight="1">
      <c r="A137" s="106" t="s">
        <v>270</v>
      </c>
      <c r="B137" s="107" t="s">
        <v>21</v>
      </c>
      <c r="C137" s="107" t="s">
        <v>258</v>
      </c>
      <c r="D137" s="107" t="s">
        <v>268</v>
      </c>
      <c r="E137" s="107" t="s">
        <v>269</v>
      </c>
      <c r="F137" s="106" t="s">
        <v>260</v>
      </c>
      <c r="G137" s="106" t="s">
        <v>168</v>
      </c>
      <c r="H137" s="106" t="s">
        <v>168</v>
      </c>
      <c r="I137" s="106"/>
      <c r="J137" s="106" t="s">
        <v>12</v>
      </c>
      <c r="K137" s="108" t="s">
        <v>12</v>
      </c>
      <c r="L137" s="109"/>
      <c r="M137" s="109">
        <f t="shared" ref="M137:M139" si="168">(N137+L137)/2</f>
        <v>0</v>
      </c>
      <c r="N137" s="109"/>
      <c r="O137" s="109">
        <f t="shared" ref="O137:O139" si="169">IF(COUNT(L137:N137)=0,"",(L137+4*M137+N137)/6)</f>
        <v>0</v>
      </c>
      <c r="P137" s="110"/>
      <c r="Q137" s="109">
        <f t="shared" si="164"/>
        <v>0</v>
      </c>
      <c r="R137" s="111"/>
      <c r="S137" s="111"/>
      <c r="T137" s="106" t="s">
        <v>31</v>
      </c>
      <c r="U137" s="26"/>
      <c r="V137" s="26"/>
      <c r="W137" s="26"/>
      <c r="X137" s="26"/>
      <c r="Y137" s="26"/>
      <c r="Z137" s="26"/>
      <c r="AA137" s="26"/>
      <c r="AB137" s="26"/>
      <c r="AC137" s="26"/>
    </row>
    <row r="138" ht="33.75" customHeight="1">
      <c r="A138" s="106" t="s">
        <v>271</v>
      </c>
      <c r="B138" s="107" t="s">
        <v>21</v>
      </c>
      <c r="C138" s="107" t="s">
        <v>258</v>
      </c>
      <c r="D138" s="107" t="s">
        <v>268</v>
      </c>
      <c r="E138" s="107" t="s">
        <v>269</v>
      </c>
      <c r="F138" s="106" t="s">
        <v>260</v>
      </c>
      <c r="G138" s="106" t="s">
        <v>168</v>
      </c>
      <c r="H138" s="106" t="s">
        <v>168</v>
      </c>
      <c r="I138" s="106"/>
      <c r="J138" s="106" t="s">
        <v>12</v>
      </c>
      <c r="K138" s="108" t="s">
        <v>12</v>
      </c>
      <c r="L138" s="109"/>
      <c r="M138" s="109">
        <f t="shared" si="168"/>
        <v>0</v>
      </c>
      <c r="N138" s="109"/>
      <c r="O138" s="109">
        <f t="shared" si="169"/>
        <v>0</v>
      </c>
      <c r="P138" s="110"/>
      <c r="Q138" s="109">
        <f t="shared" si="164"/>
        <v>0</v>
      </c>
      <c r="R138" s="111"/>
      <c r="S138" s="111"/>
      <c r="T138" s="106" t="s">
        <v>32</v>
      </c>
      <c r="U138" s="26"/>
      <c r="V138" s="26"/>
      <c r="W138" s="26"/>
      <c r="X138" s="26"/>
      <c r="Y138" s="26"/>
      <c r="Z138" s="26"/>
      <c r="AA138" s="26"/>
      <c r="AB138" s="26"/>
      <c r="AC138" s="26"/>
    </row>
    <row r="139" ht="33.75" customHeight="1">
      <c r="A139" s="106" t="s">
        <v>272</v>
      </c>
      <c r="B139" s="107" t="s">
        <v>21</v>
      </c>
      <c r="C139" s="107" t="s">
        <v>258</v>
      </c>
      <c r="D139" s="107" t="s">
        <v>268</v>
      </c>
      <c r="E139" s="107" t="s">
        <v>269</v>
      </c>
      <c r="F139" s="106" t="s">
        <v>260</v>
      </c>
      <c r="G139" s="106" t="s">
        <v>168</v>
      </c>
      <c r="H139" s="106" t="s">
        <v>168</v>
      </c>
      <c r="I139" s="106"/>
      <c r="J139" s="106" t="s">
        <v>12</v>
      </c>
      <c r="K139" s="108" t="s">
        <v>12</v>
      </c>
      <c r="L139" s="109"/>
      <c r="M139" s="109">
        <f t="shared" si="168"/>
        <v>0</v>
      </c>
      <c r="N139" s="109"/>
      <c r="O139" s="109">
        <f t="shared" si="169"/>
        <v>0</v>
      </c>
      <c r="P139" s="110"/>
      <c r="Q139" s="109">
        <f t="shared" si="164"/>
        <v>0</v>
      </c>
      <c r="R139" s="111"/>
      <c r="S139" s="111"/>
      <c r="T139" s="106" t="s">
        <v>70</v>
      </c>
      <c r="U139" s="26"/>
      <c r="V139" s="26"/>
      <c r="W139" s="26"/>
      <c r="X139" s="26"/>
      <c r="Y139" s="26"/>
      <c r="Z139" s="26"/>
      <c r="AA139" s="26"/>
      <c r="AB139" s="26"/>
      <c r="AC139" s="26"/>
    </row>
    <row r="140" ht="33.75" customHeight="1">
      <c r="A140" s="127" t="s">
        <v>273</v>
      </c>
      <c r="B140" s="77" t="s">
        <v>21</v>
      </c>
      <c r="C140" s="77" t="s">
        <v>274</v>
      </c>
      <c r="D140" s="70" t="s">
        <v>275</v>
      </c>
      <c r="E140" s="117" t="s">
        <v>276</v>
      </c>
      <c r="F140" s="118" t="s">
        <v>277</v>
      </c>
      <c r="G140" s="118" t="s">
        <v>168</v>
      </c>
      <c r="H140" s="54" t="s">
        <v>168</v>
      </c>
      <c r="I140" s="54"/>
      <c r="J140" s="118" t="s">
        <v>9</v>
      </c>
      <c r="K140" s="120" t="s">
        <v>9</v>
      </c>
      <c r="L140" s="51">
        <f t="shared" ref="L140:M140" si="170">IF(COUNT(L141:N143)=0,"",SUM(L141:L143))</f>
        <v>0.75</v>
      </c>
      <c r="M140" s="51">
        <f t="shared" si="170"/>
        <v>1.125</v>
      </c>
      <c r="N140" s="51">
        <f>IF(COUNT(L141:N143)=0,"",SUM(N141:N143))</f>
        <v>1.5</v>
      </c>
      <c r="O140" s="51">
        <f>IF(COUNT(O141:O143)=0,"",SUM(O141:O143))</f>
        <v>1.125</v>
      </c>
      <c r="P140" s="52"/>
      <c r="Q140" s="51">
        <f t="shared" si="164"/>
        <v>1.125</v>
      </c>
      <c r="R140" s="53"/>
      <c r="S140" s="53"/>
      <c r="T140" s="54" t="s">
        <v>65</v>
      </c>
      <c r="U140" s="26"/>
      <c r="V140" s="26"/>
      <c r="W140" s="26"/>
      <c r="X140" s="26"/>
      <c r="Y140" s="26"/>
      <c r="Z140" s="26"/>
      <c r="AA140" s="26"/>
      <c r="AB140" s="26"/>
      <c r="AC140" s="26"/>
    </row>
    <row r="141" ht="33.75" customHeight="1">
      <c r="A141" s="78" t="s">
        <v>278</v>
      </c>
      <c r="B141" s="79" t="s">
        <v>21</v>
      </c>
      <c r="C141" s="79" t="s">
        <v>274</v>
      </c>
      <c r="D141" s="56" t="s">
        <v>275</v>
      </c>
      <c r="E141" s="94" t="s">
        <v>276</v>
      </c>
      <c r="F141" s="95" t="s">
        <v>277</v>
      </c>
      <c r="G141" s="95" t="s">
        <v>168</v>
      </c>
      <c r="H141" s="97" t="s">
        <v>168</v>
      </c>
      <c r="I141" s="65"/>
      <c r="J141" s="95" t="s">
        <v>9</v>
      </c>
      <c r="K141" s="121" t="s">
        <v>9</v>
      </c>
      <c r="L141" s="128">
        <v>0.25</v>
      </c>
      <c r="M141" s="129">
        <f t="shared" ref="M141:M143" si="171">(N141+L141)/2</f>
        <v>0.375</v>
      </c>
      <c r="N141" s="128">
        <v>0.5</v>
      </c>
      <c r="O141" s="130">
        <f t="shared" ref="O141:O143" si="172">IF(COUNT(L141:N141)=0,"",(L141+4*M141+N141)/6)</f>
        <v>0.375</v>
      </c>
      <c r="P141" s="84">
        <v>0.1</v>
      </c>
      <c r="Q141" s="131">
        <f t="shared" si="164"/>
        <v>0.4125</v>
      </c>
      <c r="R141" s="132"/>
      <c r="S141" s="132"/>
      <c r="T141" s="65" t="s">
        <v>31</v>
      </c>
      <c r="U141" s="26"/>
      <c r="V141" s="26"/>
      <c r="W141" s="26"/>
      <c r="X141" s="26"/>
      <c r="Y141" s="26"/>
      <c r="Z141" s="26"/>
      <c r="AA141" s="26"/>
      <c r="AB141" s="26"/>
      <c r="AC141" s="26"/>
    </row>
    <row r="142" ht="33.75" customHeight="1">
      <c r="A142" s="78" t="s">
        <v>279</v>
      </c>
      <c r="B142" s="79" t="s">
        <v>21</v>
      </c>
      <c r="C142" s="79" t="s">
        <v>274</v>
      </c>
      <c r="D142" s="56" t="s">
        <v>275</v>
      </c>
      <c r="E142" s="94" t="s">
        <v>276</v>
      </c>
      <c r="F142" s="95" t="s">
        <v>277</v>
      </c>
      <c r="G142" s="95" t="s">
        <v>168</v>
      </c>
      <c r="H142" s="97" t="s">
        <v>168</v>
      </c>
      <c r="I142" s="65"/>
      <c r="J142" s="95" t="s">
        <v>9</v>
      </c>
      <c r="K142" s="121" t="s">
        <v>9</v>
      </c>
      <c r="L142" s="128">
        <v>0.25</v>
      </c>
      <c r="M142" s="129">
        <f t="shared" si="171"/>
        <v>0.375</v>
      </c>
      <c r="N142" s="128">
        <v>0.5</v>
      </c>
      <c r="O142" s="130">
        <f t="shared" si="172"/>
        <v>0.375</v>
      </c>
      <c r="P142" s="84">
        <v>0.1</v>
      </c>
      <c r="Q142" s="131">
        <f t="shared" si="164"/>
        <v>0.4125</v>
      </c>
      <c r="R142" s="132"/>
      <c r="S142" s="132"/>
      <c r="T142" s="65" t="s">
        <v>32</v>
      </c>
      <c r="U142" s="26"/>
      <c r="V142" s="26"/>
      <c r="W142" s="26"/>
      <c r="X142" s="26"/>
      <c r="Y142" s="26"/>
      <c r="Z142" s="26"/>
      <c r="AA142" s="26"/>
      <c r="AB142" s="26"/>
      <c r="AC142" s="26"/>
    </row>
    <row r="143" ht="33.75" customHeight="1">
      <c r="A143" s="133" t="s">
        <v>280</v>
      </c>
      <c r="B143" s="79" t="s">
        <v>21</v>
      </c>
      <c r="C143" s="79" t="s">
        <v>274</v>
      </c>
      <c r="D143" s="56" t="s">
        <v>275</v>
      </c>
      <c r="E143" s="94" t="s">
        <v>276</v>
      </c>
      <c r="F143" s="95" t="s">
        <v>277</v>
      </c>
      <c r="G143" s="95" t="s">
        <v>168</v>
      </c>
      <c r="H143" s="97" t="s">
        <v>168</v>
      </c>
      <c r="I143" s="65"/>
      <c r="J143" s="95" t="s">
        <v>9</v>
      </c>
      <c r="K143" s="121" t="s">
        <v>9</v>
      </c>
      <c r="L143" s="128">
        <v>0.25</v>
      </c>
      <c r="M143" s="129">
        <f t="shared" si="171"/>
        <v>0.375</v>
      </c>
      <c r="N143" s="128">
        <v>0.5</v>
      </c>
      <c r="O143" s="130">
        <f t="shared" si="172"/>
        <v>0.375</v>
      </c>
      <c r="P143" s="84">
        <v>0.1</v>
      </c>
      <c r="Q143" s="131">
        <f t="shared" si="164"/>
        <v>0.4125</v>
      </c>
      <c r="R143" s="132"/>
      <c r="S143" s="132"/>
      <c r="T143" s="65" t="s">
        <v>70</v>
      </c>
      <c r="U143" s="26"/>
      <c r="V143" s="26"/>
      <c r="W143" s="26"/>
      <c r="X143" s="26"/>
      <c r="Y143" s="26"/>
      <c r="Z143" s="26"/>
      <c r="AA143" s="26"/>
      <c r="AB143" s="26"/>
      <c r="AC143" s="26"/>
    </row>
    <row r="144" ht="33.75" customHeight="1">
      <c r="A144" s="112" t="s">
        <v>281</v>
      </c>
      <c r="B144" s="38" t="s">
        <v>21</v>
      </c>
      <c r="C144" s="38" t="s">
        <v>274</v>
      </c>
      <c r="D144" s="38" t="s">
        <v>274</v>
      </c>
      <c r="E144" s="113" t="s">
        <v>282</v>
      </c>
      <c r="F144" s="114"/>
      <c r="G144" s="114"/>
      <c r="H144" s="123"/>
      <c r="I144" s="45"/>
      <c r="J144" s="114"/>
      <c r="K144" s="115"/>
      <c r="L144" s="42">
        <f t="shared" ref="L144:O144" si="173">IF(COUNT(L145,L149)=0,"",SUM(L145,L149))</f>
        <v>0.75</v>
      </c>
      <c r="M144" s="42">
        <f t="shared" si="173"/>
        <v>1.125</v>
      </c>
      <c r="N144" s="42">
        <f t="shared" si="173"/>
        <v>1.5</v>
      </c>
      <c r="O144" s="42">
        <f t="shared" si="173"/>
        <v>1.125</v>
      </c>
      <c r="P144" s="43"/>
      <c r="Q144" s="42">
        <f>IF(COUNT(Q145,Q149)=0,"",SUM(Q145,Q149))</f>
        <v>1.125</v>
      </c>
      <c r="R144" s="44"/>
      <c r="S144" s="44"/>
      <c r="T144" s="45" t="s">
        <v>62</v>
      </c>
      <c r="U144" s="26"/>
      <c r="V144" s="26"/>
      <c r="W144" s="26"/>
      <c r="X144" s="46">
        <f t="shared" ref="X144:AA144" si="174">L144</f>
        <v>0.75</v>
      </c>
      <c r="Y144" s="46">
        <f t="shared" si="174"/>
        <v>1.125</v>
      </c>
      <c r="Z144" s="46">
        <f t="shared" si="174"/>
        <v>1.5</v>
      </c>
      <c r="AA144" s="46">
        <f t="shared" si="174"/>
        <v>1.125</v>
      </c>
      <c r="AB144" s="26"/>
      <c r="AC144" s="46">
        <f>Q144</f>
        <v>1.125</v>
      </c>
    </row>
    <row r="145" ht="33.75" customHeight="1">
      <c r="A145" s="116" t="s">
        <v>283</v>
      </c>
      <c r="B145" s="77" t="s">
        <v>21</v>
      </c>
      <c r="C145" s="77" t="s">
        <v>274</v>
      </c>
      <c r="D145" s="77" t="s">
        <v>284</v>
      </c>
      <c r="E145" s="117" t="s">
        <v>276</v>
      </c>
      <c r="F145" s="118" t="s">
        <v>277</v>
      </c>
      <c r="G145" s="118" t="s">
        <v>168</v>
      </c>
      <c r="H145" s="54" t="s">
        <v>168</v>
      </c>
      <c r="I145" s="54"/>
      <c r="J145" s="118" t="s">
        <v>9</v>
      </c>
      <c r="K145" s="120" t="s">
        <v>9</v>
      </c>
      <c r="L145" s="51">
        <f t="shared" ref="L145:M145" si="175">IF(COUNT(L146:N148)=0,"",SUM(L146:L148))</f>
        <v>0.75</v>
      </c>
      <c r="M145" s="51">
        <f t="shared" si="175"/>
        <v>1.125</v>
      </c>
      <c r="N145" s="51">
        <f>IF(COUNT(L146:N148)=0,"",SUM(N146:N148))</f>
        <v>1.5</v>
      </c>
      <c r="O145" s="51">
        <f>IF(COUNT(O146:O148)=0,"",SUM(O146:O148))</f>
        <v>1.125</v>
      </c>
      <c r="P145" s="52"/>
      <c r="Q145" s="51">
        <f t="shared" ref="Q145:Q152" si="176">IF(O145="","",IF(P145="",O145,O145*(1+P145)))</f>
        <v>1.125</v>
      </c>
      <c r="R145" s="53"/>
      <c r="S145" s="53"/>
      <c r="T145" s="54" t="s">
        <v>65</v>
      </c>
      <c r="U145" s="26"/>
      <c r="V145" s="26"/>
      <c r="W145" s="26"/>
      <c r="X145" s="26"/>
      <c r="Y145" s="26"/>
      <c r="Z145" s="26"/>
      <c r="AA145" s="26"/>
      <c r="AB145" s="26"/>
      <c r="AC145" s="26"/>
    </row>
    <row r="146" ht="33.75" customHeight="1">
      <c r="A146" s="78" t="s">
        <v>285</v>
      </c>
      <c r="B146" s="79" t="s">
        <v>21</v>
      </c>
      <c r="C146" s="79" t="s">
        <v>274</v>
      </c>
      <c r="D146" s="79" t="s">
        <v>284</v>
      </c>
      <c r="E146" s="94" t="s">
        <v>276</v>
      </c>
      <c r="F146" s="95" t="s">
        <v>277</v>
      </c>
      <c r="G146" s="95" t="s">
        <v>168</v>
      </c>
      <c r="H146" s="97" t="s">
        <v>168</v>
      </c>
      <c r="I146" s="65"/>
      <c r="J146" s="95" t="s">
        <v>9</v>
      </c>
      <c r="K146" s="121" t="s">
        <v>9</v>
      </c>
      <c r="L146" s="128">
        <v>0.25</v>
      </c>
      <c r="M146" s="129">
        <f t="shared" ref="M146:M148" si="177">(N146+L146)/2</f>
        <v>0.375</v>
      </c>
      <c r="N146" s="128">
        <v>0.5</v>
      </c>
      <c r="O146" s="130">
        <f t="shared" ref="O146:O148" si="178">IF(COUNT(L146:N146)=0,"",(L146+4*M146+N146)/6)</f>
        <v>0.375</v>
      </c>
      <c r="P146" s="84">
        <v>0.1</v>
      </c>
      <c r="Q146" s="131">
        <f t="shared" si="176"/>
        <v>0.4125</v>
      </c>
      <c r="R146" s="132"/>
      <c r="S146" s="132"/>
      <c r="T146" s="65" t="s">
        <v>31</v>
      </c>
      <c r="U146" s="26"/>
      <c r="V146" s="26"/>
      <c r="W146" s="26"/>
      <c r="X146" s="26"/>
      <c r="Y146" s="26"/>
      <c r="Z146" s="26"/>
      <c r="AA146" s="26"/>
      <c r="AB146" s="26"/>
      <c r="AC146" s="26"/>
    </row>
    <row r="147" ht="33.75" customHeight="1">
      <c r="A147" s="78" t="s">
        <v>286</v>
      </c>
      <c r="B147" s="79" t="s">
        <v>21</v>
      </c>
      <c r="C147" s="79" t="s">
        <v>274</v>
      </c>
      <c r="D147" s="79" t="s">
        <v>284</v>
      </c>
      <c r="E147" s="94" t="s">
        <v>276</v>
      </c>
      <c r="F147" s="95" t="s">
        <v>277</v>
      </c>
      <c r="G147" s="95" t="s">
        <v>168</v>
      </c>
      <c r="H147" s="97" t="s">
        <v>168</v>
      </c>
      <c r="I147" s="65"/>
      <c r="J147" s="95" t="s">
        <v>9</v>
      </c>
      <c r="K147" s="121" t="s">
        <v>9</v>
      </c>
      <c r="L147" s="128">
        <v>0.25</v>
      </c>
      <c r="M147" s="129">
        <f t="shared" si="177"/>
        <v>0.375</v>
      </c>
      <c r="N147" s="128">
        <v>0.5</v>
      </c>
      <c r="O147" s="130">
        <f t="shared" si="178"/>
        <v>0.375</v>
      </c>
      <c r="P147" s="84">
        <v>0.1</v>
      </c>
      <c r="Q147" s="131">
        <f t="shared" si="176"/>
        <v>0.4125</v>
      </c>
      <c r="R147" s="132"/>
      <c r="S147" s="132"/>
      <c r="T147" s="65" t="s">
        <v>32</v>
      </c>
      <c r="U147" s="26"/>
      <c r="V147" s="26"/>
      <c r="W147" s="26"/>
      <c r="X147" s="26"/>
      <c r="Y147" s="26"/>
      <c r="Z147" s="26"/>
      <c r="AA147" s="26"/>
      <c r="AB147" s="26"/>
      <c r="AC147" s="26"/>
    </row>
    <row r="148" ht="33.75" customHeight="1">
      <c r="A148" s="78" t="s">
        <v>287</v>
      </c>
      <c r="B148" s="79" t="s">
        <v>21</v>
      </c>
      <c r="C148" s="79" t="s">
        <v>274</v>
      </c>
      <c r="D148" s="79" t="s">
        <v>284</v>
      </c>
      <c r="E148" s="94" t="s">
        <v>276</v>
      </c>
      <c r="F148" s="95" t="s">
        <v>277</v>
      </c>
      <c r="G148" s="95" t="s">
        <v>168</v>
      </c>
      <c r="H148" s="97" t="s">
        <v>168</v>
      </c>
      <c r="I148" s="65"/>
      <c r="J148" s="95" t="s">
        <v>9</v>
      </c>
      <c r="K148" s="121" t="s">
        <v>9</v>
      </c>
      <c r="L148" s="128">
        <v>0.25</v>
      </c>
      <c r="M148" s="129">
        <f t="shared" si="177"/>
        <v>0.375</v>
      </c>
      <c r="N148" s="128">
        <v>0.5</v>
      </c>
      <c r="O148" s="130">
        <f t="shared" si="178"/>
        <v>0.375</v>
      </c>
      <c r="P148" s="84">
        <v>0.1</v>
      </c>
      <c r="Q148" s="131">
        <f t="shared" si="176"/>
        <v>0.4125</v>
      </c>
      <c r="R148" s="132"/>
      <c r="S148" s="132"/>
      <c r="T148" s="65" t="s">
        <v>70</v>
      </c>
      <c r="U148" s="26"/>
      <c r="V148" s="26"/>
      <c r="W148" s="26"/>
      <c r="X148" s="26"/>
      <c r="Y148" s="26"/>
      <c r="Z148" s="26"/>
      <c r="AA148" s="26"/>
      <c r="AB148" s="26"/>
      <c r="AC148" s="26"/>
    </row>
    <row r="149" ht="33.75" customHeight="1">
      <c r="A149" s="134" t="s">
        <v>288</v>
      </c>
      <c r="B149" s="135" t="s">
        <v>21</v>
      </c>
      <c r="C149" s="135" t="s">
        <v>274</v>
      </c>
      <c r="D149" s="135" t="s">
        <v>289</v>
      </c>
      <c r="E149" s="136" t="s">
        <v>290</v>
      </c>
      <c r="F149" s="137" t="s">
        <v>283</v>
      </c>
      <c r="G149" s="137" t="s">
        <v>154</v>
      </c>
      <c r="H149" s="98" t="s">
        <v>154</v>
      </c>
      <c r="I149" s="98"/>
      <c r="J149" s="137" t="s">
        <v>12</v>
      </c>
      <c r="K149" s="138" t="s">
        <v>12</v>
      </c>
      <c r="L149" s="139">
        <f t="shared" ref="L149:M149" si="179">IF(COUNT(L150:N152)=0,"",SUM(L150:L152))</f>
        <v>0</v>
      </c>
      <c r="M149" s="139">
        <f t="shared" si="179"/>
        <v>0</v>
      </c>
      <c r="N149" s="139">
        <f>IF(COUNT(L150:N152)=0,"",SUM(N150:N152))</f>
        <v>0</v>
      </c>
      <c r="O149" s="139">
        <f>IF(COUNT(O150:O152)=0,"",SUM(O150:O152))</f>
        <v>0</v>
      </c>
      <c r="P149" s="140"/>
      <c r="Q149" s="139">
        <f t="shared" si="176"/>
        <v>0</v>
      </c>
      <c r="R149" s="141"/>
      <c r="S149" s="141"/>
      <c r="T149" s="98" t="s">
        <v>65</v>
      </c>
      <c r="U149" s="26"/>
      <c r="V149" s="26"/>
      <c r="W149" s="26"/>
      <c r="X149" s="26"/>
      <c r="Y149" s="26"/>
      <c r="Z149" s="26"/>
      <c r="AA149" s="26"/>
      <c r="AB149" s="26"/>
      <c r="AC149" s="26"/>
    </row>
    <row r="150" ht="33.75" customHeight="1">
      <c r="A150" s="142" t="s">
        <v>291</v>
      </c>
      <c r="B150" s="143" t="s">
        <v>21</v>
      </c>
      <c r="C150" s="143" t="s">
        <v>274</v>
      </c>
      <c r="D150" s="143" t="s">
        <v>289</v>
      </c>
      <c r="E150" s="144" t="s">
        <v>290</v>
      </c>
      <c r="F150" s="145" t="s">
        <v>283</v>
      </c>
      <c r="G150" s="145" t="s">
        <v>154</v>
      </c>
      <c r="H150" s="106" t="s">
        <v>154</v>
      </c>
      <c r="I150" s="106"/>
      <c r="J150" s="145" t="s">
        <v>12</v>
      </c>
      <c r="K150" s="146" t="s">
        <v>12</v>
      </c>
      <c r="L150" s="109"/>
      <c r="M150" s="109">
        <f t="shared" ref="M150:M152" si="180">(N150+L150)/2</f>
        <v>0</v>
      </c>
      <c r="N150" s="109"/>
      <c r="O150" s="147">
        <f t="shared" ref="O150:O152" si="181">IF(COUNT(L150:N150)=0,"",(L150+4*M150+N150)/6)</f>
        <v>0</v>
      </c>
      <c r="P150" s="110"/>
      <c r="Q150" s="148">
        <f t="shared" si="176"/>
        <v>0</v>
      </c>
      <c r="R150" s="111"/>
      <c r="S150" s="111"/>
      <c r="T150" s="106" t="s">
        <v>31</v>
      </c>
      <c r="U150" s="26"/>
      <c r="V150" s="26"/>
      <c r="W150" s="26"/>
      <c r="X150" s="26"/>
      <c r="Y150" s="26"/>
      <c r="Z150" s="26"/>
      <c r="AA150" s="26"/>
      <c r="AB150" s="26"/>
      <c r="AC150" s="26"/>
    </row>
    <row r="151" ht="33.75" customHeight="1">
      <c r="A151" s="142" t="s">
        <v>292</v>
      </c>
      <c r="B151" s="143" t="s">
        <v>21</v>
      </c>
      <c r="C151" s="143" t="s">
        <v>274</v>
      </c>
      <c r="D151" s="143" t="s">
        <v>289</v>
      </c>
      <c r="E151" s="144" t="s">
        <v>290</v>
      </c>
      <c r="F151" s="145" t="s">
        <v>283</v>
      </c>
      <c r="G151" s="145" t="s">
        <v>154</v>
      </c>
      <c r="H151" s="108" t="s">
        <v>154</v>
      </c>
      <c r="I151" s="108"/>
      <c r="J151" s="145" t="s">
        <v>12</v>
      </c>
      <c r="K151" s="146" t="s">
        <v>12</v>
      </c>
      <c r="L151" s="149"/>
      <c r="M151" s="109">
        <f t="shared" si="180"/>
        <v>0</v>
      </c>
      <c r="N151" s="149"/>
      <c r="O151" s="147">
        <f t="shared" si="181"/>
        <v>0</v>
      </c>
      <c r="P151" s="110"/>
      <c r="Q151" s="148">
        <f t="shared" si="176"/>
        <v>0</v>
      </c>
      <c r="R151" s="150"/>
      <c r="S151" s="150"/>
      <c r="T151" s="108" t="s">
        <v>32</v>
      </c>
      <c r="U151" s="26"/>
      <c r="V151" s="26"/>
      <c r="W151" s="26"/>
      <c r="X151" s="26"/>
      <c r="Y151" s="26"/>
      <c r="Z151" s="26"/>
      <c r="AA151" s="26"/>
      <c r="AB151" s="26"/>
      <c r="AC151" s="26"/>
    </row>
    <row r="152" ht="33.75" customHeight="1">
      <c r="A152" s="151" t="s">
        <v>293</v>
      </c>
      <c r="B152" s="143" t="s">
        <v>21</v>
      </c>
      <c r="C152" s="143" t="s">
        <v>274</v>
      </c>
      <c r="D152" s="143" t="s">
        <v>289</v>
      </c>
      <c r="E152" s="144" t="s">
        <v>290</v>
      </c>
      <c r="F152" s="145" t="s">
        <v>283</v>
      </c>
      <c r="G152" s="145" t="s">
        <v>154</v>
      </c>
      <c r="H152" s="108" t="s">
        <v>154</v>
      </c>
      <c r="I152" s="108"/>
      <c r="J152" s="145" t="s">
        <v>12</v>
      </c>
      <c r="K152" s="146" t="s">
        <v>12</v>
      </c>
      <c r="L152" s="149"/>
      <c r="M152" s="109">
        <f t="shared" si="180"/>
        <v>0</v>
      </c>
      <c r="N152" s="149"/>
      <c r="O152" s="147">
        <f t="shared" si="181"/>
        <v>0</v>
      </c>
      <c r="P152" s="110"/>
      <c r="Q152" s="148">
        <f t="shared" si="176"/>
        <v>0</v>
      </c>
      <c r="R152" s="150"/>
      <c r="S152" s="150"/>
      <c r="T152" s="108" t="s">
        <v>70</v>
      </c>
      <c r="U152" s="26"/>
      <c r="V152" s="26"/>
      <c r="W152" s="26"/>
      <c r="X152" s="26"/>
      <c r="Y152" s="26"/>
      <c r="Z152" s="26"/>
      <c r="AA152" s="26"/>
      <c r="AB152" s="26"/>
      <c r="AC152" s="26"/>
    </row>
    <row r="153" ht="33.75" customHeight="1">
      <c r="A153" s="27" t="s">
        <v>294</v>
      </c>
      <c r="B153" s="28"/>
      <c r="C153" s="28"/>
      <c r="D153" s="28"/>
      <c r="E153" s="29"/>
      <c r="F153" s="30"/>
      <c r="G153" s="30"/>
      <c r="H153" s="30"/>
      <c r="I153" s="30"/>
      <c r="J153" s="30"/>
      <c r="K153" s="31"/>
      <c r="L153" s="32">
        <f t="shared" ref="L153:N153" si="182">SUM(X154:X242)</f>
        <v>27</v>
      </c>
      <c r="M153" s="32">
        <f t="shared" si="182"/>
        <v>41.875</v>
      </c>
      <c r="N153" s="32">
        <f t="shared" si="182"/>
        <v>56.75</v>
      </c>
      <c r="O153" s="32">
        <f>SUM(AA154:AA255)</f>
        <v>44.125</v>
      </c>
      <c r="P153" s="33"/>
      <c r="Q153" s="32">
        <f>SUM(AC154:AC255)</f>
        <v>44.125</v>
      </c>
      <c r="R153" s="34"/>
      <c r="S153" s="34"/>
      <c r="T153" s="35" t="s">
        <v>59</v>
      </c>
      <c r="U153" s="26"/>
      <c r="V153" s="26"/>
      <c r="W153" s="26"/>
      <c r="X153" s="26"/>
      <c r="Y153" s="26"/>
      <c r="Z153" s="26"/>
      <c r="AA153" s="26"/>
      <c r="AB153" s="26"/>
      <c r="AC153" s="26"/>
    </row>
    <row r="154" ht="33.75" customHeight="1">
      <c r="A154" s="112" t="s">
        <v>295</v>
      </c>
      <c r="B154" s="38" t="s">
        <v>22</v>
      </c>
      <c r="C154" s="38" t="s">
        <v>296</v>
      </c>
      <c r="D154" s="38" t="s">
        <v>296</v>
      </c>
      <c r="E154" s="113" t="s">
        <v>297</v>
      </c>
      <c r="F154" s="114"/>
      <c r="G154" s="114"/>
      <c r="H154" s="123"/>
      <c r="I154" s="45"/>
      <c r="J154" s="114"/>
      <c r="K154" s="115"/>
      <c r="L154" s="42">
        <f t="shared" ref="L154:N154" si="183">IF(COUNT(L155,L159,L163,L167,L171)=0,"",SUM(L155,L159,L163,L167,L171))</f>
        <v>9</v>
      </c>
      <c r="M154" s="42">
        <f t="shared" si="183"/>
        <v>13.125</v>
      </c>
      <c r="N154" s="42">
        <f t="shared" si="183"/>
        <v>17.25</v>
      </c>
      <c r="O154" s="42">
        <f>IF(COUNT(O155,O159,O163,O167, O171)=0,"",SUM(O155,O159,O163,O167, O171))</f>
        <v>13.125</v>
      </c>
      <c r="P154" s="43"/>
      <c r="Q154" s="42">
        <f>IF(COUNT(Q155,Q159,Q163,Q167, Q171)=0,"",SUM(Q155,Q159,Q163,Q167, Q171))</f>
        <v>13.125</v>
      </c>
      <c r="R154" s="44"/>
      <c r="S154" s="44"/>
      <c r="T154" s="45" t="s">
        <v>62</v>
      </c>
      <c r="U154" s="26"/>
      <c r="V154" s="26"/>
      <c r="W154" s="26"/>
      <c r="X154" s="46">
        <f t="shared" ref="X154:AA154" si="184">L154</f>
        <v>9</v>
      </c>
      <c r="Y154" s="46">
        <f t="shared" si="184"/>
        <v>13.125</v>
      </c>
      <c r="Z154" s="46">
        <f t="shared" si="184"/>
        <v>17.25</v>
      </c>
      <c r="AA154" s="46">
        <f t="shared" si="184"/>
        <v>13.125</v>
      </c>
      <c r="AB154" s="26"/>
      <c r="AC154" s="46">
        <f>Q154</f>
        <v>13.125</v>
      </c>
    </row>
    <row r="155" ht="33.75" customHeight="1">
      <c r="A155" s="116" t="s">
        <v>298</v>
      </c>
      <c r="B155" s="77" t="s">
        <v>22</v>
      </c>
      <c r="C155" s="77" t="s">
        <v>296</v>
      </c>
      <c r="D155" s="77" t="s">
        <v>299</v>
      </c>
      <c r="E155" s="117" t="s">
        <v>300</v>
      </c>
      <c r="F155" s="118" t="s">
        <v>301</v>
      </c>
      <c r="G155" s="118" t="s">
        <v>168</v>
      </c>
      <c r="H155" s="54" t="s">
        <v>168</v>
      </c>
      <c r="I155" s="54"/>
      <c r="J155" s="118" t="s">
        <v>9</v>
      </c>
      <c r="K155" s="120" t="s">
        <v>9</v>
      </c>
      <c r="L155" s="86">
        <f t="shared" ref="L155:M155" si="185">IF(COUNT(L156:N158)=0,"",SUM(L156:L158))</f>
        <v>1</v>
      </c>
      <c r="M155" s="86">
        <f t="shared" si="185"/>
        <v>1.125</v>
      </c>
      <c r="N155" s="86">
        <f>IF(COUNT(L156:N158)=0,"",SUM(N156:N158))</f>
        <v>1.25</v>
      </c>
      <c r="O155" s="86">
        <f>IF(COUNT(O156:O158)=0,"",SUM(O156:O158))</f>
        <v>1.125</v>
      </c>
      <c r="P155" s="87"/>
      <c r="Q155" s="86">
        <f t="shared" ref="Q155:Q174" si="186">IF(O155="","",IF(P155="",O155,O155*(1+P155)))</f>
        <v>1.125</v>
      </c>
      <c r="R155" s="88"/>
      <c r="S155" s="88"/>
      <c r="T155" s="54" t="s">
        <v>65</v>
      </c>
      <c r="U155" s="26"/>
      <c r="V155" s="26"/>
      <c r="W155" s="26"/>
      <c r="X155" s="26"/>
      <c r="Y155" s="26"/>
      <c r="Z155" s="26"/>
      <c r="AA155" s="26"/>
      <c r="AB155" s="26"/>
      <c r="AC155" s="26"/>
    </row>
    <row r="156" ht="33.75" customHeight="1">
      <c r="A156" s="78" t="s">
        <v>302</v>
      </c>
      <c r="B156" s="79" t="s">
        <v>22</v>
      </c>
      <c r="C156" s="79" t="s">
        <v>296</v>
      </c>
      <c r="D156" s="79" t="s">
        <v>299</v>
      </c>
      <c r="E156" s="94" t="s">
        <v>300</v>
      </c>
      <c r="F156" s="95" t="s">
        <v>301</v>
      </c>
      <c r="G156" s="95" t="s">
        <v>168</v>
      </c>
      <c r="H156" s="97" t="s">
        <v>168</v>
      </c>
      <c r="I156" s="65"/>
      <c r="J156" s="95" t="s">
        <v>9</v>
      </c>
      <c r="K156" s="121" t="s">
        <v>9</v>
      </c>
      <c r="L156" s="152">
        <v>0.0</v>
      </c>
      <c r="M156" s="83">
        <f t="shared" ref="M156:M195" si="187">(N156+L156)/2</f>
        <v>0</v>
      </c>
      <c r="N156" s="152">
        <v>0.0</v>
      </c>
      <c r="O156" s="68">
        <f t="shared" ref="O156:O158" si="188">IF(COUNT(L156:N156)=0,"",(L156+4*M156+N156)/6)</f>
        <v>0</v>
      </c>
      <c r="P156" s="153"/>
      <c r="Q156" s="63">
        <f t="shared" si="186"/>
        <v>0</v>
      </c>
      <c r="R156" s="154"/>
      <c r="S156" s="154"/>
      <c r="T156" s="65" t="s">
        <v>31</v>
      </c>
      <c r="U156" s="26"/>
      <c r="V156" s="26"/>
      <c r="W156" s="26"/>
      <c r="X156" s="26"/>
      <c r="Y156" s="26"/>
      <c r="Z156" s="26"/>
      <c r="AA156" s="26"/>
      <c r="AB156" s="26"/>
      <c r="AC156" s="26"/>
    </row>
    <row r="157" ht="33.75" customHeight="1">
      <c r="A157" s="78" t="s">
        <v>303</v>
      </c>
      <c r="B157" s="79" t="s">
        <v>22</v>
      </c>
      <c r="C157" s="79" t="s">
        <v>296</v>
      </c>
      <c r="D157" s="79" t="s">
        <v>299</v>
      </c>
      <c r="E157" s="94" t="s">
        <v>300</v>
      </c>
      <c r="F157" s="95" t="s">
        <v>301</v>
      </c>
      <c r="G157" s="95" t="s">
        <v>168</v>
      </c>
      <c r="H157" s="97" t="s">
        <v>168</v>
      </c>
      <c r="I157" s="65"/>
      <c r="J157" s="95" t="s">
        <v>9</v>
      </c>
      <c r="K157" s="121" t="s">
        <v>9</v>
      </c>
      <c r="L157" s="152">
        <v>1.0</v>
      </c>
      <c r="M157" s="83">
        <f t="shared" si="187"/>
        <v>1.125</v>
      </c>
      <c r="N157" s="152">
        <v>1.25</v>
      </c>
      <c r="O157" s="68">
        <f t="shared" si="188"/>
        <v>1.125</v>
      </c>
      <c r="P157" s="153"/>
      <c r="Q157" s="63">
        <f t="shared" si="186"/>
        <v>1.125</v>
      </c>
      <c r="R157" s="154"/>
      <c r="S157" s="154"/>
      <c r="T157" s="65" t="s">
        <v>32</v>
      </c>
      <c r="U157" s="26"/>
      <c r="V157" s="26"/>
      <c r="W157" s="26"/>
      <c r="X157" s="26"/>
      <c r="Y157" s="26"/>
      <c r="Z157" s="26"/>
      <c r="AA157" s="26"/>
      <c r="AB157" s="26"/>
      <c r="AC157" s="26"/>
    </row>
    <row r="158" ht="33.75" customHeight="1">
      <c r="A158" s="78" t="s">
        <v>304</v>
      </c>
      <c r="B158" s="79" t="s">
        <v>22</v>
      </c>
      <c r="C158" s="79" t="s">
        <v>296</v>
      </c>
      <c r="D158" s="79" t="s">
        <v>299</v>
      </c>
      <c r="E158" s="94" t="s">
        <v>300</v>
      </c>
      <c r="F158" s="95" t="s">
        <v>301</v>
      </c>
      <c r="G158" s="95" t="s">
        <v>168</v>
      </c>
      <c r="H158" s="97" t="s">
        <v>168</v>
      </c>
      <c r="I158" s="65"/>
      <c r="J158" s="95" t="s">
        <v>9</v>
      </c>
      <c r="K158" s="121" t="s">
        <v>9</v>
      </c>
      <c r="L158" s="152">
        <v>0.0</v>
      </c>
      <c r="M158" s="83">
        <f t="shared" si="187"/>
        <v>0</v>
      </c>
      <c r="N158" s="152">
        <v>0.0</v>
      </c>
      <c r="O158" s="68">
        <f t="shared" si="188"/>
        <v>0</v>
      </c>
      <c r="P158" s="153"/>
      <c r="Q158" s="63">
        <f t="shared" si="186"/>
        <v>0</v>
      </c>
      <c r="R158" s="154"/>
      <c r="S158" s="154"/>
      <c r="T158" s="65" t="s">
        <v>70</v>
      </c>
      <c r="U158" s="26"/>
      <c r="V158" s="26"/>
      <c r="W158" s="26"/>
      <c r="X158" s="26"/>
      <c r="Y158" s="26"/>
      <c r="Z158" s="26"/>
      <c r="AA158" s="26"/>
      <c r="AB158" s="26"/>
      <c r="AC158" s="26"/>
    </row>
    <row r="159" ht="33.75" customHeight="1">
      <c r="A159" s="116" t="s">
        <v>305</v>
      </c>
      <c r="B159" s="77" t="s">
        <v>22</v>
      </c>
      <c r="C159" s="77" t="s">
        <v>296</v>
      </c>
      <c r="D159" s="77" t="s">
        <v>306</v>
      </c>
      <c r="E159" s="117" t="s">
        <v>307</v>
      </c>
      <c r="F159" s="118" t="s">
        <v>298</v>
      </c>
      <c r="G159" s="118" t="s">
        <v>200</v>
      </c>
      <c r="H159" s="54" t="s">
        <v>200</v>
      </c>
      <c r="I159" s="54"/>
      <c r="J159" s="118" t="s">
        <v>9</v>
      </c>
      <c r="K159" s="120" t="s">
        <v>9</v>
      </c>
      <c r="L159" s="86">
        <f>IF(COUNT(L160:N162)=0,"",SUM(L160:L162))</f>
        <v>3</v>
      </c>
      <c r="M159" s="86">
        <f t="shared" si="187"/>
        <v>3.75</v>
      </c>
      <c r="N159" s="86">
        <f>IF(COUNT(L160:N162)=0,"",SUM(N160:N162))</f>
        <v>4.5</v>
      </c>
      <c r="O159" s="86">
        <f>IF(COUNT(O160:O162)=0,"",SUM(O160:O162))</f>
        <v>3.75</v>
      </c>
      <c r="P159" s="87"/>
      <c r="Q159" s="86">
        <f t="shared" si="186"/>
        <v>3.75</v>
      </c>
      <c r="R159" s="88"/>
      <c r="S159" s="88"/>
      <c r="T159" s="54" t="s">
        <v>65</v>
      </c>
      <c r="U159" s="26"/>
      <c r="V159" s="26"/>
      <c r="W159" s="26"/>
      <c r="X159" s="26"/>
      <c r="Y159" s="26"/>
      <c r="Z159" s="26"/>
      <c r="AA159" s="26"/>
      <c r="AB159" s="26"/>
      <c r="AC159" s="26"/>
    </row>
    <row r="160" ht="33.75" customHeight="1">
      <c r="A160" s="78" t="s">
        <v>308</v>
      </c>
      <c r="B160" s="79" t="s">
        <v>22</v>
      </c>
      <c r="C160" s="79" t="s">
        <v>296</v>
      </c>
      <c r="D160" s="79" t="s">
        <v>306</v>
      </c>
      <c r="E160" s="94" t="s">
        <v>307</v>
      </c>
      <c r="F160" s="95" t="s">
        <v>298</v>
      </c>
      <c r="G160" s="95" t="s">
        <v>200</v>
      </c>
      <c r="H160" s="97" t="s">
        <v>200</v>
      </c>
      <c r="I160" s="65"/>
      <c r="J160" s="95" t="s">
        <v>9</v>
      </c>
      <c r="K160" s="121" t="s">
        <v>9</v>
      </c>
      <c r="L160" s="83">
        <v>1.0</v>
      </c>
      <c r="M160" s="83">
        <f t="shared" si="187"/>
        <v>1.25</v>
      </c>
      <c r="N160" s="83">
        <v>1.5</v>
      </c>
      <c r="O160" s="68">
        <f t="shared" ref="O160:O162" si="189">IF(COUNT(L160:N160)=0,"",(L160+4*M160+N160)/6)</f>
        <v>1.25</v>
      </c>
      <c r="P160" s="84">
        <v>0.15</v>
      </c>
      <c r="Q160" s="63">
        <f t="shared" si="186"/>
        <v>1.4375</v>
      </c>
      <c r="R160" s="85">
        <v>3.0</v>
      </c>
      <c r="S160" s="85">
        <v>3.0</v>
      </c>
      <c r="T160" s="65" t="s">
        <v>31</v>
      </c>
      <c r="U160" s="26"/>
      <c r="V160" s="26"/>
      <c r="W160" s="26"/>
      <c r="X160" s="26"/>
      <c r="Y160" s="26"/>
      <c r="Z160" s="26"/>
      <c r="AA160" s="26"/>
      <c r="AB160" s="26"/>
      <c r="AC160" s="26"/>
    </row>
    <row r="161" ht="33.75" customHeight="1">
      <c r="A161" s="78" t="s">
        <v>309</v>
      </c>
      <c r="B161" s="79" t="s">
        <v>22</v>
      </c>
      <c r="C161" s="79" t="s">
        <v>296</v>
      </c>
      <c r="D161" s="79" t="s">
        <v>306</v>
      </c>
      <c r="E161" s="94" t="s">
        <v>307</v>
      </c>
      <c r="F161" s="95" t="s">
        <v>298</v>
      </c>
      <c r="G161" s="95" t="s">
        <v>200</v>
      </c>
      <c r="H161" s="97" t="s">
        <v>200</v>
      </c>
      <c r="I161" s="65"/>
      <c r="J161" s="95" t="s">
        <v>9</v>
      </c>
      <c r="K161" s="121" t="s">
        <v>9</v>
      </c>
      <c r="L161" s="83">
        <v>1.5</v>
      </c>
      <c r="M161" s="83">
        <f t="shared" si="187"/>
        <v>1.75</v>
      </c>
      <c r="N161" s="89">
        <v>2.0</v>
      </c>
      <c r="O161" s="68">
        <f t="shared" si="189"/>
        <v>1.75</v>
      </c>
      <c r="P161" s="84">
        <v>0.2</v>
      </c>
      <c r="Q161" s="63">
        <f t="shared" si="186"/>
        <v>2.1</v>
      </c>
      <c r="R161" s="85">
        <v>3.0</v>
      </c>
      <c r="S161" s="85">
        <v>3.0</v>
      </c>
      <c r="T161" s="65" t="s">
        <v>32</v>
      </c>
      <c r="U161" s="26"/>
      <c r="V161" s="26"/>
      <c r="W161" s="26"/>
      <c r="X161" s="26"/>
      <c r="Y161" s="26"/>
      <c r="Z161" s="26"/>
      <c r="AA161" s="26"/>
      <c r="AB161" s="26"/>
      <c r="AC161" s="26"/>
    </row>
    <row r="162" ht="33.75" customHeight="1">
      <c r="A162" s="78" t="s">
        <v>310</v>
      </c>
      <c r="B162" s="79" t="s">
        <v>22</v>
      </c>
      <c r="C162" s="79" t="s">
        <v>296</v>
      </c>
      <c r="D162" s="79" t="s">
        <v>306</v>
      </c>
      <c r="E162" s="94" t="s">
        <v>307</v>
      </c>
      <c r="F162" s="95" t="s">
        <v>298</v>
      </c>
      <c r="G162" s="95" t="s">
        <v>200</v>
      </c>
      <c r="H162" s="65" t="s">
        <v>200</v>
      </c>
      <c r="I162" s="65"/>
      <c r="J162" s="95" t="s">
        <v>9</v>
      </c>
      <c r="K162" s="121" t="s">
        <v>9</v>
      </c>
      <c r="L162" s="83">
        <v>0.5</v>
      </c>
      <c r="M162" s="83">
        <f t="shared" si="187"/>
        <v>0.75</v>
      </c>
      <c r="N162" s="83">
        <v>1.0</v>
      </c>
      <c r="O162" s="68">
        <f t="shared" si="189"/>
        <v>0.75</v>
      </c>
      <c r="P162" s="84">
        <v>0.09999999999999999</v>
      </c>
      <c r="Q162" s="63">
        <f t="shared" si="186"/>
        <v>0.825</v>
      </c>
      <c r="R162" s="85">
        <v>4.0</v>
      </c>
      <c r="S162" s="85">
        <v>2.0</v>
      </c>
      <c r="T162" s="65" t="s">
        <v>70</v>
      </c>
      <c r="U162" s="26"/>
      <c r="V162" s="26"/>
      <c r="W162" s="26"/>
      <c r="X162" s="26"/>
      <c r="Y162" s="26"/>
      <c r="Z162" s="26"/>
      <c r="AA162" s="26"/>
      <c r="AB162" s="26"/>
      <c r="AC162" s="26"/>
    </row>
    <row r="163" ht="33.75" customHeight="1">
      <c r="A163" s="116" t="s">
        <v>311</v>
      </c>
      <c r="B163" s="77" t="s">
        <v>22</v>
      </c>
      <c r="C163" s="77" t="s">
        <v>296</v>
      </c>
      <c r="D163" s="77" t="s">
        <v>312</v>
      </c>
      <c r="E163" s="117" t="s">
        <v>313</v>
      </c>
      <c r="F163" s="118" t="s">
        <v>305</v>
      </c>
      <c r="G163" s="118" t="s">
        <v>168</v>
      </c>
      <c r="H163" s="54" t="s">
        <v>168</v>
      </c>
      <c r="I163" s="54"/>
      <c r="J163" s="118" t="s">
        <v>9</v>
      </c>
      <c r="K163" s="120" t="s">
        <v>9</v>
      </c>
      <c r="L163" s="86">
        <f>IF(COUNT(L164:N166)=0,"",SUM(L164:L166))</f>
        <v>2.25</v>
      </c>
      <c r="M163" s="86">
        <f t="shared" si="187"/>
        <v>3.875</v>
      </c>
      <c r="N163" s="86">
        <f>IF(COUNT(L164:N166)=0,"",SUM(N164:N166))</f>
        <v>5.5</v>
      </c>
      <c r="O163" s="86">
        <f>IF(COUNT(O164:O166)=0,"",SUM(O164:O166))</f>
        <v>3.875</v>
      </c>
      <c r="P163" s="87"/>
      <c r="Q163" s="86">
        <f t="shared" si="186"/>
        <v>3.875</v>
      </c>
      <c r="R163" s="88"/>
      <c r="S163" s="88"/>
      <c r="T163" s="54" t="s">
        <v>65</v>
      </c>
      <c r="U163" s="26"/>
      <c r="V163" s="26"/>
      <c r="W163" s="26"/>
      <c r="X163" s="26"/>
      <c r="Y163" s="26"/>
      <c r="Z163" s="26"/>
      <c r="AA163" s="26"/>
      <c r="AB163" s="26"/>
      <c r="AC163" s="26"/>
    </row>
    <row r="164" ht="33.75" customHeight="1">
      <c r="A164" s="78" t="s">
        <v>314</v>
      </c>
      <c r="B164" s="79" t="s">
        <v>22</v>
      </c>
      <c r="C164" s="79" t="s">
        <v>296</v>
      </c>
      <c r="D164" s="79" t="s">
        <v>312</v>
      </c>
      <c r="E164" s="94" t="s">
        <v>313</v>
      </c>
      <c r="F164" s="95" t="s">
        <v>305</v>
      </c>
      <c r="G164" s="95" t="s">
        <v>168</v>
      </c>
      <c r="H164" s="97" t="s">
        <v>168</v>
      </c>
      <c r="I164" s="65"/>
      <c r="J164" s="95" t="s">
        <v>9</v>
      </c>
      <c r="K164" s="121" t="s">
        <v>9</v>
      </c>
      <c r="L164" s="83">
        <v>1.0</v>
      </c>
      <c r="M164" s="83">
        <f t="shared" si="187"/>
        <v>1.625</v>
      </c>
      <c r="N164" s="83">
        <v>2.25</v>
      </c>
      <c r="O164" s="68">
        <f t="shared" ref="O164:O166" si="190">IF(COUNT(L164:N164)=0,"",(L164+4*M164+N164)/6)</f>
        <v>1.625</v>
      </c>
      <c r="P164" s="84">
        <v>0.1</v>
      </c>
      <c r="Q164" s="63">
        <f t="shared" si="186"/>
        <v>1.7875</v>
      </c>
      <c r="R164" s="85">
        <v>4.0</v>
      </c>
      <c r="S164" s="85">
        <v>1.0</v>
      </c>
      <c r="T164" s="65" t="s">
        <v>31</v>
      </c>
      <c r="U164" s="26"/>
      <c r="V164" s="26"/>
      <c r="W164" s="26"/>
      <c r="X164" s="26"/>
      <c r="Y164" s="26"/>
      <c r="Z164" s="26"/>
      <c r="AA164" s="26"/>
      <c r="AB164" s="26"/>
      <c r="AC164" s="26"/>
    </row>
    <row r="165" ht="33.75" customHeight="1">
      <c r="A165" s="78" t="s">
        <v>315</v>
      </c>
      <c r="B165" s="79" t="s">
        <v>22</v>
      </c>
      <c r="C165" s="79" t="s">
        <v>296</v>
      </c>
      <c r="D165" s="79" t="s">
        <v>312</v>
      </c>
      <c r="E165" s="94" t="s">
        <v>313</v>
      </c>
      <c r="F165" s="95" t="s">
        <v>305</v>
      </c>
      <c r="G165" s="95" t="s">
        <v>168</v>
      </c>
      <c r="H165" s="97" t="s">
        <v>168</v>
      </c>
      <c r="I165" s="65"/>
      <c r="J165" s="95" t="s">
        <v>9</v>
      </c>
      <c r="K165" s="121" t="s">
        <v>9</v>
      </c>
      <c r="L165" s="83">
        <v>0.75</v>
      </c>
      <c r="M165" s="83">
        <f t="shared" si="187"/>
        <v>1.375</v>
      </c>
      <c r="N165" s="83">
        <v>2.0</v>
      </c>
      <c r="O165" s="68">
        <f t="shared" si="190"/>
        <v>1.375</v>
      </c>
      <c r="P165" s="84">
        <v>0.1</v>
      </c>
      <c r="Q165" s="63">
        <f t="shared" si="186"/>
        <v>1.5125</v>
      </c>
      <c r="R165" s="85">
        <v>4.0</v>
      </c>
      <c r="S165" s="85">
        <v>1.0</v>
      </c>
      <c r="T165" s="65" t="s">
        <v>32</v>
      </c>
      <c r="U165" s="26"/>
      <c r="V165" s="26"/>
      <c r="W165" s="26"/>
      <c r="X165" s="26"/>
      <c r="Y165" s="26"/>
      <c r="Z165" s="26"/>
      <c r="AA165" s="26"/>
      <c r="AB165" s="26"/>
      <c r="AC165" s="26"/>
    </row>
    <row r="166" ht="33.75" customHeight="1">
      <c r="A166" s="78" t="s">
        <v>316</v>
      </c>
      <c r="B166" s="79" t="s">
        <v>22</v>
      </c>
      <c r="C166" s="79" t="s">
        <v>296</v>
      </c>
      <c r="D166" s="79" t="s">
        <v>312</v>
      </c>
      <c r="E166" s="94" t="s">
        <v>313</v>
      </c>
      <c r="F166" s="95" t="s">
        <v>305</v>
      </c>
      <c r="G166" s="95" t="s">
        <v>168</v>
      </c>
      <c r="H166" s="65" t="s">
        <v>168</v>
      </c>
      <c r="I166" s="65"/>
      <c r="J166" s="95" t="s">
        <v>9</v>
      </c>
      <c r="K166" s="121" t="s">
        <v>9</v>
      </c>
      <c r="L166" s="83">
        <v>0.5</v>
      </c>
      <c r="M166" s="83">
        <f t="shared" si="187"/>
        <v>0.875</v>
      </c>
      <c r="N166" s="83">
        <v>1.25</v>
      </c>
      <c r="O166" s="68">
        <f t="shared" si="190"/>
        <v>0.875</v>
      </c>
      <c r="P166" s="84">
        <v>0.05</v>
      </c>
      <c r="Q166" s="63">
        <f t="shared" si="186"/>
        <v>0.91875</v>
      </c>
      <c r="R166" s="85">
        <v>5.0</v>
      </c>
      <c r="S166" s="85">
        <v>1.0</v>
      </c>
      <c r="T166" s="65" t="s">
        <v>70</v>
      </c>
      <c r="U166" s="26"/>
      <c r="V166" s="26"/>
      <c r="W166" s="26"/>
      <c r="X166" s="26"/>
      <c r="Y166" s="26"/>
      <c r="Z166" s="26"/>
      <c r="AA166" s="26"/>
      <c r="AB166" s="26"/>
      <c r="AC166" s="26"/>
    </row>
    <row r="167" ht="33.75" customHeight="1">
      <c r="A167" s="116" t="s">
        <v>317</v>
      </c>
      <c r="B167" s="77" t="s">
        <v>22</v>
      </c>
      <c r="C167" s="77" t="s">
        <v>296</v>
      </c>
      <c r="D167" s="77" t="s">
        <v>318</v>
      </c>
      <c r="E167" s="117" t="s">
        <v>319</v>
      </c>
      <c r="F167" s="118" t="s">
        <v>320</v>
      </c>
      <c r="G167" s="118" t="s">
        <v>168</v>
      </c>
      <c r="H167" s="54" t="s">
        <v>168</v>
      </c>
      <c r="I167" s="54"/>
      <c r="J167" s="118" t="s">
        <v>9</v>
      </c>
      <c r="K167" s="120" t="s">
        <v>9</v>
      </c>
      <c r="L167" s="86">
        <f>IF(COUNT(L168:N170)=0,"",SUM(L168:L170))</f>
        <v>0.5</v>
      </c>
      <c r="M167" s="86">
        <f t="shared" si="187"/>
        <v>0.75</v>
      </c>
      <c r="N167" s="86">
        <f>IF(COUNT(L168:N170)=0,"",SUM(N168:N170))</f>
        <v>1</v>
      </c>
      <c r="O167" s="86">
        <f>IF(COUNT(O168:O170)=0,"",SUM(O168:O170))</f>
        <v>0.75</v>
      </c>
      <c r="P167" s="87"/>
      <c r="Q167" s="86">
        <f t="shared" si="186"/>
        <v>0.75</v>
      </c>
      <c r="R167" s="88"/>
      <c r="S167" s="88"/>
      <c r="T167" s="54" t="s">
        <v>65</v>
      </c>
      <c r="U167" s="26"/>
      <c r="V167" s="26"/>
      <c r="W167" s="26"/>
      <c r="X167" s="26"/>
      <c r="Y167" s="26"/>
      <c r="Z167" s="26"/>
      <c r="AA167" s="26"/>
      <c r="AB167" s="26"/>
      <c r="AC167" s="26"/>
    </row>
    <row r="168" ht="33.75" customHeight="1">
      <c r="A168" s="78" t="s">
        <v>321</v>
      </c>
      <c r="B168" s="79" t="s">
        <v>22</v>
      </c>
      <c r="C168" s="79" t="s">
        <v>296</v>
      </c>
      <c r="D168" s="79" t="s">
        <v>318</v>
      </c>
      <c r="E168" s="94" t="s">
        <v>319</v>
      </c>
      <c r="F168" s="95" t="s">
        <v>320</v>
      </c>
      <c r="G168" s="95" t="s">
        <v>168</v>
      </c>
      <c r="H168" s="97" t="s">
        <v>168</v>
      </c>
      <c r="I168" s="65"/>
      <c r="J168" s="95" t="s">
        <v>9</v>
      </c>
      <c r="K168" s="121" t="s">
        <v>9</v>
      </c>
      <c r="L168" s="152">
        <v>0.0</v>
      </c>
      <c r="M168" s="83">
        <f t="shared" si="187"/>
        <v>0</v>
      </c>
      <c r="N168" s="152">
        <v>0.0</v>
      </c>
      <c r="O168" s="68">
        <f t="shared" ref="O168:O170" si="191">IF(COUNT(L168:N168)=0,"",(L168+4*M168+N168)/6)</f>
        <v>0</v>
      </c>
      <c r="P168" s="153"/>
      <c r="Q168" s="63">
        <f t="shared" si="186"/>
        <v>0</v>
      </c>
      <c r="R168" s="154"/>
      <c r="S168" s="154"/>
      <c r="T168" s="65" t="s">
        <v>31</v>
      </c>
      <c r="U168" s="26"/>
      <c r="V168" s="26"/>
      <c r="W168" s="26"/>
      <c r="X168" s="26"/>
      <c r="Y168" s="26"/>
      <c r="Z168" s="26"/>
      <c r="AA168" s="26"/>
      <c r="AB168" s="26"/>
      <c r="AC168" s="26"/>
    </row>
    <row r="169" ht="33.75" customHeight="1">
      <c r="A169" s="78" t="s">
        <v>322</v>
      </c>
      <c r="B169" s="79" t="s">
        <v>22</v>
      </c>
      <c r="C169" s="79" t="s">
        <v>296</v>
      </c>
      <c r="D169" s="79" t="s">
        <v>318</v>
      </c>
      <c r="E169" s="94" t="s">
        <v>319</v>
      </c>
      <c r="F169" s="95" t="s">
        <v>320</v>
      </c>
      <c r="G169" s="95" t="s">
        <v>168</v>
      </c>
      <c r="H169" s="97" t="s">
        <v>168</v>
      </c>
      <c r="I169" s="65"/>
      <c r="J169" s="95" t="s">
        <v>9</v>
      </c>
      <c r="K169" s="121" t="s">
        <v>9</v>
      </c>
      <c r="L169" s="152">
        <v>0.5</v>
      </c>
      <c r="M169" s="83">
        <f t="shared" si="187"/>
        <v>0.75</v>
      </c>
      <c r="N169" s="152">
        <v>1.0</v>
      </c>
      <c r="O169" s="68">
        <f t="shared" si="191"/>
        <v>0.75</v>
      </c>
      <c r="P169" s="153"/>
      <c r="Q169" s="63">
        <f t="shared" si="186"/>
        <v>0.75</v>
      </c>
      <c r="R169" s="154"/>
      <c r="S169" s="154"/>
      <c r="T169" s="65" t="s">
        <v>32</v>
      </c>
      <c r="U169" s="26"/>
      <c r="V169" s="26"/>
      <c r="W169" s="26"/>
      <c r="X169" s="26"/>
      <c r="Y169" s="26"/>
      <c r="Z169" s="26"/>
      <c r="AA169" s="26"/>
      <c r="AB169" s="26"/>
      <c r="AC169" s="26"/>
    </row>
    <row r="170" ht="33.75" customHeight="1">
      <c r="A170" s="78" t="s">
        <v>323</v>
      </c>
      <c r="B170" s="79" t="s">
        <v>22</v>
      </c>
      <c r="C170" s="79" t="s">
        <v>296</v>
      </c>
      <c r="D170" s="79" t="s">
        <v>318</v>
      </c>
      <c r="E170" s="94" t="s">
        <v>319</v>
      </c>
      <c r="F170" s="95" t="s">
        <v>320</v>
      </c>
      <c r="G170" s="95" t="s">
        <v>168</v>
      </c>
      <c r="H170" s="97" t="s">
        <v>168</v>
      </c>
      <c r="I170" s="65"/>
      <c r="J170" s="95" t="s">
        <v>9</v>
      </c>
      <c r="K170" s="121" t="s">
        <v>9</v>
      </c>
      <c r="L170" s="152">
        <v>0.0</v>
      </c>
      <c r="M170" s="83">
        <f t="shared" si="187"/>
        <v>0</v>
      </c>
      <c r="N170" s="152">
        <v>0.0</v>
      </c>
      <c r="O170" s="68">
        <f t="shared" si="191"/>
        <v>0</v>
      </c>
      <c r="P170" s="153"/>
      <c r="Q170" s="63">
        <f t="shared" si="186"/>
        <v>0</v>
      </c>
      <c r="R170" s="154"/>
      <c r="S170" s="154"/>
      <c r="T170" s="65" t="s">
        <v>70</v>
      </c>
      <c r="U170" s="26"/>
      <c r="V170" s="26"/>
      <c r="W170" s="26"/>
      <c r="X170" s="26"/>
      <c r="Y170" s="26"/>
      <c r="Z170" s="26"/>
      <c r="AA170" s="26"/>
      <c r="AB170" s="26"/>
      <c r="AC170" s="26"/>
    </row>
    <row r="171" ht="33.75" customHeight="1">
      <c r="A171" s="116" t="s">
        <v>324</v>
      </c>
      <c r="B171" s="77" t="s">
        <v>22</v>
      </c>
      <c r="C171" s="77" t="s">
        <v>296</v>
      </c>
      <c r="D171" s="77" t="s">
        <v>325</v>
      </c>
      <c r="E171" s="117" t="s">
        <v>326</v>
      </c>
      <c r="F171" s="118" t="s">
        <v>305</v>
      </c>
      <c r="G171" s="118" t="s">
        <v>168</v>
      </c>
      <c r="H171" s="54" t="s">
        <v>168</v>
      </c>
      <c r="I171" s="54"/>
      <c r="J171" s="118" t="s">
        <v>9</v>
      </c>
      <c r="K171" s="120" t="s">
        <v>9</v>
      </c>
      <c r="L171" s="86">
        <f>IF(COUNT(L172:N174)=0,"",SUM(L172:L174))</f>
        <v>2.25</v>
      </c>
      <c r="M171" s="86">
        <f t="shared" si="187"/>
        <v>3.625</v>
      </c>
      <c r="N171" s="86">
        <f>IF(COUNT(L172:N174)=0,"",SUM(N172:N174))</f>
        <v>5</v>
      </c>
      <c r="O171" s="86">
        <f>IF(COUNT(O172:O174)=0,"",SUM(O172:O174))</f>
        <v>3.625</v>
      </c>
      <c r="P171" s="87"/>
      <c r="Q171" s="86">
        <f t="shared" si="186"/>
        <v>3.625</v>
      </c>
      <c r="R171" s="88"/>
      <c r="S171" s="88"/>
      <c r="T171" s="54" t="s">
        <v>65</v>
      </c>
      <c r="U171" s="26"/>
      <c r="V171" s="26"/>
      <c r="W171" s="26"/>
      <c r="X171" s="26"/>
      <c r="Y171" s="26"/>
      <c r="Z171" s="26"/>
      <c r="AA171" s="26"/>
      <c r="AB171" s="26"/>
      <c r="AC171" s="26"/>
    </row>
    <row r="172" ht="33.75" customHeight="1">
      <c r="A172" s="78" t="s">
        <v>327</v>
      </c>
      <c r="B172" s="79" t="s">
        <v>22</v>
      </c>
      <c r="C172" s="79" t="s">
        <v>296</v>
      </c>
      <c r="D172" s="79" t="s">
        <v>325</v>
      </c>
      <c r="E172" s="94" t="s">
        <v>326</v>
      </c>
      <c r="F172" s="95" t="s">
        <v>305</v>
      </c>
      <c r="G172" s="95" t="s">
        <v>168</v>
      </c>
      <c r="H172" s="65" t="s">
        <v>168</v>
      </c>
      <c r="I172" s="65"/>
      <c r="J172" s="95" t="s">
        <v>9</v>
      </c>
      <c r="K172" s="121" t="s">
        <v>9</v>
      </c>
      <c r="L172" s="83">
        <v>1.0</v>
      </c>
      <c r="M172" s="83">
        <f t="shared" si="187"/>
        <v>1.625</v>
      </c>
      <c r="N172" s="83">
        <v>2.25</v>
      </c>
      <c r="O172" s="68">
        <f t="shared" ref="O172:O174" si="192">IF(COUNT(L172:N172)=0,"",(L172+4*M172+N172)/6)</f>
        <v>1.625</v>
      </c>
      <c r="P172" s="84">
        <v>0.15</v>
      </c>
      <c r="Q172" s="63">
        <f t="shared" si="186"/>
        <v>1.86875</v>
      </c>
      <c r="R172" s="85">
        <v>3.0</v>
      </c>
      <c r="S172" s="85">
        <v>3.0</v>
      </c>
      <c r="T172" s="65" t="s">
        <v>31</v>
      </c>
      <c r="U172" s="26"/>
      <c r="V172" s="26"/>
      <c r="W172" s="26"/>
      <c r="X172" s="26"/>
      <c r="Y172" s="26"/>
      <c r="Z172" s="26"/>
      <c r="AA172" s="26"/>
      <c r="AB172" s="26"/>
      <c r="AC172" s="26"/>
    </row>
    <row r="173" ht="33.75" customHeight="1">
      <c r="A173" s="78" t="s">
        <v>328</v>
      </c>
      <c r="B173" s="79" t="s">
        <v>22</v>
      </c>
      <c r="C173" s="79" t="s">
        <v>296</v>
      </c>
      <c r="D173" s="79" t="s">
        <v>325</v>
      </c>
      <c r="E173" s="94" t="s">
        <v>326</v>
      </c>
      <c r="F173" s="95" t="s">
        <v>305</v>
      </c>
      <c r="G173" s="95" t="s">
        <v>168</v>
      </c>
      <c r="H173" s="97" t="s">
        <v>168</v>
      </c>
      <c r="I173" s="65"/>
      <c r="J173" s="95" t="s">
        <v>9</v>
      </c>
      <c r="K173" s="121" t="s">
        <v>9</v>
      </c>
      <c r="L173" s="83">
        <v>0.75</v>
      </c>
      <c r="M173" s="83">
        <f t="shared" si="187"/>
        <v>1.125</v>
      </c>
      <c r="N173" s="89">
        <v>1.5</v>
      </c>
      <c r="O173" s="68">
        <f t="shared" si="192"/>
        <v>1.125</v>
      </c>
      <c r="P173" s="84">
        <v>0.2</v>
      </c>
      <c r="Q173" s="63">
        <f t="shared" si="186"/>
        <v>1.35</v>
      </c>
      <c r="R173" s="85">
        <v>3.0</v>
      </c>
      <c r="S173" s="85">
        <v>3.0</v>
      </c>
      <c r="T173" s="65" t="s">
        <v>32</v>
      </c>
      <c r="U173" s="26"/>
      <c r="V173" s="26"/>
      <c r="W173" s="26"/>
      <c r="X173" s="26"/>
      <c r="Y173" s="26"/>
      <c r="Z173" s="26"/>
      <c r="AA173" s="26"/>
      <c r="AB173" s="26"/>
      <c r="AC173" s="26"/>
    </row>
    <row r="174" ht="33.75" customHeight="1">
      <c r="A174" s="78" t="s">
        <v>329</v>
      </c>
      <c r="B174" s="79" t="s">
        <v>22</v>
      </c>
      <c r="C174" s="79" t="s">
        <v>296</v>
      </c>
      <c r="D174" s="79" t="s">
        <v>325</v>
      </c>
      <c r="E174" s="94" t="s">
        <v>326</v>
      </c>
      <c r="F174" s="95" t="s">
        <v>305</v>
      </c>
      <c r="G174" s="95" t="s">
        <v>168</v>
      </c>
      <c r="H174" s="97" t="s">
        <v>168</v>
      </c>
      <c r="I174" s="65"/>
      <c r="J174" s="95" t="s">
        <v>9</v>
      </c>
      <c r="K174" s="121" t="s">
        <v>9</v>
      </c>
      <c r="L174" s="83">
        <v>0.5</v>
      </c>
      <c r="M174" s="83">
        <f t="shared" si="187"/>
        <v>0.875</v>
      </c>
      <c r="N174" s="83">
        <v>1.25</v>
      </c>
      <c r="O174" s="68">
        <f t="shared" si="192"/>
        <v>0.875</v>
      </c>
      <c r="P174" s="84">
        <v>0.09999999999999999</v>
      </c>
      <c r="Q174" s="63">
        <f t="shared" si="186"/>
        <v>0.9625</v>
      </c>
      <c r="R174" s="85">
        <v>4.0</v>
      </c>
      <c r="S174" s="85">
        <v>2.0</v>
      </c>
      <c r="T174" s="65" t="s">
        <v>70</v>
      </c>
      <c r="U174" s="26"/>
      <c r="V174" s="26"/>
      <c r="W174" s="26"/>
      <c r="X174" s="26"/>
      <c r="Y174" s="26"/>
      <c r="Z174" s="26"/>
      <c r="AA174" s="26"/>
      <c r="AB174" s="26"/>
      <c r="AC174" s="26"/>
    </row>
    <row r="175" ht="33.75" customHeight="1">
      <c r="A175" s="112" t="s">
        <v>330</v>
      </c>
      <c r="B175" s="38" t="s">
        <v>22</v>
      </c>
      <c r="C175" s="38" t="s">
        <v>331</v>
      </c>
      <c r="D175" s="38" t="s">
        <v>331</v>
      </c>
      <c r="E175" s="113" t="s">
        <v>332</v>
      </c>
      <c r="F175" s="114"/>
      <c r="G175" s="114"/>
      <c r="H175" s="123"/>
      <c r="I175" s="45"/>
      <c r="J175" s="114"/>
      <c r="K175" s="115"/>
      <c r="L175" s="155">
        <f>IF(COUNT(L176,L180,L184,L188,L192)=0,"",SUM(L176,L180,L184,L188,L192))</f>
        <v>9.5</v>
      </c>
      <c r="M175" s="155">
        <f t="shared" si="187"/>
        <v>15.75</v>
      </c>
      <c r="N175" s="155">
        <f t="shared" ref="N175:O175" si="193">IF(COUNT(N176,N180,N184,N188,N192)=0,"",SUM(N176,N180,N184,N188,N192))</f>
        <v>22</v>
      </c>
      <c r="O175" s="155">
        <f t="shared" si="193"/>
        <v>15.75</v>
      </c>
      <c r="P175" s="156"/>
      <c r="Q175" s="155">
        <f>IF(COUNT(Q176,Q180,Q184,Q188,Q192)=0,"",SUM(Q176,Q180,Q184,Q188,Q192))</f>
        <v>15.75</v>
      </c>
      <c r="R175" s="157"/>
      <c r="S175" s="157"/>
      <c r="T175" s="45" t="s">
        <v>62</v>
      </c>
      <c r="U175" s="26"/>
      <c r="V175" s="26"/>
      <c r="W175" s="26"/>
      <c r="X175" s="46">
        <f t="shared" ref="X175:AA175" si="194">L175</f>
        <v>9.5</v>
      </c>
      <c r="Y175" s="46">
        <f t="shared" si="194"/>
        <v>15.75</v>
      </c>
      <c r="Z175" s="46">
        <f t="shared" si="194"/>
        <v>22</v>
      </c>
      <c r="AA175" s="46">
        <f t="shared" si="194"/>
        <v>15.75</v>
      </c>
      <c r="AB175" s="26"/>
      <c r="AC175" s="46">
        <f>Q175</f>
        <v>15.75</v>
      </c>
    </row>
    <row r="176" ht="33.75" customHeight="1">
      <c r="A176" s="116" t="s">
        <v>333</v>
      </c>
      <c r="B176" s="77" t="s">
        <v>22</v>
      </c>
      <c r="C176" s="77" t="s">
        <v>331</v>
      </c>
      <c r="D176" s="77" t="s">
        <v>334</v>
      </c>
      <c r="E176" s="117" t="s">
        <v>335</v>
      </c>
      <c r="F176" s="118" t="s">
        <v>305</v>
      </c>
      <c r="G176" s="118" t="s">
        <v>154</v>
      </c>
      <c r="H176" s="54" t="s">
        <v>154</v>
      </c>
      <c r="I176" s="54"/>
      <c r="J176" s="118" t="s">
        <v>9</v>
      </c>
      <c r="K176" s="120" t="s">
        <v>9</v>
      </c>
      <c r="L176" s="86">
        <f>IF(COUNT(L177:N179)=0,"",SUM(L177:L179))</f>
        <v>1.5</v>
      </c>
      <c r="M176" s="86">
        <f t="shared" si="187"/>
        <v>2.625</v>
      </c>
      <c r="N176" s="86">
        <f>IF(COUNT(L177:N179)=0,"",SUM(N177:N179))</f>
        <v>3.75</v>
      </c>
      <c r="O176" s="86">
        <f>IF(COUNT(O177:O179)=0,"",SUM(O177:O179))</f>
        <v>2.625</v>
      </c>
      <c r="P176" s="87"/>
      <c r="Q176" s="86">
        <f t="shared" ref="Q176:Q195" si="195">IF(O176="","",IF(P176="",O176,O176*(1+P176)))</f>
        <v>2.625</v>
      </c>
      <c r="R176" s="88"/>
      <c r="S176" s="88"/>
      <c r="T176" s="54" t="s">
        <v>65</v>
      </c>
      <c r="U176" s="26"/>
      <c r="V176" s="26"/>
      <c r="W176" s="26"/>
      <c r="X176" s="26"/>
      <c r="Y176" s="26"/>
      <c r="Z176" s="26"/>
      <c r="AA176" s="26"/>
      <c r="AB176" s="26"/>
      <c r="AC176" s="26"/>
    </row>
    <row r="177" ht="33.75" customHeight="1">
      <c r="A177" s="78" t="s">
        <v>336</v>
      </c>
      <c r="B177" s="79" t="s">
        <v>22</v>
      </c>
      <c r="C177" s="79" t="s">
        <v>331</v>
      </c>
      <c r="D177" s="79" t="s">
        <v>334</v>
      </c>
      <c r="E177" s="94" t="s">
        <v>335</v>
      </c>
      <c r="F177" s="95" t="s">
        <v>305</v>
      </c>
      <c r="G177" s="95" t="s">
        <v>154</v>
      </c>
      <c r="H177" s="65" t="s">
        <v>154</v>
      </c>
      <c r="I177" s="65"/>
      <c r="J177" s="95" t="s">
        <v>9</v>
      </c>
      <c r="K177" s="121" t="s">
        <v>9</v>
      </c>
      <c r="L177" s="83">
        <v>0.25</v>
      </c>
      <c r="M177" s="83">
        <f t="shared" si="187"/>
        <v>0.625</v>
      </c>
      <c r="N177" s="83">
        <v>1.0</v>
      </c>
      <c r="O177" s="68">
        <f t="shared" ref="O177:O179" si="196">IF(COUNT(L177:N177)=0,"",(L177+4*M177+N177)/6)</f>
        <v>0.625</v>
      </c>
      <c r="P177" s="84">
        <v>0.15</v>
      </c>
      <c r="Q177" s="63">
        <f t="shared" si="195"/>
        <v>0.71875</v>
      </c>
      <c r="R177" s="85">
        <v>3.0</v>
      </c>
      <c r="S177" s="85">
        <v>3.0</v>
      </c>
      <c r="T177" s="65" t="s">
        <v>31</v>
      </c>
      <c r="U177" s="26"/>
      <c r="V177" s="26"/>
      <c r="W177" s="26"/>
      <c r="X177" s="26"/>
      <c r="Y177" s="26"/>
      <c r="Z177" s="26"/>
      <c r="AA177" s="26"/>
      <c r="AB177" s="26"/>
      <c r="AC177" s="26"/>
    </row>
    <row r="178" ht="33.75" customHeight="1">
      <c r="A178" s="78" t="s">
        <v>337</v>
      </c>
      <c r="B178" s="79" t="s">
        <v>22</v>
      </c>
      <c r="C178" s="79" t="s">
        <v>331</v>
      </c>
      <c r="D178" s="79" t="s">
        <v>334</v>
      </c>
      <c r="E178" s="94" t="s">
        <v>335</v>
      </c>
      <c r="F178" s="95" t="s">
        <v>305</v>
      </c>
      <c r="G178" s="95" t="s">
        <v>154</v>
      </c>
      <c r="H178" s="97" t="s">
        <v>154</v>
      </c>
      <c r="I178" s="65"/>
      <c r="J178" s="95" t="s">
        <v>9</v>
      </c>
      <c r="K178" s="121" t="s">
        <v>9</v>
      </c>
      <c r="L178" s="83">
        <v>0.75</v>
      </c>
      <c r="M178" s="83">
        <f t="shared" si="187"/>
        <v>1.125</v>
      </c>
      <c r="N178" s="89">
        <v>1.5</v>
      </c>
      <c r="O178" s="68">
        <f t="shared" si="196"/>
        <v>1.125</v>
      </c>
      <c r="P178" s="84">
        <v>0.2</v>
      </c>
      <c r="Q178" s="63">
        <f t="shared" si="195"/>
        <v>1.35</v>
      </c>
      <c r="R178" s="85">
        <v>3.0</v>
      </c>
      <c r="S178" s="85">
        <v>3.0</v>
      </c>
      <c r="T178" s="65" t="s">
        <v>32</v>
      </c>
      <c r="U178" s="26"/>
      <c r="V178" s="26"/>
      <c r="W178" s="26"/>
      <c r="X178" s="26"/>
      <c r="Y178" s="26"/>
      <c r="Z178" s="26"/>
      <c r="AA178" s="26"/>
      <c r="AB178" s="26"/>
      <c r="AC178" s="26"/>
    </row>
    <row r="179" ht="33.75" customHeight="1">
      <c r="A179" s="78" t="s">
        <v>338</v>
      </c>
      <c r="B179" s="79" t="s">
        <v>22</v>
      </c>
      <c r="C179" s="79" t="s">
        <v>331</v>
      </c>
      <c r="D179" s="79" t="s">
        <v>334</v>
      </c>
      <c r="E179" s="94" t="s">
        <v>335</v>
      </c>
      <c r="F179" s="95" t="s">
        <v>305</v>
      </c>
      <c r="G179" s="95" t="s">
        <v>154</v>
      </c>
      <c r="H179" s="97" t="s">
        <v>154</v>
      </c>
      <c r="I179" s="65"/>
      <c r="J179" s="95" t="s">
        <v>9</v>
      </c>
      <c r="K179" s="121" t="s">
        <v>9</v>
      </c>
      <c r="L179" s="83">
        <v>0.5</v>
      </c>
      <c r="M179" s="83">
        <f t="shared" si="187"/>
        <v>0.875</v>
      </c>
      <c r="N179" s="83">
        <v>1.25</v>
      </c>
      <c r="O179" s="68">
        <f t="shared" si="196"/>
        <v>0.875</v>
      </c>
      <c r="P179" s="84">
        <v>0.09999999999999999</v>
      </c>
      <c r="Q179" s="63">
        <f t="shared" si="195"/>
        <v>0.9625</v>
      </c>
      <c r="R179" s="85">
        <v>4.0</v>
      </c>
      <c r="S179" s="85">
        <v>2.0</v>
      </c>
      <c r="T179" s="65" t="s">
        <v>70</v>
      </c>
      <c r="U179" s="26"/>
      <c r="V179" s="26"/>
      <c r="W179" s="26"/>
      <c r="X179" s="26"/>
      <c r="Y179" s="26"/>
      <c r="Z179" s="26"/>
      <c r="AA179" s="26"/>
      <c r="AB179" s="26"/>
      <c r="AC179" s="26"/>
    </row>
    <row r="180" ht="33.75" customHeight="1">
      <c r="A180" s="116" t="s">
        <v>339</v>
      </c>
      <c r="B180" s="77" t="s">
        <v>22</v>
      </c>
      <c r="C180" s="77" t="s">
        <v>331</v>
      </c>
      <c r="D180" s="77" t="s">
        <v>340</v>
      </c>
      <c r="E180" s="117" t="s">
        <v>341</v>
      </c>
      <c r="F180" s="118" t="s">
        <v>342</v>
      </c>
      <c r="G180" s="118" t="s">
        <v>168</v>
      </c>
      <c r="H180" s="54" t="s">
        <v>168</v>
      </c>
      <c r="I180" s="54"/>
      <c r="J180" s="118" t="s">
        <v>9</v>
      </c>
      <c r="K180" s="120" t="s">
        <v>9</v>
      </c>
      <c r="L180" s="86">
        <f>IF(COUNT(L181:N183)=0,"",SUM(L181:L183))</f>
        <v>2.75</v>
      </c>
      <c r="M180" s="86">
        <f t="shared" si="187"/>
        <v>4.75</v>
      </c>
      <c r="N180" s="86">
        <f>IF(COUNT(L181:N183)=0,"",SUM(N181:N183))</f>
        <v>6.75</v>
      </c>
      <c r="O180" s="86">
        <f>IF(COUNT(O181:O183)=0,"",SUM(O181:O183))</f>
        <v>4.75</v>
      </c>
      <c r="P180" s="87"/>
      <c r="Q180" s="86">
        <f t="shared" si="195"/>
        <v>4.75</v>
      </c>
      <c r="R180" s="88"/>
      <c r="S180" s="88"/>
      <c r="T180" s="54" t="s">
        <v>65</v>
      </c>
      <c r="U180" s="26"/>
      <c r="V180" s="26"/>
      <c r="W180" s="26"/>
      <c r="X180" s="26"/>
      <c r="Y180" s="26"/>
      <c r="Z180" s="26"/>
      <c r="AA180" s="26"/>
      <c r="AB180" s="26"/>
      <c r="AC180" s="26"/>
    </row>
    <row r="181" ht="33.75" customHeight="1">
      <c r="A181" s="78" t="s">
        <v>343</v>
      </c>
      <c r="B181" s="79" t="s">
        <v>22</v>
      </c>
      <c r="C181" s="79" t="s">
        <v>331</v>
      </c>
      <c r="D181" s="79" t="s">
        <v>340</v>
      </c>
      <c r="E181" s="94" t="s">
        <v>341</v>
      </c>
      <c r="F181" s="95" t="s">
        <v>342</v>
      </c>
      <c r="G181" s="95" t="s">
        <v>168</v>
      </c>
      <c r="H181" s="65" t="s">
        <v>168</v>
      </c>
      <c r="I181" s="65"/>
      <c r="J181" s="95" t="s">
        <v>9</v>
      </c>
      <c r="K181" s="121" t="s">
        <v>9</v>
      </c>
      <c r="L181" s="83">
        <v>0.75</v>
      </c>
      <c r="M181" s="83">
        <f t="shared" si="187"/>
        <v>1.375</v>
      </c>
      <c r="N181" s="83">
        <v>2.0</v>
      </c>
      <c r="O181" s="68">
        <f t="shared" ref="O181:O183" si="197">IF(COUNT(L181:N181)=0,"",(L181+4*M181+N181)/6)</f>
        <v>1.375</v>
      </c>
      <c r="P181" s="84">
        <v>0.15</v>
      </c>
      <c r="Q181" s="63">
        <f t="shared" si="195"/>
        <v>1.58125</v>
      </c>
      <c r="R181" s="85">
        <v>3.0</v>
      </c>
      <c r="S181" s="85">
        <v>3.0</v>
      </c>
      <c r="T181" s="65" t="s">
        <v>31</v>
      </c>
      <c r="U181" s="26"/>
      <c r="V181" s="26"/>
      <c r="W181" s="26"/>
      <c r="X181" s="26"/>
      <c r="Y181" s="26"/>
      <c r="Z181" s="26"/>
      <c r="AA181" s="26"/>
      <c r="AB181" s="26"/>
      <c r="AC181" s="26"/>
    </row>
    <row r="182" ht="33.75" customHeight="1">
      <c r="A182" s="78" t="s">
        <v>344</v>
      </c>
      <c r="B182" s="79" t="s">
        <v>22</v>
      </c>
      <c r="C182" s="79" t="s">
        <v>331</v>
      </c>
      <c r="D182" s="79" t="s">
        <v>340</v>
      </c>
      <c r="E182" s="94" t="s">
        <v>341</v>
      </c>
      <c r="F182" s="95" t="s">
        <v>342</v>
      </c>
      <c r="G182" s="95" t="s">
        <v>168</v>
      </c>
      <c r="H182" s="65" t="s">
        <v>168</v>
      </c>
      <c r="I182" s="65"/>
      <c r="J182" s="95" t="s">
        <v>9</v>
      </c>
      <c r="K182" s="121" t="s">
        <v>9</v>
      </c>
      <c r="L182" s="83">
        <v>1.25</v>
      </c>
      <c r="M182" s="83">
        <f t="shared" si="187"/>
        <v>2.125</v>
      </c>
      <c r="N182" s="83">
        <v>3.0</v>
      </c>
      <c r="O182" s="68">
        <f t="shared" si="197"/>
        <v>2.125</v>
      </c>
      <c r="P182" s="84">
        <v>0.2</v>
      </c>
      <c r="Q182" s="63">
        <f t="shared" si="195"/>
        <v>2.55</v>
      </c>
      <c r="R182" s="85">
        <v>3.0</v>
      </c>
      <c r="S182" s="85">
        <v>3.0</v>
      </c>
      <c r="T182" s="65" t="s">
        <v>32</v>
      </c>
      <c r="U182" s="26"/>
      <c r="V182" s="26"/>
      <c r="W182" s="26"/>
      <c r="X182" s="26"/>
      <c r="Y182" s="26"/>
      <c r="Z182" s="26"/>
      <c r="AA182" s="26"/>
      <c r="AB182" s="26"/>
      <c r="AC182" s="26"/>
    </row>
    <row r="183" ht="33.75" customHeight="1">
      <c r="A183" s="78" t="s">
        <v>345</v>
      </c>
      <c r="B183" s="79" t="s">
        <v>22</v>
      </c>
      <c r="C183" s="79" t="s">
        <v>331</v>
      </c>
      <c r="D183" s="79" t="s">
        <v>340</v>
      </c>
      <c r="E183" s="94" t="s">
        <v>341</v>
      </c>
      <c r="F183" s="95" t="s">
        <v>342</v>
      </c>
      <c r="G183" s="95" t="s">
        <v>168</v>
      </c>
      <c r="H183" s="97" t="s">
        <v>168</v>
      </c>
      <c r="I183" s="65"/>
      <c r="J183" s="95" t="s">
        <v>9</v>
      </c>
      <c r="K183" s="121" t="s">
        <v>9</v>
      </c>
      <c r="L183" s="83">
        <v>0.75</v>
      </c>
      <c r="M183" s="83">
        <f t="shared" si="187"/>
        <v>1.25</v>
      </c>
      <c r="N183" s="83">
        <v>1.75</v>
      </c>
      <c r="O183" s="68">
        <f t="shared" si="197"/>
        <v>1.25</v>
      </c>
      <c r="P183" s="84">
        <v>0.09999999999999999</v>
      </c>
      <c r="Q183" s="63">
        <f t="shared" si="195"/>
        <v>1.375</v>
      </c>
      <c r="R183" s="85">
        <v>4.0</v>
      </c>
      <c r="S183" s="85">
        <v>2.0</v>
      </c>
      <c r="T183" s="65" t="s">
        <v>70</v>
      </c>
      <c r="U183" s="26"/>
      <c r="V183" s="26"/>
      <c r="W183" s="26"/>
      <c r="X183" s="26"/>
      <c r="Y183" s="26"/>
      <c r="Z183" s="26"/>
      <c r="AA183" s="26"/>
      <c r="AB183" s="26"/>
      <c r="AC183" s="26"/>
    </row>
    <row r="184" ht="33.75" customHeight="1">
      <c r="A184" s="116" t="s">
        <v>346</v>
      </c>
      <c r="B184" s="77" t="s">
        <v>22</v>
      </c>
      <c r="C184" s="77" t="s">
        <v>331</v>
      </c>
      <c r="D184" s="77" t="s">
        <v>347</v>
      </c>
      <c r="E184" s="117" t="s">
        <v>348</v>
      </c>
      <c r="F184" s="118" t="s">
        <v>305</v>
      </c>
      <c r="G184" s="118" t="s">
        <v>168</v>
      </c>
      <c r="H184" s="54" t="s">
        <v>168</v>
      </c>
      <c r="I184" s="54"/>
      <c r="J184" s="118" t="s">
        <v>9</v>
      </c>
      <c r="K184" s="120" t="s">
        <v>9</v>
      </c>
      <c r="L184" s="86">
        <f>IF(COUNT(L185:N187)=0,"",SUM(L185:L187))</f>
        <v>2.25</v>
      </c>
      <c r="M184" s="86">
        <f t="shared" si="187"/>
        <v>3.625</v>
      </c>
      <c r="N184" s="86">
        <f>IF(COUNT(L185:N187)=0,"",SUM(N185:N187))</f>
        <v>5</v>
      </c>
      <c r="O184" s="86">
        <f>IF(COUNT(O185:O187)=0,"",SUM(O185:O187))</f>
        <v>3.625</v>
      </c>
      <c r="P184" s="87"/>
      <c r="Q184" s="86">
        <f t="shared" si="195"/>
        <v>3.625</v>
      </c>
      <c r="R184" s="88"/>
      <c r="S184" s="88"/>
      <c r="T184" s="54" t="s">
        <v>65</v>
      </c>
      <c r="U184" s="26"/>
      <c r="V184" s="26"/>
      <c r="W184" s="26"/>
      <c r="X184" s="26"/>
      <c r="Y184" s="26"/>
      <c r="Z184" s="26"/>
      <c r="AA184" s="26"/>
      <c r="AB184" s="26"/>
      <c r="AC184" s="26"/>
    </row>
    <row r="185" ht="33.75" customHeight="1">
      <c r="A185" s="78" t="s">
        <v>349</v>
      </c>
      <c r="B185" s="79" t="s">
        <v>22</v>
      </c>
      <c r="C185" s="79" t="s">
        <v>331</v>
      </c>
      <c r="D185" s="79" t="s">
        <v>347</v>
      </c>
      <c r="E185" s="94" t="s">
        <v>348</v>
      </c>
      <c r="F185" s="95" t="s">
        <v>305</v>
      </c>
      <c r="G185" s="95" t="s">
        <v>168</v>
      </c>
      <c r="H185" s="97" t="s">
        <v>168</v>
      </c>
      <c r="I185" s="65"/>
      <c r="J185" s="95" t="s">
        <v>9</v>
      </c>
      <c r="K185" s="121" t="s">
        <v>9</v>
      </c>
      <c r="L185" s="83">
        <v>0.5</v>
      </c>
      <c r="M185" s="83">
        <f t="shared" si="187"/>
        <v>1</v>
      </c>
      <c r="N185" s="83">
        <v>1.5</v>
      </c>
      <c r="O185" s="68">
        <f t="shared" ref="O185:O187" si="198">IF(COUNT(L185:N185)=0,"",(L185+4*M185+N185)/6)</f>
        <v>1</v>
      </c>
      <c r="P185" s="84">
        <v>0.1</v>
      </c>
      <c r="Q185" s="63">
        <f t="shared" si="195"/>
        <v>1.1</v>
      </c>
      <c r="R185" s="85">
        <v>4.0</v>
      </c>
      <c r="S185" s="85">
        <v>1.0</v>
      </c>
      <c r="T185" s="65" t="s">
        <v>31</v>
      </c>
      <c r="U185" s="26"/>
      <c r="V185" s="26"/>
      <c r="W185" s="26"/>
      <c r="X185" s="26"/>
      <c r="Y185" s="26"/>
      <c r="Z185" s="26"/>
      <c r="AA185" s="26"/>
      <c r="AB185" s="26"/>
      <c r="AC185" s="26"/>
    </row>
    <row r="186" ht="33.75" customHeight="1">
      <c r="A186" s="78" t="s">
        <v>350</v>
      </c>
      <c r="B186" s="79" t="s">
        <v>22</v>
      </c>
      <c r="C186" s="79" t="s">
        <v>331</v>
      </c>
      <c r="D186" s="79" t="s">
        <v>347</v>
      </c>
      <c r="E186" s="94" t="s">
        <v>348</v>
      </c>
      <c r="F186" s="95" t="s">
        <v>305</v>
      </c>
      <c r="G186" s="95" t="s">
        <v>168</v>
      </c>
      <c r="H186" s="65" t="s">
        <v>168</v>
      </c>
      <c r="I186" s="65"/>
      <c r="J186" s="95" t="s">
        <v>9</v>
      </c>
      <c r="K186" s="121" t="s">
        <v>9</v>
      </c>
      <c r="L186" s="83">
        <v>1.0</v>
      </c>
      <c r="M186" s="83">
        <f t="shared" si="187"/>
        <v>1.5</v>
      </c>
      <c r="N186" s="89">
        <v>2.0</v>
      </c>
      <c r="O186" s="68">
        <f t="shared" si="198"/>
        <v>1.5</v>
      </c>
      <c r="P186" s="84">
        <v>0.1</v>
      </c>
      <c r="Q186" s="63">
        <f t="shared" si="195"/>
        <v>1.65</v>
      </c>
      <c r="R186" s="85">
        <v>4.0</v>
      </c>
      <c r="S186" s="85">
        <v>1.0</v>
      </c>
      <c r="T186" s="65" t="s">
        <v>32</v>
      </c>
      <c r="U186" s="26"/>
      <c r="V186" s="26"/>
      <c r="W186" s="26"/>
      <c r="X186" s="26"/>
      <c r="Y186" s="26"/>
      <c r="Z186" s="26"/>
      <c r="AA186" s="26"/>
      <c r="AB186" s="26"/>
      <c r="AC186" s="26"/>
    </row>
    <row r="187" ht="33.75" customHeight="1">
      <c r="A187" s="78" t="s">
        <v>351</v>
      </c>
      <c r="B187" s="79" t="s">
        <v>22</v>
      </c>
      <c r="C187" s="79" t="s">
        <v>331</v>
      </c>
      <c r="D187" s="79" t="s">
        <v>347</v>
      </c>
      <c r="E187" s="94" t="s">
        <v>348</v>
      </c>
      <c r="F187" s="95" t="s">
        <v>305</v>
      </c>
      <c r="G187" s="95" t="s">
        <v>168</v>
      </c>
      <c r="H187" s="97" t="s">
        <v>168</v>
      </c>
      <c r="I187" s="65"/>
      <c r="J187" s="95" t="s">
        <v>9</v>
      </c>
      <c r="K187" s="121" t="s">
        <v>9</v>
      </c>
      <c r="L187" s="83">
        <v>0.75</v>
      </c>
      <c r="M187" s="83">
        <f t="shared" si="187"/>
        <v>1.125</v>
      </c>
      <c r="N187" s="83">
        <v>1.5</v>
      </c>
      <c r="O187" s="68">
        <f t="shared" si="198"/>
        <v>1.125</v>
      </c>
      <c r="P187" s="84">
        <v>0.05</v>
      </c>
      <c r="Q187" s="63">
        <f t="shared" si="195"/>
        <v>1.18125</v>
      </c>
      <c r="R187" s="85">
        <v>5.0</v>
      </c>
      <c r="S187" s="85">
        <v>1.0</v>
      </c>
      <c r="T187" s="65" t="s">
        <v>70</v>
      </c>
      <c r="U187" s="26"/>
      <c r="V187" s="26"/>
      <c r="W187" s="26"/>
      <c r="X187" s="26"/>
      <c r="Y187" s="26"/>
      <c r="Z187" s="26"/>
      <c r="AA187" s="26"/>
      <c r="AB187" s="26"/>
      <c r="AC187" s="26"/>
    </row>
    <row r="188" ht="33.75" customHeight="1">
      <c r="A188" s="116" t="s">
        <v>352</v>
      </c>
      <c r="B188" s="77" t="s">
        <v>22</v>
      </c>
      <c r="C188" s="77" t="s">
        <v>331</v>
      </c>
      <c r="D188" s="77" t="s">
        <v>353</v>
      </c>
      <c r="E188" s="117" t="s">
        <v>354</v>
      </c>
      <c r="F188" s="118" t="s">
        <v>346</v>
      </c>
      <c r="G188" s="118" t="s">
        <v>154</v>
      </c>
      <c r="H188" s="54" t="s">
        <v>154</v>
      </c>
      <c r="I188" s="54"/>
      <c r="J188" s="118" t="s">
        <v>9</v>
      </c>
      <c r="K188" s="120" t="s">
        <v>9</v>
      </c>
      <c r="L188" s="86">
        <f>IF(COUNT(L189:N191)=0,"",SUM(L189:L191))</f>
        <v>1</v>
      </c>
      <c r="M188" s="86">
        <f t="shared" si="187"/>
        <v>2</v>
      </c>
      <c r="N188" s="86">
        <f>IF(COUNT(L189:N191)=0,"",SUM(N189:N191))</f>
        <v>3</v>
      </c>
      <c r="O188" s="86">
        <f>IF(COUNT(O189:O191)=0,"",SUM(O189:O191))</f>
        <v>2</v>
      </c>
      <c r="P188" s="87"/>
      <c r="Q188" s="86">
        <f t="shared" si="195"/>
        <v>2</v>
      </c>
      <c r="R188" s="88"/>
      <c r="S188" s="88"/>
      <c r="T188" s="54" t="s">
        <v>65</v>
      </c>
      <c r="U188" s="26"/>
      <c r="V188" s="26"/>
      <c r="W188" s="26"/>
      <c r="X188" s="26"/>
      <c r="Y188" s="26"/>
      <c r="Z188" s="26"/>
      <c r="AA188" s="26"/>
      <c r="AB188" s="26"/>
      <c r="AC188" s="26"/>
    </row>
    <row r="189" ht="33.75" customHeight="1">
      <c r="A189" s="78" t="s">
        <v>355</v>
      </c>
      <c r="B189" s="79" t="s">
        <v>22</v>
      </c>
      <c r="C189" s="79" t="s">
        <v>331</v>
      </c>
      <c r="D189" s="79" t="s">
        <v>353</v>
      </c>
      <c r="E189" s="94" t="s">
        <v>354</v>
      </c>
      <c r="F189" s="95" t="s">
        <v>346</v>
      </c>
      <c r="G189" s="95" t="s">
        <v>154</v>
      </c>
      <c r="H189" s="97" t="s">
        <v>154</v>
      </c>
      <c r="I189" s="65"/>
      <c r="J189" s="95" t="s">
        <v>9</v>
      </c>
      <c r="K189" s="121" t="s">
        <v>9</v>
      </c>
      <c r="L189" s="83">
        <v>0.0</v>
      </c>
      <c r="M189" s="83">
        <f t="shared" si="187"/>
        <v>0.25</v>
      </c>
      <c r="N189" s="83">
        <v>0.5</v>
      </c>
      <c r="O189" s="68">
        <f t="shared" ref="O189:O191" si="199">IF(COUNT(L189:N189)=0,"",(L189+4*M189+N189)/6)</f>
        <v>0.25</v>
      </c>
      <c r="P189" s="84">
        <v>0.1</v>
      </c>
      <c r="Q189" s="63">
        <f t="shared" si="195"/>
        <v>0.275</v>
      </c>
      <c r="R189" s="85">
        <v>4.0</v>
      </c>
      <c r="S189" s="85">
        <v>1.0</v>
      </c>
      <c r="T189" s="65" t="s">
        <v>31</v>
      </c>
      <c r="U189" s="26"/>
      <c r="V189" s="26"/>
      <c r="W189" s="26"/>
      <c r="X189" s="26"/>
      <c r="Y189" s="26"/>
      <c r="Z189" s="26"/>
      <c r="AA189" s="26"/>
      <c r="AB189" s="26"/>
      <c r="AC189" s="26"/>
    </row>
    <row r="190" ht="33.75" customHeight="1">
      <c r="A190" s="78" t="s">
        <v>356</v>
      </c>
      <c r="B190" s="79" t="s">
        <v>22</v>
      </c>
      <c r="C190" s="79" t="s">
        <v>331</v>
      </c>
      <c r="D190" s="79" t="s">
        <v>353</v>
      </c>
      <c r="E190" s="94" t="s">
        <v>354</v>
      </c>
      <c r="F190" s="95" t="s">
        <v>346</v>
      </c>
      <c r="G190" s="95" t="s">
        <v>154</v>
      </c>
      <c r="H190" s="97" t="s">
        <v>154</v>
      </c>
      <c r="I190" s="65"/>
      <c r="J190" s="95" t="s">
        <v>9</v>
      </c>
      <c r="K190" s="121" t="s">
        <v>9</v>
      </c>
      <c r="L190" s="83">
        <v>0.5</v>
      </c>
      <c r="M190" s="83">
        <f t="shared" si="187"/>
        <v>1</v>
      </c>
      <c r="N190" s="83">
        <v>1.5</v>
      </c>
      <c r="O190" s="68">
        <f t="shared" si="199"/>
        <v>1</v>
      </c>
      <c r="P190" s="84">
        <v>0.1</v>
      </c>
      <c r="Q190" s="63">
        <f t="shared" si="195"/>
        <v>1.1</v>
      </c>
      <c r="R190" s="85">
        <v>4.0</v>
      </c>
      <c r="S190" s="85">
        <v>1.0</v>
      </c>
      <c r="T190" s="65" t="s">
        <v>32</v>
      </c>
      <c r="U190" s="26"/>
      <c r="V190" s="26"/>
      <c r="W190" s="26"/>
      <c r="X190" s="26"/>
      <c r="Y190" s="26"/>
      <c r="Z190" s="26"/>
      <c r="AA190" s="26"/>
      <c r="AB190" s="26"/>
      <c r="AC190" s="26"/>
    </row>
    <row r="191" ht="33.75" customHeight="1">
      <c r="A191" s="78" t="s">
        <v>357</v>
      </c>
      <c r="B191" s="79" t="s">
        <v>22</v>
      </c>
      <c r="C191" s="79" t="s">
        <v>331</v>
      </c>
      <c r="D191" s="79" t="s">
        <v>353</v>
      </c>
      <c r="E191" s="94" t="s">
        <v>354</v>
      </c>
      <c r="F191" s="95" t="s">
        <v>346</v>
      </c>
      <c r="G191" s="95" t="s">
        <v>154</v>
      </c>
      <c r="H191" s="97" t="s">
        <v>154</v>
      </c>
      <c r="I191" s="65"/>
      <c r="J191" s="95" t="s">
        <v>9</v>
      </c>
      <c r="K191" s="121" t="s">
        <v>9</v>
      </c>
      <c r="L191" s="83">
        <v>0.5</v>
      </c>
      <c r="M191" s="83">
        <f t="shared" si="187"/>
        <v>0.75</v>
      </c>
      <c r="N191" s="83">
        <v>1.0</v>
      </c>
      <c r="O191" s="68">
        <f t="shared" si="199"/>
        <v>0.75</v>
      </c>
      <c r="P191" s="84">
        <v>0.05</v>
      </c>
      <c r="Q191" s="63">
        <f t="shared" si="195"/>
        <v>0.7875</v>
      </c>
      <c r="R191" s="85">
        <v>5.0</v>
      </c>
      <c r="S191" s="85">
        <v>1.0</v>
      </c>
      <c r="T191" s="65" t="s">
        <v>70</v>
      </c>
      <c r="U191" s="26"/>
      <c r="V191" s="26"/>
      <c r="W191" s="26"/>
      <c r="X191" s="26"/>
      <c r="Y191" s="26"/>
      <c r="Z191" s="26"/>
      <c r="AA191" s="26"/>
      <c r="AB191" s="26"/>
      <c r="AC191" s="26"/>
    </row>
    <row r="192" ht="33.75" customHeight="1">
      <c r="A192" s="116" t="s">
        <v>358</v>
      </c>
      <c r="B192" s="77" t="s">
        <v>22</v>
      </c>
      <c r="C192" s="77" t="s">
        <v>331</v>
      </c>
      <c r="D192" s="77" t="s">
        <v>359</v>
      </c>
      <c r="E192" s="117" t="s">
        <v>360</v>
      </c>
      <c r="F192" s="118" t="s">
        <v>361</v>
      </c>
      <c r="G192" s="118" t="s">
        <v>168</v>
      </c>
      <c r="H192" s="54" t="s">
        <v>168</v>
      </c>
      <c r="I192" s="54"/>
      <c r="J192" s="118" t="s">
        <v>12</v>
      </c>
      <c r="K192" s="120" t="s">
        <v>12</v>
      </c>
      <c r="L192" s="86">
        <f>IF(COUNT(L193:N195)=0,"",SUM(L193:L195))</f>
        <v>2</v>
      </c>
      <c r="M192" s="86">
        <f t="shared" si="187"/>
        <v>2.75</v>
      </c>
      <c r="N192" s="86">
        <f>IF(COUNT(L193:N195)=0,"",SUM(N193:N195))</f>
        <v>3.5</v>
      </c>
      <c r="O192" s="86">
        <f>IF(COUNT(O193:O195)=0,"",SUM(O193:O195))</f>
        <v>2.75</v>
      </c>
      <c r="P192" s="87"/>
      <c r="Q192" s="86">
        <f t="shared" si="195"/>
        <v>2.75</v>
      </c>
      <c r="R192" s="88"/>
      <c r="S192" s="88"/>
      <c r="T192" s="54" t="s">
        <v>65</v>
      </c>
      <c r="U192" s="26"/>
      <c r="V192" s="26"/>
      <c r="W192" s="26"/>
      <c r="X192" s="26"/>
      <c r="Y192" s="26"/>
      <c r="Z192" s="26"/>
      <c r="AA192" s="26"/>
      <c r="AB192" s="26"/>
      <c r="AC192" s="26"/>
    </row>
    <row r="193" ht="33.75" customHeight="1">
      <c r="A193" s="78" t="s">
        <v>362</v>
      </c>
      <c r="B193" s="79" t="s">
        <v>22</v>
      </c>
      <c r="C193" s="79" t="s">
        <v>331</v>
      </c>
      <c r="D193" s="79" t="s">
        <v>359</v>
      </c>
      <c r="E193" s="94" t="s">
        <v>360</v>
      </c>
      <c r="F193" s="95" t="s">
        <v>361</v>
      </c>
      <c r="G193" s="95" t="s">
        <v>168</v>
      </c>
      <c r="H193" s="97" t="s">
        <v>168</v>
      </c>
      <c r="I193" s="65"/>
      <c r="J193" s="95" t="s">
        <v>12</v>
      </c>
      <c r="K193" s="121" t="s">
        <v>12</v>
      </c>
      <c r="L193" s="83">
        <v>0.5</v>
      </c>
      <c r="M193" s="83">
        <f t="shared" si="187"/>
        <v>0.75</v>
      </c>
      <c r="N193" s="83">
        <v>1.0</v>
      </c>
      <c r="O193" s="68">
        <f t="shared" ref="O193:O195" si="200">IF(COUNT(L193:N193)=0,"",(L193+4*M193+N193)/6)</f>
        <v>0.75</v>
      </c>
      <c r="P193" s="158"/>
      <c r="Q193" s="63">
        <f t="shared" si="195"/>
        <v>0.75</v>
      </c>
      <c r="R193" s="154"/>
      <c r="S193" s="154"/>
      <c r="T193" s="65" t="s">
        <v>31</v>
      </c>
      <c r="U193" s="26"/>
      <c r="V193" s="26"/>
      <c r="W193" s="26"/>
      <c r="X193" s="26"/>
      <c r="Y193" s="26"/>
      <c r="Z193" s="26"/>
      <c r="AA193" s="26"/>
      <c r="AB193" s="26"/>
      <c r="AC193" s="26"/>
    </row>
    <row r="194" ht="33.75" customHeight="1">
      <c r="A194" s="78" t="s">
        <v>363</v>
      </c>
      <c r="B194" s="79" t="s">
        <v>22</v>
      </c>
      <c r="C194" s="79" t="s">
        <v>331</v>
      </c>
      <c r="D194" s="79" t="s">
        <v>359</v>
      </c>
      <c r="E194" s="94" t="s">
        <v>360</v>
      </c>
      <c r="F194" s="95" t="s">
        <v>361</v>
      </c>
      <c r="G194" s="95" t="s">
        <v>168</v>
      </c>
      <c r="H194" s="65" t="s">
        <v>168</v>
      </c>
      <c r="I194" s="65"/>
      <c r="J194" s="95" t="s">
        <v>12</v>
      </c>
      <c r="K194" s="121" t="s">
        <v>12</v>
      </c>
      <c r="L194" s="83">
        <v>1.0</v>
      </c>
      <c r="M194" s="83">
        <f t="shared" si="187"/>
        <v>1.25</v>
      </c>
      <c r="N194" s="89">
        <v>1.5</v>
      </c>
      <c r="O194" s="68">
        <f t="shared" si="200"/>
        <v>1.25</v>
      </c>
      <c r="P194" s="158"/>
      <c r="Q194" s="63">
        <f t="shared" si="195"/>
        <v>1.25</v>
      </c>
      <c r="R194" s="154"/>
      <c r="S194" s="154"/>
      <c r="T194" s="65" t="s">
        <v>32</v>
      </c>
      <c r="U194" s="26"/>
      <c r="V194" s="26"/>
      <c r="W194" s="26"/>
      <c r="X194" s="26"/>
      <c r="Y194" s="26"/>
      <c r="Z194" s="26"/>
      <c r="AA194" s="26"/>
      <c r="AB194" s="26"/>
      <c r="AC194" s="26"/>
    </row>
    <row r="195" ht="33.75" customHeight="1">
      <c r="A195" s="78" t="s">
        <v>364</v>
      </c>
      <c r="B195" s="79" t="s">
        <v>22</v>
      </c>
      <c r="C195" s="79" t="s">
        <v>331</v>
      </c>
      <c r="D195" s="79" t="s">
        <v>359</v>
      </c>
      <c r="E195" s="94" t="s">
        <v>360</v>
      </c>
      <c r="F195" s="95" t="s">
        <v>361</v>
      </c>
      <c r="G195" s="95" t="s">
        <v>168</v>
      </c>
      <c r="H195" s="97" t="s">
        <v>168</v>
      </c>
      <c r="I195" s="65"/>
      <c r="J195" s="95" t="s">
        <v>12</v>
      </c>
      <c r="K195" s="121" t="s">
        <v>12</v>
      </c>
      <c r="L195" s="83">
        <v>0.5</v>
      </c>
      <c r="M195" s="83">
        <f t="shared" si="187"/>
        <v>0.75</v>
      </c>
      <c r="N195" s="83">
        <v>1.0</v>
      </c>
      <c r="O195" s="68">
        <f t="shared" si="200"/>
        <v>0.75</v>
      </c>
      <c r="P195" s="158"/>
      <c r="Q195" s="63">
        <f t="shared" si="195"/>
        <v>0.75</v>
      </c>
      <c r="R195" s="154"/>
      <c r="S195" s="154"/>
      <c r="T195" s="65" t="s">
        <v>70</v>
      </c>
      <c r="U195" s="26"/>
      <c r="V195" s="26"/>
      <c r="W195" s="26"/>
      <c r="X195" s="26"/>
      <c r="Y195" s="26"/>
      <c r="Z195" s="26"/>
      <c r="AA195" s="26"/>
      <c r="AB195" s="26"/>
      <c r="AC195" s="26"/>
    </row>
    <row r="196" ht="33.75" customHeight="1">
      <c r="A196" s="112" t="s">
        <v>365</v>
      </c>
      <c r="B196" s="38" t="s">
        <v>22</v>
      </c>
      <c r="C196" s="38" t="s">
        <v>366</v>
      </c>
      <c r="D196" s="38" t="s">
        <v>366</v>
      </c>
      <c r="E196" s="113" t="s">
        <v>367</v>
      </c>
      <c r="F196" s="114"/>
      <c r="G196" s="114"/>
      <c r="H196" s="123"/>
      <c r="I196" s="45"/>
      <c r="J196" s="114"/>
      <c r="K196" s="115"/>
      <c r="L196" s="42">
        <f>IF(COUNT(L197,L201,L205,L209,L213)=0,"",SUM(L197,L201,L205,L209,L213))</f>
        <v>4</v>
      </c>
      <c r="M196" s="42">
        <f t="shared" ref="M196:M242" si="203">(N196+L196)/2</f>
        <v>6</v>
      </c>
      <c r="N196" s="42">
        <f t="shared" ref="N196:O196" si="201">IF(COUNT(N197,N201,N205,N209,N213)=0,"",SUM(N197,N201,N205,N209,N213))</f>
        <v>8</v>
      </c>
      <c r="O196" s="42">
        <f t="shared" si="201"/>
        <v>6</v>
      </c>
      <c r="P196" s="43"/>
      <c r="Q196" s="42">
        <f>IF(COUNT(Q197,Q201,Q205,Q209,Q213)=0,"",SUM(Q197,Q201,Q205,Q209,Q213))</f>
        <v>6</v>
      </c>
      <c r="R196" s="44"/>
      <c r="S196" s="44"/>
      <c r="T196" s="45" t="s">
        <v>62</v>
      </c>
      <c r="U196" s="26"/>
      <c r="V196" s="26"/>
      <c r="W196" s="26"/>
      <c r="X196" s="46">
        <f t="shared" ref="X196:AA196" si="202">L196</f>
        <v>4</v>
      </c>
      <c r="Y196" s="46">
        <f t="shared" si="202"/>
        <v>6</v>
      </c>
      <c r="Z196" s="46">
        <f t="shared" si="202"/>
        <v>8</v>
      </c>
      <c r="AA196" s="46">
        <f t="shared" si="202"/>
        <v>6</v>
      </c>
      <c r="AB196" s="26"/>
      <c r="AC196" s="46">
        <f>Q196</f>
        <v>6</v>
      </c>
    </row>
    <row r="197" ht="33.75" customHeight="1">
      <c r="A197" s="116" t="s">
        <v>368</v>
      </c>
      <c r="B197" s="77" t="s">
        <v>22</v>
      </c>
      <c r="C197" s="77" t="s">
        <v>366</v>
      </c>
      <c r="D197" s="77" t="s">
        <v>369</v>
      </c>
      <c r="E197" s="117" t="s">
        <v>370</v>
      </c>
      <c r="F197" s="118" t="s">
        <v>305</v>
      </c>
      <c r="G197" s="118" t="s">
        <v>154</v>
      </c>
      <c r="H197" s="54" t="s">
        <v>154</v>
      </c>
      <c r="I197" s="54"/>
      <c r="J197" s="118" t="s">
        <v>9</v>
      </c>
      <c r="K197" s="120" t="s">
        <v>9</v>
      </c>
      <c r="L197" s="51">
        <f>IF(COUNT(L198:N200)=0,"",SUM(L198:L200))</f>
        <v>1.25</v>
      </c>
      <c r="M197" s="51">
        <f t="shared" si="203"/>
        <v>1.875</v>
      </c>
      <c r="N197" s="51">
        <f>IF(COUNT(L198:N200)=0,"",SUM(N198:N200))</f>
        <v>2.5</v>
      </c>
      <c r="O197" s="51">
        <f>IF(COUNT(O198:O200)=0,"",SUM(O198:O200))</f>
        <v>1.875</v>
      </c>
      <c r="P197" s="52"/>
      <c r="Q197" s="51">
        <f t="shared" ref="Q197:Q216" si="204">IF(O197="","",IF(P197="",O197,O197*(1+P197)))</f>
        <v>1.875</v>
      </c>
      <c r="R197" s="53"/>
      <c r="S197" s="53"/>
      <c r="T197" s="54" t="s">
        <v>65</v>
      </c>
      <c r="U197" s="26"/>
      <c r="V197" s="26"/>
      <c r="W197" s="26"/>
      <c r="X197" s="26"/>
      <c r="Y197" s="26"/>
      <c r="Z197" s="26"/>
      <c r="AA197" s="26"/>
      <c r="AB197" s="26"/>
      <c r="AC197" s="26"/>
    </row>
    <row r="198" ht="33.75" customHeight="1">
      <c r="A198" s="78" t="s">
        <v>371</v>
      </c>
      <c r="B198" s="79" t="s">
        <v>22</v>
      </c>
      <c r="C198" s="79" t="s">
        <v>366</v>
      </c>
      <c r="D198" s="79" t="s">
        <v>369</v>
      </c>
      <c r="E198" s="94" t="s">
        <v>370</v>
      </c>
      <c r="F198" s="95" t="s">
        <v>305</v>
      </c>
      <c r="G198" s="95" t="s">
        <v>154</v>
      </c>
      <c r="H198" s="97" t="s">
        <v>154</v>
      </c>
      <c r="I198" s="65"/>
      <c r="J198" s="95" t="s">
        <v>9</v>
      </c>
      <c r="K198" s="121" t="s">
        <v>9</v>
      </c>
      <c r="L198" s="129">
        <v>0.5</v>
      </c>
      <c r="M198" s="129">
        <f t="shared" si="203"/>
        <v>0.75</v>
      </c>
      <c r="N198" s="129">
        <v>1.0</v>
      </c>
      <c r="O198" s="130">
        <f t="shared" ref="O198:O200" si="205">IF(COUNT(L198:N198)=0,"",(L198+4*M198+N198)/6)</f>
        <v>0.75</v>
      </c>
      <c r="P198" s="159"/>
      <c r="Q198" s="131">
        <f t="shared" si="204"/>
        <v>0.75</v>
      </c>
      <c r="R198" s="132"/>
      <c r="S198" s="132"/>
      <c r="T198" s="65" t="s">
        <v>31</v>
      </c>
      <c r="U198" s="26"/>
      <c r="V198" s="26"/>
      <c r="W198" s="26"/>
      <c r="X198" s="26"/>
      <c r="Y198" s="26"/>
      <c r="Z198" s="26"/>
      <c r="AA198" s="26"/>
      <c r="AB198" s="26"/>
      <c r="AC198" s="26"/>
    </row>
    <row r="199" ht="33.75" customHeight="1">
      <c r="A199" s="78" t="s">
        <v>372</v>
      </c>
      <c r="B199" s="79" t="s">
        <v>22</v>
      </c>
      <c r="C199" s="79" t="s">
        <v>366</v>
      </c>
      <c r="D199" s="79" t="s">
        <v>369</v>
      </c>
      <c r="E199" s="94" t="s">
        <v>370</v>
      </c>
      <c r="F199" s="95" t="s">
        <v>305</v>
      </c>
      <c r="G199" s="95" t="s">
        <v>154</v>
      </c>
      <c r="H199" s="97" t="s">
        <v>154</v>
      </c>
      <c r="I199" s="65"/>
      <c r="J199" s="95" t="s">
        <v>9</v>
      </c>
      <c r="K199" s="121" t="s">
        <v>9</v>
      </c>
      <c r="L199" s="129">
        <v>0.5</v>
      </c>
      <c r="M199" s="129">
        <f t="shared" si="203"/>
        <v>0.75</v>
      </c>
      <c r="N199" s="129">
        <v>1.0</v>
      </c>
      <c r="O199" s="130">
        <f t="shared" si="205"/>
        <v>0.75</v>
      </c>
      <c r="P199" s="159"/>
      <c r="Q199" s="131">
        <f t="shared" si="204"/>
        <v>0.75</v>
      </c>
      <c r="R199" s="132"/>
      <c r="S199" s="132"/>
      <c r="T199" s="65" t="s">
        <v>32</v>
      </c>
      <c r="U199" s="26"/>
      <c r="V199" s="26"/>
      <c r="W199" s="26"/>
      <c r="X199" s="26"/>
      <c r="Y199" s="26"/>
      <c r="Z199" s="26"/>
      <c r="AA199" s="26"/>
      <c r="AB199" s="26"/>
      <c r="AC199" s="26"/>
    </row>
    <row r="200" ht="33.75" customHeight="1">
      <c r="A200" s="78" t="s">
        <v>373</v>
      </c>
      <c r="B200" s="79" t="s">
        <v>22</v>
      </c>
      <c r="C200" s="79" t="s">
        <v>366</v>
      </c>
      <c r="D200" s="79" t="s">
        <v>369</v>
      </c>
      <c r="E200" s="94" t="s">
        <v>370</v>
      </c>
      <c r="F200" s="95" t="s">
        <v>305</v>
      </c>
      <c r="G200" s="95" t="s">
        <v>154</v>
      </c>
      <c r="H200" s="97" t="s">
        <v>154</v>
      </c>
      <c r="I200" s="65"/>
      <c r="J200" s="95" t="s">
        <v>9</v>
      </c>
      <c r="K200" s="121" t="s">
        <v>9</v>
      </c>
      <c r="L200" s="129">
        <v>0.25</v>
      </c>
      <c r="M200" s="129">
        <f t="shared" si="203"/>
        <v>0.375</v>
      </c>
      <c r="N200" s="129">
        <v>0.5</v>
      </c>
      <c r="O200" s="130">
        <f t="shared" si="205"/>
        <v>0.375</v>
      </c>
      <c r="P200" s="159"/>
      <c r="Q200" s="131">
        <f t="shared" si="204"/>
        <v>0.375</v>
      </c>
      <c r="R200" s="132"/>
      <c r="S200" s="132"/>
      <c r="T200" s="65" t="s">
        <v>70</v>
      </c>
      <c r="U200" s="26"/>
      <c r="V200" s="26"/>
      <c r="W200" s="26"/>
      <c r="X200" s="26"/>
      <c r="Y200" s="26"/>
      <c r="Z200" s="26"/>
      <c r="AA200" s="26"/>
      <c r="AB200" s="26"/>
      <c r="AC200" s="26"/>
    </row>
    <row r="201" ht="33.75" customHeight="1">
      <c r="A201" s="116" t="s">
        <v>374</v>
      </c>
      <c r="B201" s="77" t="s">
        <v>22</v>
      </c>
      <c r="C201" s="77" t="s">
        <v>366</v>
      </c>
      <c r="D201" s="77" t="s">
        <v>375</v>
      </c>
      <c r="E201" s="117" t="s">
        <v>376</v>
      </c>
      <c r="F201" s="118" t="s">
        <v>320</v>
      </c>
      <c r="G201" s="118" t="s">
        <v>154</v>
      </c>
      <c r="H201" s="54" t="s">
        <v>154</v>
      </c>
      <c r="I201" s="54"/>
      <c r="J201" s="118" t="s">
        <v>9</v>
      </c>
      <c r="K201" s="120" t="s">
        <v>9</v>
      </c>
      <c r="L201" s="51">
        <f>IF(COUNT(L202:N204)=0,"",SUM(L202:L204))</f>
        <v>0.75</v>
      </c>
      <c r="M201" s="51">
        <f t="shared" si="203"/>
        <v>1.125</v>
      </c>
      <c r="N201" s="51">
        <f>IF(COUNT(L202:N204)=0,"",SUM(N202:N204))</f>
        <v>1.5</v>
      </c>
      <c r="O201" s="51">
        <f>IF(COUNT(O202:O204)=0,"",SUM(O202:O204))</f>
        <v>1.125</v>
      </c>
      <c r="P201" s="52"/>
      <c r="Q201" s="51">
        <f t="shared" si="204"/>
        <v>1.125</v>
      </c>
      <c r="R201" s="53"/>
      <c r="S201" s="53"/>
      <c r="T201" s="54" t="s">
        <v>65</v>
      </c>
      <c r="U201" s="26"/>
      <c r="V201" s="26"/>
      <c r="W201" s="26"/>
      <c r="X201" s="26"/>
      <c r="Y201" s="26"/>
      <c r="Z201" s="26"/>
      <c r="AA201" s="26"/>
      <c r="AB201" s="26"/>
      <c r="AC201" s="26"/>
    </row>
    <row r="202" ht="33.75" customHeight="1">
      <c r="A202" s="78" t="s">
        <v>377</v>
      </c>
      <c r="B202" s="79" t="s">
        <v>22</v>
      </c>
      <c r="C202" s="79" t="s">
        <v>366</v>
      </c>
      <c r="D202" s="79" t="s">
        <v>375</v>
      </c>
      <c r="E202" s="94" t="s">
        <v>376</v>
      </c>
      <c r="F202" s="95" t="s">
        <v>320</v>
      </c>
      <c r="G202" s="95" t="s">
        <v>154</v>
      </c>
      <c r="H202" s="97" t="s">
        <v>154</v>
      </c>
      <c r="I202" s="65"/>
      <c r="J202" s="95" t="s">
        <v>9</v>
      </c>
      <c r="K202" s="121" t="s">
        <v>9</v>
      </c>
      <c r="L202" s="129">
        <v>0.25</v>
      </c>
      <c r="M202" s="129">
        <f t="shared" si="203"/>
        <v>0.375</v>
      </c>
      <c r="N202" s="129">
        <v>0.5</v>
      </c>
      <c r="O202" s="130">
        <f t="shared" ref="O202:O204" si="206">IF(COUNT(L202:N202)=0,"",(L202+4*M202+N202)/6)</f>
        <v>0.375</v>
      </c>
      <c r="P202" s="159"/>
      <c r="Q202" s="131">
        <f t="shared" si="204"/>
        <v>0.375</v>
      </c>
      <c r="R202" s="132"/>
      <c r="S202" s="132"/>
      <c r="T202" s="65" t="s">
        <v>31</v>
      </c>
      <c r="U202" s="26"/>
      <c r="V202" s="26"/>
      <c r="W202" s="26"/>
      <c r="X202" s="26"/>
      <c r="Y202" s="26"/>
      <c r="Z202" s="26"/>
      <c r="AA202" s="26"/>
      <c r="AB202" s="26"/>
      <c r="AC202" s="26"/>
    </row>
    <row r="203" ht="33.75" customHeight="1">
      <c r="A203" s="78" t="s">
        <v>378</v>
      </c>
      <c r="B203" s="79" t="s">
        <v>22</v>
      </c>
      <c r="C203" s="79" t="s">
        <v>366</v>
      </c>
      <c r="D203" s="79" t="s">
        <v>375</v>
      </c>
      <c r="E203" s="94" t="s">
        <v>376</v>
      </c>
      <c r="F203" s="95" t="s">
        <v>320</v>
      </c>
      <c r="G203" s="95" t="s">
        <v>154</v>
      </c>
      <c r="H203" s="97" t="s">
        <v>154</v>
      </c>
      <c r="I203" s="65"/>
      <c r="J203" s="95" t="s">
        <v>9</v>
      </c>
      <c r="K203" s="121" t="s">
        <v>9</v>
      </c>
      <c r="L203" s="129">
        <v>0.25</v>
      </c>
      <c r="M203" s="129">
        <f t="shared" si="203"/>
        <v>0.375</v>
      </c>
      <c r="N203" s="129">
        <v>0.5</v>
      </c>
      <c r="O203" s="130">
        <f t="shared" si="206"/>
        <v>0.375</v>
      </c>
      <c r="P203" s="159"/>
      <c r="Q203" s="131">
        <f t="shared" si="204"/>
        <v>0.375</v>
      </c>
      <c r="R203" s="132"/>
      <c r="S203" s="132"/>
      <c r="T203" s="65" t="s">
        <v>32</v>
      </c>
      <c r="U203" s="26"/>
      <c r="V203" s="26"/>
      <c r="W203" s="26"/>
      <c r="X203" s="26"/>
      <c r="Y203" s="26"/>
      <c r="Z203" s="26"/>
      <c r="AA203" s="26"/>
      <c r="AB203" s="26"/>
      <c r="AC203" s="26"/>
    </row>
    <row r="204" ht="33.75" customHeight="1">
      <c r="A204" s="78" t="s">
        <v>379</v>
      </c>
      <c r="B204" s="79" t="s">
        <v>22</v>
      </c>
      <c r="C204" s="79" t="s">
        <v>366</v>
      </c>
      <c r="D204" s="79" t="s">
        <v>375</v>
      </c>
      <c r="E204" s="94" t="s">
        <v>376</v>
      </c>
      <c r="F204" s="95" t="s">
        <v>320</v>
      </c>
      <c r="G204" s="95" t="s">
        <v>154</v>
      </c>
      <c r="H204" s="97" t="s">
        <v>154</v>
      </c>
      <c r="I204" s="65"/>
      <c r="J204" s="95" t="s">
        <v>9</v>
      </c>
      <c r="K204" s="121" t="s">
        <v>9</v>
      </c>
      <c r="L204" s="129">
        <v>0.25</v>
      </c>
      <c r="M204" s="129">
        <f t="shared" si="203"/>
        <v>0.375</v>
      </c>
      <c r="N204" s="129">
        <v>0.5</v>
      </c>
      <c r="O204" s="130">
        <f t="shared" si="206"/>
        <v>0.375</v>
      </c>
      <c r="P204" s="159"/>
      <c r="Q204" s="131">
        <f t="shared" si="204"/>
        <v>0.375</v>
      </c>
      <c r="R204" s="132"/>
      <c r="S204" s="132"/>
      <c r="T204" s="65" t="s">
        <v>70</v>
      </c>
      <c r="U204" s="26"/>
      <c r="V204" s="26"/>
      <c r="W204" s="26"/>
      <c r="X204" s="26"/>
      <c r="Y204" s="26"/>
      <c r="Z204" s="26"/>
      <c r="AA204" s="26"/>
      <c r="AB204" s="26"/>
      <c r="AC204" s="26"/>
    </row>
    <row r="205" ht="33.75" customHeight="1">
      <c r="A205" s="116" t="s">
        <v>380</v>
      </c>
      <c r="B205" s="77" t="s">
        <v>22</v>
      </c>
      <c r="C205" s="77" t="s">
        <v>366</v>
      </c>
      <c r="D205" s="77" t="s">
        <v>381</v>
      </c>
      <c r="E205" s="117" t="s">
        <v>382</v>
      </c>
      <c r="F205" s="118" t="s">
        <v>305</v>
      </c>
      <c r="G205" s="118" t="s">
        <v>168</v>
      </c>
      <c r="H205" s="54" t="s">
        <v>168</v>
      </c>
      <c r="I205" s="54"/>
      <c r="J205" s="118" t="s">
        <v>9</v>
      </c>
      <c r="K205" s="120" t="s">
        <v>9</v>
      </c>
      <c r="L205" s="51">
        <f>IF(COUNT(L206:N208)=0,"",SUM(L206:L208))</f>
        <v>0.5</v>
      </c>
      <c r="M205" s="51">
        <f t="shared" si="203"/>
        <v>0.75</v>
      </c>
      <c r="N205" s="51">
        <f>IF(COUNT(L206:N208)=0,"",SUM(N206:N208))</f>
        <v>1</v>
      </c>
      <c r="O205" s="51">
        <f>IF(COUNT(O206:O208)=0,"",SUM(O206:O208))</f>
        <v>0.75</v>
      </c>
      <c r="P205" s="52"/>
      <c r="Q205" s="51">
        <f t="shared" si="204"/>
        <v>0.75</v>
      </c>
      <c r="R205" s="53"/>
      <c r="S205" s="53"/>
      <c r="T205" s="54" t="s">
        <v>65</v>
      </c>
      <c r="U205" s="26"/>
      <c r="V205" s="26"/>
      <c r="W205" s="26"/>
      <c r="X205" s="26"/>
      <c r="Y205" s="26"/>
      <c r="Z205" s="26"/>
      <c r="AA205" s="26"/>
      <c r="AB205" s="26"/>
      <c r="AC205" s="26"/>
    </row>
    <row r="206" ht="33.75" customHeight="1">
      <c r="A206" s="78" t="s">
        <v>383</v>
      </c>
      <c r="B206" s="79" t="s">
        <v>22</v>
      </c>
      <c r="C206" s="79" t="s">
        <v>366</v>
      </c>
      <c r="D206" s="79" t="s">
        <v>381</v>
      </c>
      <c r="E206" s="94" t="s">
        <v>382</v>
      </c>
      <c r="F206" s="95" t="s">
        <v>305</v>
      </c>
      <c r="G206" s="95" t="s">
        <v>168</v>
      </c>
      <c r="H206" s="97" t="s">
        <v>168</v>
      </c>
      <c r="I206" s="65"/>
      <c r="J206" s="95" t="s">
        <v>9</v>
      </c>
      <c r="K206" s="121" t="s">
        <v>9</v>
      </c>
      <c r="L206" s="129">
        <v>0.0</v>
      </c>
      <c r="M206" s="129">
        <f t="shared" si="203"/>
        <v>0</v>
      </c>
      <c r="N206" s="129">
        <v>0.0</v>
      </c>
      <c r="O206" s="130">
        <f t="shared" ref="O206:O208" si="207">IF(COUNT(L206:N206)=0,"",(L206+4*M206+N206)/6)</f>
        <v>0</v>
      </c>
      <c r="P206" s="159"/>
      <c r="Q206" s="131">
        <f t="shared" si="204"/>
        <v>0</v>
      </c>
      <c r="R206" s="132"/>
      <c r="S206" s="132"/>
      <c r="T206" s="65" t="s">
        <v>31</v>
      </c>
      <c r="U206" s="26"/>
      <c r="V206" s="26"/>
      <c r="W206" s="26"/>
      <c r="X206" s="26"/>
      <c r="Y206" s="26"/>
      <c r="Z206" s="26"/>
      <c r="AA206" s="26"/>
      <c r="AB206" s="26"/>
      <c r="AC206" s="26"/>
    </row>
    <row r="207" ht="33.75" customHeight="1">
      <c r="A207" s="78" t="s">
        <v>384</v>
      </c>
      <c r="B207" s="79" t="s">
        <v>22</v>
      </c>
      <c r="C207" s="79" t="s">
        <v>366</v>
      </c>
      <c r="D207" s="79" t="s">
        <v>381</v>
      </c>
      <c r="E207" s="94" t="s">
        <v>382</v>
      </c>
      <c r="F207" s="95" t="s">
        <v>305</v>
      </c>
      <c r="G207" s="95" t="s">
        <v>168</v>
      </c>
      <c r="H207" s="97" t="s">
        <v>168</v>
      </c>
      <c r="I207" s="65"/>
      <c r="J207" s="95" t="s">
        <v>9</v>
      </c>
      <c r="K207" s="121" t="s">
        <v>9</v>
      </c>
      <c r="L207" s="129">
        <v>0.25</v>
      </c>
      <c r="M207" s="129">
        <f t="shared" si="203"/>
        <v>0.375</v>
      </c>
      <c r="N207" s="129">
        <v>0.5</v>
      </c>
      <c r="O207" s="130">
        <f t="shared" si="207"/>
        <v>0.375</v>
      </c>
      <c r="P207" s="159"/>
      <c r="Q207" s="131">
        <f t="shared" si="204"/>
        <v>0.375</v>
      </c>
      <c r="R207" s="132"/>
      <c r="S207" s="132"/>
      <c r="T207" s="65" t="s">
        <v>32</v>
      </c>
      <c r="U207" s="26"/>
      <c r="V207" s="26"/>
      <c r="W207" s="26"/>
      <c r="X207" s="26"/>
      <c r="Y207" s="26"/>
      <c r="Z207" s="26"/>
      <c r="AA207" s="26"/>
      <c r="AB207" s="26"/>
      <c r="AC207" s="26"/>
    </row>
    <row r="208" ht="33.75" customHeight="1">
      <c r="A208" s="78" t="s">
        <v>385</v>
      </c>
      <c r="B208" s="79" t="s">
        <v>22</v>
      </c>
      <c r="C208" s="79" t="s">
        <v>366</v>
      </c>
      <c r="D208" s="79" t="s">
        <v>381</v>
      </c>
      <c r="E208" s="94" t="s">
        <v>382</v>
      </c>
      <c r="F208" s="95" t="s">
        <v>305</v>
      </c>
      <c r="G208" s="95" t="s">
        <v>168</v>
      </c>
      <c r="H208" s="97" t="s">
        <v>168</v>
      </c>
      <c r="I208" s="65"/>
      <c r="J208" s="95" t="s">
        <v>9</v>
      </c>
      <c r="K208" s="121" t="s">
        <v>9</v>
      </c>
      <c r="L208" s="129">
        <v>0.25</v>
      </c>
      <c r="M208" s="129">
        <f t="shared" si="203"/>
        <v>0.375</v>
      </c>
      <c r="N208" s="129">
        <v>0.5</v>
      </c>
      <c r="O208" s="130">
        <f t="shared" si="207"/>
        <v>0.375</v>
      </c>
      <c r="P208" s="159"/>
      <c r="Q208" s="131">
        <f t="shared" si="204"/>
        <v>0.375</v>
      </c>
      <c r="R208" s="132"/>
      <c r="S208" s="132"/>
      <c r="T208" s="65" t="s">
        <v>70</v>
      </c>
      <c r="U208" s="26"/>
      <c r="V208" s="26"/>
      <c r="W208" s="26"/>
      <c r="X208" s="26"/>
      <c r="Y208" s="26"/>
      <c r="Z208" s="26"/>
      <c r="AA208" s="26"/>
      <c r="AB208" s="26"/>
      <c r="AC208" s="26"/>
    </row>
    <row r="209" ht="33.75" customHeight="1">
      <c r="A209" s="116" t="s">
        <v>386</v>
      </c>
      <c r="B209" s="77" t="s">
        <v>22</v>
      </c>
      <c r="C209" s="77" t="s">
        <v>366</v>
      </c>
      <c r="D209" s="77" t="s">
        <v>387</v>
      </c>
      <c r="E209" s="117" t="s">
        <v>388</v>
      </c>
      <c r="F209" s="118" t="s">
        <v>346</v>
      </c>
      <c r="G209" s="118" t="s">
        <v>154</v>
      </c>
      <c r="H209" s="54" t="s">
        <v>154</v>
      </c>
      <c r="I209" s="54"/>
      <c r="J209" s="118" t="s">
        <v>9</v>
      </c>
      <c r="K209" s="120" t="s">
        <v>9</v>
      </c>
      <c r="L209" s="51">
        <f>IF(COUNT(L210:N212)=0,"",SUM(L210:L212))</f>
        <v>0.75</v>
      </c>
      <c r="M209" s="51">
        <f t="shared" si="203"/>
        <v>1.125</v>
      </c>
      <c r="N209" s="51">
        <f>IF(COUNT(L210:N212)=0,"",SUM(N210:N212))</f>
        <v>1.5</v>
      </c>
      <c r="O209" s="51">
        <f>IF(COUNT(O210:O212)=0,"",SUM(O210:O212))</f>
        <v>1.125</v>
      </c>
      <c r="P209" s="52"/>
      <c r="Q209" s="51">
        <f t="shared" si="204"/>
        <v>1.125</v>
      </c>
      <c r="R209" s="53"/>
      <c r="S209" s="53"/>
      <c r="T209" s="54" t="s">
        <v>65</v>
      </c>
      <c r="U209" s="26"/>
      <c r="V209" s="26"/>
      <c r="W209" s="26"/>
      <c r="X209" s="26"/>
      <c r="Y209" s="26"/>
      <c r="Z209" s="26"/>
      <c r="AA209" s="26"/>
      <c r="AB209" s="26"/>
      <c r="AC209" s="26"/>
    </row>
    <row r="210" ht="33.75" customHeight="1">
      <c r="A210" s="78" t="s">
        <v>389</v>
      </c>
      <c r="B210" s="79" t="s">
        <v>22</v>
      </c>
      <c r="C210" s="79" t="s">
        <v>366</v>
      </c>
      <c r="D210" s="79" t="s">
        <v>387</v>
      </c>
      <c r="E210" s="94" t="s">
        <v>388</v>
      </c>
      <c r="F210" s="95" t="s">
        <v>346</v>
      </c>
      <c r="G210" s="95" t="s">
        <v>154</v>
      </c>
      <c r="H210" s="97" t="s">
        <v>154</v>
      </c>
      <c r="I210" s="65"/>
      <c r="J210" s="95" t="s">
        <v>9</v>
      </c>
      <c r="K210" s="121" t="s">
        <v>9</v>
      </c>
      <c r="L210" s="129">
        <v>0.25</v>
      </c>
      <c r="M210" s="129">
        <f t="shared" si="203"/>
        <v>0.375</v>
      </c>
      <c r="N210" s="129">
        <v>0.5</v>
      </c>
      <c r="O210" s="130">
        <f t="shared" ref="O210:O212" si="208">IF(COUNT(L210:N210)=0,"",(L210+4*M210+N210)/6)</f>
        <v>0.375</v>
      </c>
      <c r="P210" s="159"/>
      <c r="Q210" s="131">
        <f t="shared" si="204"/>
        <v>0.375</v>
      </c>
      <c r="R210" s="132"/>
      <c r="S210" s="132"/>
      <c r="T210" s="65" t="s">
        <v>31</v>
      </c>
      <c r="U210" s="26"/>
      <c r="V210" s="26"/>
      <c r="W210" s="26"/>
      <c r="X210" s="26"/>
      <c r="Y210" s="26"/>
      <c r="Z210" s="26"/>
      <c r="AA210" s="26"/>
      <c r="AB210" s="26"/>
      <c r="AC210" s="26"/>
    </row>
    <row r="211" ht="33.75" customHeight="1">
      <c r="A211" s="78" t="s">
        <v>390</v>
      </c>
      <c r="B211" s="79" t="s">
        <v>22</v>
      </c>
      <c r="C211" s="79" t="s">
        <v>366</v>
      </c>
      <c r="D211" s="79" t="s">
        <v>387</v>
      </c>
      <c r="E211" s="94" t="s">
        <v>388</v>
      </c>
      <c r="F211" s="95" t="s">
        <v>346</v>
      </c>
      <c r="G211" s="95" t="s">
        <v>154</v>
      </c>
      <c r="H211" s="97" t="s">
        <v>154</v>
      </c>
      <c r="I211" s="65"/>
      <c r="J211" s="95" t="s">
        <v>9</v>
      </c>
      <c r="K211" s="121" t="s">
        <v>9</v>
      </c>
      <c r="L211" s="129">
        <v>0.25</v>
      </c>
      <c r="M211" s="129">
        <f t="shared" si="203"/>
        <v>0.375</v>
      </c>
      <c r="N211" s="129">
        <v>0.5</v>
      </c>
      <c r="O211" s="130">
        <f t="shared" si="208"/>
        <v>0.375</v>
      </c>
      <c r="P211" s="159"/>
      <c r="Q211" s="131">
        <f t="shared" si="204"/>
        <v>0.375</v>
      </c>
      <c r="R211" s="132"/>
      <c r="S211" s="132"/>
      <c r="T211" s="65" t="s">
        <v>32</v>
      </c>
      <c r="U211" s="26"/>
      <c r="V211" s="26"/>
      <c r="W211" s="26"/>
      <c r="X211" s="26"/>
      <c r="Y211" s="26"/>
      <c r="Z211" s="26"/>
      <c r="AA211" s="26"/>
      <c r="AB211" s="26"/>
      <c r="AC211" s="26"/>
    </row>
    <row r="212" ht="33.75" customHeight="1">
      <c r="A212" s="78" t="s">
        <v>391</v>
      </c>
      <c r="B212" s="79" t="s">
        <v>22</v>
      </c>
      <c r="C212" s="79" t="s">
        <v>366</v>
      </c>
      <c r="D212" s="79" t="s">
        <v>387</v>
      </c>
      <c r="E212" s="94" t="s">
        <v>388</v>
      </c>
      <c r="F212" s="95" t="s">
        <v>346</v>
      </c>
      <c r="G212" s="95" t="s">
        <v>154</v>
      </c>
      <c r="H212" s="97" t="s">
        <v>154</v>
      </c>
      <c r="I212" s="65"/>
      <c r="J212" s="95" t="s">
        <v>9</v>
      </c>
      <c r="K212" s="121" t="s">
        <v>9</v>
      </c>
      <c r="L212" s="129">
        <v>0.25</v>
      </c>
      <c r="M212" s="129">
        <f t="shared" si="203"/>
        <v>0.375</v>
      </c>
      <c r="N212" s="129">
        <v>0.5</v>
      </c>
      <c r="O212" s="130">
        <f t="shared" si="208"/>
        <v>0.375</v>
      </c>
      <c r="P212" s="159"/>
      <c r="Q212" s="131">
        <f t="shared" si="204"/>
        <v>0.375</v>
      </c>
      <c r="R212" s="132"/>
      <c r="S212" s="132"/>
      <c r="T212" s="65" t="s">
        <v>70</v>
      </c>
      <c r="U212" s="26"/>
      <c r="V212" s="26"/>
      <c r="W212" s="26"/>
      <c r="X212" s="26"/>
      <c r="Y212" s="26"/>
      <c r="Z212" s="26"/>
      <c r="AA212" s="26"/>
      <c r="AB212" s="26"/>
      <c r="AC212" s="26"/>
    </row>
    <row r="213" ht="33.75" customHeight="1">
      <c r="A213" s="116" t="s">
        <v>392</v>
      </c>
      <c r="B213" s="77" t="s">
        <v>22</v>
      </c>
      <c r="C213" s="77" t="s">
        <v>366</v>
      </c>
      <c r="D213" s="77" t="s">
        <v>393</v>
      </c>
      <c r="E213" s="117" t="s">
        <v>394</v>
      </c>
      <c r="F213" s="118" t="s">
        <v>305</v>
      </c>
      <c r="G213" s="118" t="s">
        <v>154</v>
      </c>
      <c r="H213" s="54" t="s">
        <v>154</v>
      </c>
      <c r="I213" s="54"/>
      <c r="J213" s="118" t="s">
        <v>9</v>
      </c>
      <c r="K213" s="120" t="s">
        <v>9</v>
      </c>
      <c r="L213" s="51">
        <f>IF(COUNT(L214:N216)=0,"",SUM(L214:L216))</f>
        <v>0.75</v>
      </c>
      <c r="M213" s="51">
        <f t="shared" si="203"/>
        <v>1.125</v>
      </c>
      <c r="N213" s="51">
        <f>IF(COUNT(L214:N216)=0,"",SUM(N214:N216))</f>
        <v>1.5</v>
      </c>
      <c r="O213" s="51">
        <f>IF(COUNT(O214:O216)=0,"",SUM(O214:O216))</f>
        <v>1.125</v>
      </c>
      <c r="P213" s="52"/>
      <c r="Q213" s="51">
        <f t="shared" si="204"/>
        <v>1.125</v>
      </c>
      <c r="R213" s="53"/>
      <c r="S213" s="53"/>
      <c r="T213" s="54" t="s">
        <v>65</v>
      </c>
      <c r="U213" s="26"/>
      <c r="V213" s="26"/>
      <c r="W213" s="26"/>
      <c r="X213" s="26"/>
      <c r="Y213" s="26"/>
      <c r="Z213" s="26"/>
      <c r="AA213" s="26"/>
      <c r="AB213" s="26"/>
      <c r="AC213" s="26"/>
    </row>
    <row r="214" ht="33.75" customHeight="1">
      <c r="A214" s="78" t="s">
        <v>395</v>
      </c>
      <c r="B214" s="79" t="s">
        <v>22</v>
      </c>
      <c r="C214" s="79" t="s">
        <v>366</v>
      </c>
      <c r="D214" s="79" t="s">
        <v>393</v>
      </c>
      <c r="E214" s="94" t="s">
        <v>394</v>
      </c>
      <c r="F214" s="95" t="s">
        <v>305</v>
      </c>
      <c r="G214" s="95" t="s">
        <v>154</v>
      </c>
      <c r="H214" s="65" t="s">
        <v>154</v>
      </c>
      <c r="I214" s="65"/>
      <c r="J214" s="95" t="s">
        <v>9</v>
      </c>
      <c r="K214" s="121" t="s">
        <v>9</v>
      </c>
      <c r="L214" s="129">
        <v>0.25</v>
      </c>
      <c r="M214" s="129">
        <f t="shared" si="203"/>
        <v>0.375</v>
      </c>
      <c r="N214" s="129">
        <v>0.5</v>
      </c>
      <c r="O214" s="130">
        <f t="shared" ref="O214:O216" si="209">IF(COUNT(L214:N214)=0,"",(L214+4*M214+N214)/6)</f>
        <v>0.375</v>
      </c>
      <c r="P214" s="159"/>
      <c r="Q214" s="131">
        <f t="shared" si="204"/>
        <v>0.375</v>
      </c>
      <c r="R214" s="132"/>
      <c r="S214" s="132"/>
      <c r="T214" s="65" t="s">
        <v>31</v>
      </c>
      <c r="U214" s="26"/>
      <c r="V214" s="26"/>
      <c r="W214" s="26"/>
      <c r="X214" s="26"/>
      <c r="Y214" s="26"/>
      <c r="Z214" s="26"/>
      <c r="AA214" s="26"/>
      <c r="AB214" s="26"/>
      <c r="AC214" s="26"/>
    </row>
    <row r="215" ht="33.75" customHeight="1">
      <c r="A215" s="78" t="s">
        <v>396</v>
      </c>
      <c r="B215" s="79" t="s">
        <v>22</v>
      </c>
      <c r="C215" s="79" t="s">
        <v>366</v>
      </c>
      <c r="D215" s="79" t="s">
        <v>393</v>
      </c>
      <c r="E215" s="94" t="s">
        <v>394</v>
      </c>
      <c r="F215" s="95" t="s">
        <v>305</v>
      </c>
      <c r="G215" s="95" t="s">
        <v>154</v>
      </c>
      <c r="H215" s="97" t="s">
        <v>154</v>
      </c>
      <c r="I215" s="65"/>
      <c r="J215" s="95" t="s">
        <v>9</v>
      </c>
      <c r="K215" s="121" t="s">
        <v>9</v>
      </c>
      <c r="L215" s="129">
        <v>0.25</v>
      </c>
      <c r="M215" s="129">
        <f t="shared" si="203"/>
        <v>0.375</v>
      </c>
      <c r="N215" s="129">
        <v>0.5</v>
      </c>
      <c r="O215" s="130">
        <f t="shared" si="209"/>
        <v>0.375</v>
      </c>
      <c r="P215" s="159"/>
      <c r="Q215" s="131">
        <f t="shared" si="204"/>
        <v>0.375</v>
      </c>
      <c r="R215" s="132"/>
      <c r="S215" s="132"/>
      <c r="T215" s="65" t="s">
        <v>32</v>
      </c>
      <c r="U215" s="26"/>
      <c r="V215" s="26"/>
      <c r="W215" s="26"/>
      <c r="X215" s="26"/>
      <c r="Y215" s="26"/>
      <c r="Z215" s="26"/>
      <c r="AA215" s="26"/>
      <c r="AB215" s="26"/>
      <c r="AC215" s="26"/>
    </row>
    <row r="216" ht="33.75" customHeight="1">
      <c r="A216" s="78" t="s">
        <v>397</v>
      </c>
      <c r="B216" s="79" t="s">
        <v>22</v>
      </c>
      <c r="C216" s="79" t="s">
        <v>366</v>
      </c>
      <c r="D216" s="79" t="s">
        <v>393</v>
      </c>
      <c r="E216" s="94" t="s">
        <v>394</v>
      </c>
      <c r="F216" s="95" t="s">
        <v>305</v>
      </c>
      <c r="G216" s="95" t="s">
        <v>154</v>
      </c>
      <c r="H216" s="97" t="s">
        <v>154</v>
      </c>
      <c r="I216" s="65"/>
      <c r="J216" s="95" t="s">
        <v>9</v>
      </c>
      <c r="K216" s="121" t="s">
        <v>9</v>
      </c>
      <c r="L216" s="129">
        <v>0.25</v>
      </c>
      <c r="M216" s="129">
        <f t="shared" si="203"/>
        <v>0.375</v>
      </c>
      <c r="N216" s="129">
        <v>0.5</v>
      </c>
      <c r="O216" s="130">
        <f t="shared" si="209"/>
        <v>0.375</v>
      </c>
      <c r="P216" s="159"/>
      <c r="Q216" s="131">
        <f t="shared" si="204"/>
        <v>0.375</v>
      </c>
      <c r="R216" s="132"/>
      <c r="S216" s="132"/>
      <c r="T216" s="65" t="s">
        <v>70</v>
      </c>
      <c r="U216" s="26"/>
      <c r="V216" s="26"/>
      <c r="W216" s="26"/>
      <c r="X216" s="26"/>
      <c r="Y216" s="26"/>
      <c r="Z216" s="26"/>
      <c r="AA216" s="26"/>
      <c r="AB216" s="26"/>
      <c r="AC216" s="26"/>
    </row>
    <row r="217" ht="33.75" customHeight="1">
      <c r="A217" s="112" t="s">
        <v>398</v>
      </c>
      <c r="B217" s="38" t="s">
        <v>22</v>
      </c>
      <c r="C217" s="38" t="s">
        <v>399</v>
      </c>
      <c r="D217" s="38" t="s">
        <v>399</v>
      </c>
      <c r="E217" s="113" t="s">
        <v>400</v>
      </c>
      <c r="F217" s="114"/>
      <c r="G217" s="114"/>
      <c r="H217" s="123"/>
      <c r="I217" s="123"/>
      <c r="J217" s="114"/>
      <c r="K217" s="115"/>
      <c r="L217" s="42">
        <f>IF(COUNT(L218,L222,L226,L230)=0,"",SUM(L218,L222,L226,L230))</f>
        <v>3.75</v>
      </c>
      <c r="M217" s="42">
        <f t="shared" si="203"/>
        <v>5.875</v>
      </c>
      <c r="N217" s="42">
        <f t="shared" ref="N217:O217" si="210">IF(COUNT(N218,N222,N226,N230)=0,"",SUM(N218,N222,N226,N230))</f>
        <v>8</v>
      </c>
      <c r="O217" s="42">
        <f t="shared" si="210"/>
        <v>5.875</v>
      </c>
      <c r="P217" s="124"/>
      <c r="Q217" s="42">
        <f>IF(COUNT(Q218,Q222,Q226,Q230)=0,"",SUM(Q218,Q222,Q226,Q230))</f>
        <v>5.875</v>
      </c>
      <c r="R217" s="126"/>
      <c r="S217" s="126"/>
      <c r="T217" s="123" t="s">
        <v>62</v>
      </c>
      <c r="U217" s="26"/>
      <c r="V217" s="26"/>
      <c r="W217" s="26"/>
      <c r="X217" s="46">
        <f t="shared" ref="X217:AA217" si="211">L217</f>
        <v>3.75</v>
      </c>
      <c r="Y217" s="46">
        <f t="shared" si="211"/>
        <v>5.875</v>
      </c>
      <c r="Z217" s="46">
        <f t="shared" si="211"/>
        <v>8</v>
      </c>
      <c r="AA217" s="46">
        <f t="shared" si="211"/>
        <v>5.875</v>
      </c>
      <c r="AB217" s="26"/>
      <c r="AC217" s="46">
        <f>Q217</f>
        <v>5.875</v>
      </c>
    </row>
    <row r="218" ht="33.75" customHeight="1">
      <c r="A218" s="116" t="s">
        <v>401</v>
      </c>
      <c r="B218" s="77" t="s">
        <v>22</v>
      </c>
      <c r="C218" s="77" t="s">
        <v>399</v>
      </c>
      <c r="D218" s="77" t="s">
        <v>402</v>
      </c>
      <c r="E218" s="117" t="s">
        <v>403</v>
      </c>
      <c r="F218" s="118" t="s">
        <v>339</v>
      </c>
      <c r="G218" s="118" t="s">
        <v>200</v>
      </c>
      <c r="H218" s="54" t="s">
        <v>200</v>
      </c>
      <c r="I218" s="54"/>
      <c r="J218" s="118" t="s">
        <v>9</v>
      </c>
      <c r="K218" s="120" t="s">
        <v>9</v>
      </c>
      <c r="L218" s="51">
        <f>IF(COUNT(L219:N221)=0,"",SUM(L219:L221))</f>
        <v>1.25</v>
      </c>
      <c r="M218" s="51">
        <f t="shared" si="203"/>
        <v>1.875</v>
      </c>
      <c r="N218" s="51">
        <f>IF(COUNT(L219:N221)=0,"",SUM(N219:N221))</f>
        <v>2.5</v>
      </c>
      <c r="O218" s="51">
        <f>IF(COUNT(O219:O221)=0,"",SUM(O219:O221))</f>
        <v>1.875</v>
      </c>
      <c r="P218" s="52"/>
      <c r="Q218" s="51">
        <f t="shared" ref="Q218:Q233" si="212">IF(O218="","",IF(P218="",O218,O218*(1+P218)))</f>
        <v>1.875</v>
      </c>
      <c r="R218" s="53"/>
      <c r="S218" s="53"/>
      <c r="T218" s="54" t="s">
        <v>65</v>
      </c>
      <c r="U218" s="26"/>
      <c r="V218" s="26"/>
      <c r="W218" s="26"/>
      <c r="X218" s="26"/>
      <c r="Y218" s="26"/>
      <c r="Z218" s="26"/>
      <c r="AA218" s="26"/>
      <c r="AB218" s="26"/>
      <c r="AC218" s="26"/>
    </row>
    <row r="219" ht="33.75" customHeight="1">
      <c r="A219" s="78" t="s">
        <v>404</v>
      </c>
      <c r="B219" s="79" t="s">
        <v>22</v>
      </c>
      <c r="C219" s="79" t="s">
        <v>399</v>
      </c>
      <c r="D219" s="79" t="s">
        <v>402</v>
      </c>
      <c r="E219" s="94" t="s">
        <v>403</v>
      </c>
      <c r="F219" s="95" t="s">
        <v>339</v>
      </c>
      <c r="G219" s="95" t="s">
        <v>200</v>
      </c>
      <c r="H219" s="97" t="s">
        <v>200</v>
      </c>
      <c r="I219" s="65"/>
      <c r="J219" s="95" t="s">
        <v>9</v>
      </c>
      <c r="K219" s="121" t="s">
        <v>9</v>
      </c>
      <c r="L219" s="129">
        <v>0.0</v>
      </c>
      <c r="M219" s="129">
        <f t="shared" si="203"/>
        <v>0</v>
      </c>
      <c r="N219" s="129">
        <v>0.0</v>
      </c>
      <c r="O219" s="130">
        <f t="shared" ref="O219:O221" si="213">IF(COUNT(L219:N219)=0,"",(L219+4*M219+N219)/6)</f>
        <v>0</v>
      </c>
      <c r="P219" s="159"/>
      <c r="Q219" s="131">
        <f t="shared" si="212"/>
        <v>0</v>
      </c>
      <c r="R219" s="132"/>
      <c r="S219" s="132"/>
      <c r="T219" s="65" t="s">
        <v>31</v>
      </c>
      <c r="U219" s="26"/>
      <c r="V219" s="26"/>
      <c r="W219" s="26"/>
      <c r="X219" s="26"/>
      <c r="Y219" s="26"/>
      <c r="Z219" s="26"/>
      <c r="AA219" s="26"/>
      <c r="AB219" s="26"/>
      <c r="AC219" s="26"/>
    </row>
    <row r="220" ht="33.75" customHeight="1">
      <c r="A220" s="78" t="s">
        <v>405</v>
      </c>
      <c r="B220" s="79" t="s">
        <v>22</v>
      </c>
      <c r="C220" s="79" t="s">
        <v>399</v>
      </c>
      <c r="D220" s="79" t="s">
        <v>402</v>
      </c>
      <c r="E220" s="94" t="s">
        <v>403</v>
      </c>
      <c r="F220" s="95" t="s">
        <v>339</v>
      </c>
      <c r="G220" s="95" t="s">
        <v>200</v>
      </c>
      <c r="H220" s="97" t="s">
        <v>200</v>
      </c>
      <c r="I220" s="65"/>
      <c r="J220" s="95" t="s">
        <v>9</v>
      </c>
      <c r="K220" s="121" t="s">
        <v>9</v>
      </c>
      <c r="L220" s="129">
        <v>1.0</v>
      </c>
      <c r="M220" s="129">
        <f t="shared" si="203"/>
        <v>1.5</v>
      </c>
      <c r="N220" s="129">
        <v>2.0</v>
      </c>
      <c r="O220" s="130">
        <f t="shared" si="213"/>
        <v>1.5</v>
      </c>
      <c r="P220" s="159"/>
      <c r="Q220" s="131">
        <f t="shared" si="212"/>
        <v>1.5</v>
      </c>
      <c r="R220" s="132"/>
      <c r="S220" s="132"/>
      <c r="T220" s="65" t="s">
        <v>32</v>
      </c>
      <c r="U220" s="26"/>
      <c r="V220" s="26"/>
      <c r="W220" s="26"/>
      <c r="X220" s="26"/>
      <c r="Y220" s="26"/>
      <c r="Z220" s="26"/>
      <c r="AA220" s="26"/>
      <c r="AB220" s="26"/>
      <c r="AC220" s="26"/>
    </row>
    <row r="221" ht="33.75" customHeight="1">
      <c r="A221" s="78" t="s">
        <v>406</v>
      </c>
      <c r="B221" s="79" t="s">
        <v>22</v>
      </c>
      <c r="C221" s="79" t="s">
        <v>399</v>
      </c>
      <c r="D221" s="79" t="s">
        <v>402</v>
      </c>
      <c r="E221" s="94" t="s">
        <v>403</v>
      </c>
      <c r="F221" s="95" t="s">
        <v>339</v>
      </c>
      <c r="G221" s="95" t="s">
        <v>200</v>
      </c>
      <c r="H221" s="97" t="s">
        <v>200</v>
      </c>
      <c r="I221" s="65"/>
      <c r="J221" s="95" t="s">
        <v>9</v>
      </c>
      <c r="K221" s="121" t="s">
        <v>9</v>
      </c>
      <c r="L221" s="129">
        <v>0.25</v>
      </c>
      <c r="M221" s="129">
        <f t="shared" si="203"/>
        <v>0.375</v>
      </c>
      <c r="N221" s="129">
        <v>0.5</v>
      </c>
      <c r="O221" s="130">
        <f t="shared" si="213"/>
        <v>0.375</v>
      </c>
      <c r="P221" s="159"/>
      <c r="Q221" s="131">
        <f t="shared" si="212"/>
        <v>0.375</v>
      </c>
      <c r="R221" s="132"/>
      <c r="S221" s="132"/>
      <c r="T221" s="65" t="s">
        <v>70</v>
      </c>
      <c r="U221" s="26"/>
      <c r="V221" s="26"/>
      <c r="W221" s="26"/>
      <c r="X221" s="26"/>
      <c r="Y221" s="26"/>
      <c r="Z221" s="26"/>
      <c r="AA221" s="26"/>
      <c r="AB221" s="26"/>
      <c r="AC221" s="26"/>
    </row>
    <row r="222" ht="33.75" customHeight="1">
      <c r="A222" s="116" t="s">
        <v>407</v>
      </c>
      <c r="B222" s="77" t="s">
        <v>22</v>
      </c>
      <c r="C222" s="77" t="s">
        <v>399</v>
      </c>
      <c r="D222" s="77" t="s">
        <v>408</v>
      </c>
      <c r="E222" s="117" t="s">
        <v>409</v>
      </c>
      <c r="F222" s="118" t="s">
        <v>346</v>
      </c>
      <c r="G222" s="118" t="s">
        <v>168</v>
      </c>
      <c r="H222" s="119" t="s">
        <v>168</v>
      </c>
      <c r="I222" s="54"/>
      <c r="J222" s="118" t="s">
        <v>9</v>
      </c>
      <c r="K222" s="120" t="s">
        <v>9</v>
      </c>
      <c r="L222" s="51">
        <f>IF(COUNT(L223:N225)=0,"",SUM(L223:L225))</f>
        <v>1.25</v>
      </c>
      <c r="M222" s="51">
        <f t="shared" si="203"/>
        <v>1.875</v>
      </c>
      <c r="N222" s="51">
        <f>IF(COUNT(L223:N225)=0,"",SUM(N223:N225))</f>
        <v>2.5</v>
      </c>
      <c r="O222" s="51">
        <f>IF(COUNT(O223:O225)=0,"",SUM(O223:O225))</f>
        <v>1.875</v>
      </c>
      <c r="P222" s="52"/>
      <c r="Q222" s="51">
        <f t="shared" si="212"/>
        <v>1.875</v>
      </c>
      <c r="R222" s="53"/>
      <c r="S222" s="53"/>
      <c r="T222" s="54" t="s">
        <v>65</v>
      </c>
      <c r="U222" s="26"/>
      <c r="V222" s="26"/>
      <c r="W222" s="26"/>
      <c r="X222" s="26"/>
      <c r="Y222" s="26"/>
      <c r="Z222" s="26"/>
      <c r="AA222" s="26"/>
      <c r="AB222" s="26"/>
      <c r="AC222" s="26"/>
    </row>
    <row r="223" ht="33.75" customHeight="1">
      <c r="A223" s="78" t="s">
        <v>410</v>
      </c>
      <c r="B223" s="79" t="s">
        <v>22</v>
      </c>
      <c r="C223" s="79" t="s">
        <v>399</v>
      </c>
      <c r="D223" s="79" t="s">
        <v>408</v>
      </c>
      <c r="E223" s="94" t="s">
        <v>409</v>
      </c>
      <c r="F223" s="95" t="s">
        <v>346</v>
      </c>
      <c r="G223" s="95" t="s">
        <v>168</v>
      </c>
      <c r="H223" s="97" t="s">
        <v>168</v>
      </c>
      <c r="I223" s="65"/>
      <c r="J223" s="95" t="s">
        <v>9</v>
      </c>
      <c r="K223" s="121" t="s">
        <v>9</v>
      </c>
      <c r="L223" s="129">
        <v>0.0</v>
      </c>
      <c r="M223" s="129">
        <f t="shared" si="203"/>
        <v>0</v>
      </c>
      <c r="N223" s="129">
        <v>0.0</v>
      </c>
      <c r="O223" s="130">
        <f t="shared" ref="O223:O225" si="214">IF(COUNT(L223:N223)=0,"",(L223+4*M223+N223)/6)</f>
        <v>0</v>
      </c>
      <c r="P223" s="159"/>
      <c r="Q223" s="131">
        <f t="shared" si="212"/>
        <v>0</v>
      </c>
      <c r="R223" s="132"/>
      <c r="S223" s="132"/>
      <c r="T223" s="65" t="s">
        <v>31</v>
      </c>
      <c r="U223" s="26"/>
      <c r="V223" s="26"/>
      <c r="W223" s="26"/>
      <c r="X223" s="26"/>
      <c r="Y223" s="26"/>
      <c r="Z223" s="26"/>
      <c r="AA223" s="26"/>
      <c r="AB223" s="26"/>
      <c r="AC223" s="26"/>
    </row>
    <row r="224" ht="33.75" customHeight="1">
      <c r="A224" s="78" t="s">
        <v>411</v>
      </c>
      <c r="B224" s="79" t="s">
        <v>22</v>
      </c>
      <c r="C224" s="79" t="s">
        <v>399</v>
      </c>
      <c r="D224" s="79" t="s">
        <v>408</v>
      </c>
      <c r="E224" s="94" t="s">
        <v>409</v>
      </c>
      <c r="F224" s="95" t="s">
        <v>346</v>
      </c>
      <c r="G224" s="95" t="s">
        <v>168</v>
      </c>
      <c r="H224" s="97" t="s">
        <v>168</v>
      </c>
      <c r="I224" s="65"/>
      <c r="J224" s="95" t="s">
        <v>9</v>
      </c>
      <c r="K224" s="121" t="s">
        <v>9</v>
      </c>
      <c r="L224" s="129">
        <v>1.0</v>
      </c>
      <c r="M224" s="129">
        <f t="shared" si="203"/>
        <v>1.5</v>
      </c>
      <c r="N224" s="129">
        <v>2.0</v>
      </c>
      <c r="O224" s="130">
        <f t="shared" si="214"/>
        <v>1.5</v>
      </c>
      <c r="P224" s="159"/>
      <c r="Q224" s="131">
        <f t="shared" si="212"/>
        <v>1.5</v>
      </c>
      <c r="R224" s="132"/>
      <c r="S224" s="132"/>
      <c r="T224" s="65" t="s">
        <v>32</v>
      </c>
      <c r="U224" s="26"/>
      <c r="V224" s="26"/>
      <c r="W224" s="26"/>
      <c r="X224" s="26"/>
      <c r="Y224" s="26"/>
      <c r="Z224" s="26"/>
      <c r="AA224" s="26"/>
      <c r="AB224" s="26"/>
      <c r="AC224" s="26"/>
    </row>
    <row r="225" ht="33.75" customHeight="1">
      <c r="A225" s="78" t="s">
        <v>412</v>
      </c>
      <c r="B225" s="79" t="s">
        <v>22</v>
      </c>
      <c r="C225" s="79" t="s">
        <v>399</v>
      </c>
      <c r="D225" s="79" t="s">
        <v>408</v>
      </c>
      <c r="E225" s="94" t="s">
        <v>409</v>
      </c>
      <c r="F225" s="95" t="s">
        <v>346</v>
      </c>
      <c r="G225" s="95" t="s">
        <v>168</v>
      </c>
      <c r="H225" s="65" t="s">
        <v>168</v>
      </c>
      <c r="I225" s="65"/>
      <c r="J225" s="95" t="s">
        <v>9</v>
      </c>
      <c r="K225" s="121" t="s">
        <v>9</v>
      </c>
      <c r="L225" s="129">
        <v>0.25</v>
      </c>
      <c r="M225" s="129">
        <f t="shared" si="203"/>
        <v>0.375</v>
      </c>
      <c r="N225" s="129">
        <v>0.5</v>
      </c>
      <c r="O225" s="130">
        <f t="shared" si="214"/>
        <v>0.375</v>
      </c>
      <c r="P225" s="159"/>
      <c r="Q225" s="131">
        <f t="shared" si="212"/>
        <v>0.375</v>
      </c>
      <c r="R225" s="132"/>
      <c r="S225" s="132"/>
      <c r="T225" s="65" t="s">
        <v>70</v>
      </c>
      <c r="U225" s="26"/>
      <c r="V225" s="26"/>
      <c r="W225" s="26"/>
      <c r="X225" s="26"/>
      <c r="Y225" s="26"/>
      <c r="Z225" s="26"/>
      <c r="AA225" s="26"/>
      <c r="AB225" s="26"/>
      <c r="AC225" s="26"/>
    </row>
    <row r="226" ht="33.75" customHeight="1">
      <c r="A226" s="116" t="s">
        <v>413</v>
      </c>
      <c r="B226" s="77" t="s">
        <v>22</v>
      </c>
      <c r="C226" s="77" t="s">
        <v>399</v>
      </c>
      <c r="D226" s="77" t="s">
        <v>414</v>
      </c>
      <c r="E226" s="117" t="s">
        <v>415</v>
      </c>
      <c r="F226" s="118" t="s">
        <v>401</v>
      </c>
      <c r="G226" s="118" t="s">
        <v>168</v>
      </c>
      <c r="H226" s="119" t="s">
        <v>168</v>
      </c>
      <c r="I226" s="54"/>
      <c r="J226" s="118" t="s">
        <v>9</v>
      </c>
      <c r="K226" s="120" t="s">
        <v>9</v>
      </c>
      <c r="L226" s="51">
        <f>IF(COUNT(L227:N229)=0,"",SUM(L227:L229))</f>
        <v>0.75</v>
      </c>
      <c r="M226" s="51">
        <f t="shared" si="203"/>
        <v>1.125</v>
      </c>
      <c r="N226" s="51">
        <f>IF(COUNT(L227:N229)=0,"",SUM(N227:N229))</f>
        <v>1.5</v>
      </c>
      <c r="O226" s="51">
        <f>IF(COUNT(O227:O229)=0,"",SUM(O227:O229))</f>
        <v>1.125</v>
      </c>
      <c r="P226" s="52"/>
      <c r="Q226" s="51">
        <f t="shared" si="212"/>
        <v>1.125</v>
      </c>
      <c r="R226" s="53"/>
      <c r="S226" s="53"/>
      <c r="T226" s="54" t="s">
        <v>65</v>
      </c>
      <c r="U226" s="26"/>
      <c r="V226" s="26"/>
      <c r="W226" s="26"/>
      <c r="X226" s="26"/>
      <c r="Y226" s="26"/>
      <c r="Z226" s="26"/>
      <c r="AA226" s="26"/>
      <c r="AB226" s="26"/>
      <c r="AC226" s="26"/>
    </row>
    <row r="227" ht="33.75" customHeight="1">
      <c r="A227" s="78" t="s">
        <v>416</v>
      </c>
      <c r="B227" s="79" t="s">
        <v>22</v>
      </c>
      <c r="C227" s="79" t="s">
        <v>399</v>
      </c>
      <c r="D227" s="79" t="s">
        <v>414</v>
      </c>
      <c r="E227" s="94" t="s">
        <v>415</v>
      </c>
      <c r="F227" s="95" t="s">
        <v>401</v>
      </c>
      <c r="G227" s="95" t="s">
        <v>168</v>
      </c>
      <c r="H227" s="97" t="s">
        <v>168</v>
      </c>
      <c r="I227" s="65"/>
      <c r="J227" s="95" t="s">
        <v>9</v>
      </c>
      <c r="K227" s="121" t="s">
        <v>9</v>
      </c>
      <c r="L227" s="129">
        <v>0.25</v>
      </c>
      <c r="M227" s="129">
        <f t="shared" si="203"/>
        <v>0.375</v>
      </c>
      <c r="N227" s="129">
        <v>0.5</v>
      </c>
      <c r="O227" s="130">
        <f t="shared" ref="O227:O229" si="215">IF(COUNT(L227:N227)=0,"",(L227+4*M227+N227)/6)</f>
        <v>0.375</v>
      </c>
      <c r="P227" s="159"/>
      <c r="Q227" s="131">
        <f t="shared" si="212"/>
        <v>0.375</v>
      </c>
      <c r="R227" s="132"/>
      <c r="S227" s="132"/>
      <c r="T227" s="65" t="s">
        <v>31</v>
      </c>
      <c r="U227" s="26"/>
      <c r="V227" s="26"/>
      <c r="W227" s="26"/>
      <c r="X227" s="26"/>
      <c r="Y227" s="26"/>
      <c r="Z227" s="26"/>
      <c r="AA227" s="26"/>
      <c r="AB227" s="26"/>
      <c r="AC227" s="26"/>
    </row>
    <row r="228" ht="33.75" customHeight="1">
      <c r="A228" s="78" t="s">
        <v>417</v>
      </c>
      <c r="B228" s="79" t="s">
        <v>22</v>
      </c>
      <c r="C228" s="79" t="s">
        <v>399</v>
      </c>
      <c r="D228" s="79" t="s">
        <v>414</v>
      </c>
      <c r="E228" s="94" t="s">
        <v>415</v>
      </c>
      <c r="F228" s="95" t="s">
        <v>401</v>
      </c>
      <c r="G228" s="95" t="s">
        <v>168</v>
      </c>
      <c r="H228" s="97" t="s">
        <v>168</v>
      </c>
      <c r="I228" s="65"/>
      <c r="J228" s="95" t="s">
        <v>9</v>
      </c>
      <c r="K228" s="121" t="s">
        <v>9</v>
      </c>
      <c r="L228" s="129">
        <v>0.25</v>
      </c>
      <c r="M228" s="129">
        <f t="shared" si="203"/>
        <v>0.375</v>
      </c>
      <c r="N228" s="129">
        <v>0.5</v>
      </c>
      <c r="O228" s="130">
        <f t="shared" si="215"/>
        <v>0.375</v>
      </c>
      <c r="P228" s="159"/>
      <c r="Q228" s="131">
        <f t="shared" si="212"/>
        <v>0.375</v>
      </c>
      <c r="R228" s="132"/>
      <c r="S228" s="132"/>
      <c r="T228" s="65" t="s">
        <v>32</v>
      </c>
      <c r="U228" s="26"/>
      <c r="V228" s="26"/>
      <c r="W228" s="26"/>
      <c r="X228" s="26"/>
      <c r="Y228" s="26"/>
      <c r="Z228" s="26"/>
      <c r="AA228" s="26"/>
      <c r="AB228" s="26"/>
      <c r="AC228" s="26"/>
    </row>
    <row r="229" ht="33.75" customHeight="1">
      <c r="A229" s="78" t="s">
        <v>418</v>
      </c>
      <c r="B229" s="79" t="s">
        <v>22</v>
      </c>
      <c r="C229" s="79" t="s">
        <v>399</v>
      </c>
      <c r="D229" s="79" t="s">
        <v>414</v>
      </c>
      <c r="E229" s="94" t="s">
        <v>415</v>
      </c>
      <c r="F229" s="95" t="s">
        <v>401</v>
      </c>
      <c r="G229" s="95" t="s">
        <v>168</v>
      </c>
      <c r="H229" s="97" t="s">
        <v>168</v>
      </c>
      <c r="I229" s="65"/>
      <c r="J229" s="95" t="s">
        <v>9</v>
      </c>
      <c r="K229" s="121" t="s">
        <v>9</v>
      </c>
      <c r="L229" s="129">
        <v>0.25</v>
      </c>
      <c r="M229" s="129">
        <f t="shared" si="203"/>
        <v>0.375</v>
      </c>
      <c r="N229" s="129">
        <v>0.5</v>
      </c>
      <c r="O229" s="130">
        <f t="shared" si="215"/>
        <v>0.375</v>
      </c>
      <c r="P229" s="159"/>
      <c r="Q229" s="131">
        <f t="shared" si="212"/>
        <v>0.375</v>
      </c>
      <c r="R229" s="132"/>
      <c r="S229" s="132"/>
      <c r="T229" s="65" t="s">
        <v>70</v>
      </c>
      <c r="U229" s="26"/>
      <c r="V229" s="26"/>
      <c r="W229" s="26"/>
      <c r="X229" s="26"/>
      <c r="Y229" s="26"/>
      <c r="Z229" s="26"/>
      <c r="AA229" s="26"/>
      <c r="AB229" s="26"/>
      <c r="AC229" s="26"/>
    </row>
    <row r="230" ht="33.75" customHeight="1">
      <c r="A230" s="116" t="s">
        <v>419</v>
      </c>
      <c r="B230" s="77" t="s">
        <v>22</v>
      </c>
      <c r="C230" s="77" t="s">
        <v>399</v>
      </c>
      <c r="D230" s="77" t="s">
        <v>420</v>
      </c>
      <c r="E230" s="117" t="s">
        <v>421</v>
      </c>
      <c r="F230" s="118" t="s">
        <v>401</v>
      </c>
      <c r="G230" s="118" t="s">
        <v>200</v>
      </c>
      <c r="H230" s="119" t="s">
        <v>200</v>
      </c>
      <c r="I230" s="119"/>
      <c r="J230" s="118" t="s">
        <v>12</v>
      </c>
      <c r="K230" s="120" t="s">
        <v>12</v>
      </c>
      <c r="L230" s="160">
        <f>IF(COUNT(L231:N233)=0,"",SUM(L231:L233))</f>
        <v>0.5</v>
      </c>
      <c r="M230" s="51">
        <f t="shared" si="203"/>
        <v>1</v>
      </c>
      <c r="N230" s="160">
        <f>IF(COUNT(L231:N233)=0,"",SUM(N231:N233))</f>
        <v>1.5</v>
      </c>
      <c r="O230" s="160">
        <f>IF(COUNT(O231:O233)=0,"",SUM(O231:O233))</f>
        <v>1</v>
      </c>
      <c r="P230" s="161"/>
      <c r="Q230" s="162">
        <f t="shared" si="212"/>
        <v>1</v>
      </c>
      <c r="R230" s="163"/>
      <c r="S230" s="163"/>
      <c r="T230" s="119" t="s">
        <v>65</v>
      </c>
      <c r="U230" s="26"/>
      <c r="V230" s="26"/>
      <c r="W230" s="26"/>
      <c r="X230" s="26"/>
      <c r="Y230" s="26"/>
      <c r="Z230" s="26"/>
      <c r="AA230" s="26"/>
      <c r="AB230" s="26"/>
      <c r="AC230" s="26"/>
    </row>
    <row r="231" ht="33.75" customHeight="1">
      <c r="A231" s="78" t="s">
        <v>422</v>
      </c>
      <c r="B231" s="79" t="s">
        <v>22</v>
      </c>
      <c r="C231" s="79" t="s">
        <v>399</v>
      </c>
      <c r="D231" s="56" t="s">
        <v>423</v>
      </c>
      <c r="E231" s="94" t="s">
        <v>421</v>
      </c>
      <c r="F231" s="95" t="s">
        <v>401</v>
      </c>
      <c r="G231" s="95" t="s">
        <v>200</v>
      </c>
      <c r="H231" s="97" t="s">
        <v>200</v>
      </c>
      <c r="I231" s="65"/>
      <c r="J231" s="95" t="s">
        <v>12</v>
      </c>
      <c r="K231" s="121" t="s">
        <v>12</v>
      </c>
      <c r="L231" s="128">
        <v>0.0</v>
      </c>
      <c r="M231" s="129">
        <f t="shared" si="203"/>
        <v>0</v>
      </c>
      <c r="N231" s="128">
        <v>0.0</v>
      </c>
      <c r="O231" s="130">
        <f t="shared" ref="O231:O233" si="216">IF(COUNT(L231:N231)=0,"",(L231+4*M231+N231)/6)</f>
        <v>0</v>
      </c>
      <c r="P231" s="159"/>
      <c r="Q231" s="131">
        <f t="shared" si="212"/>
        <v>0</v>
      </c>
      <c r="R231" s="132"/>
      <c r="S231" s="132"/>
      <c r="T231" s="65" t="s">
        <v>31</v>
      </c>
      <c r="U231" s="26"/>
      <c r="V231" s="26"/>
      <c r="W231" s="26"/>
      <c r="X231" s="26"/>
      <c r="Y231" s="26"/>
      <c r="Z231" s="26"/>
      <c r="AA231" s="26"/>
      <c r="AB231" s="26"/>
      <c r="AC231" s="26"/>
    </row>
    <row r="232" ht="33.75" customHeight="1">
      <c r="A232" s="78" t="s">
        <v>424</v>
      </c>
      <c r="B232" s="79" t="s">
        <v>22</v>
      </c>
      <c r="C232" s="79" t="s">
        <v>399</v>
      </c>
      <c r="D232" s="56" t="s">
        <v>423</v>
      </c>
      <c r="E232" s="94" t="s">
        <v>421</v>
      </c>
      <c r="F232" s="95" t="s">
        <v>401</v>
      </c>
      <c r="G232" s="95" t="s">
        <v>200</v>
      </c>
      <c r="H232" s="65" t="s">
        <v>200</v>
      </c>
      <c r="I232" s="65"/>
      <c r="J232" s="95" t="s">
        <v>12</v>
      </c>
      <c r="K232" s="121" t="s">
        <v>12</v>
      </c>
      <c r="L232" s="128">
        <v>0.5</v>
      </c>
      <c r="M232" s="129">
        <f t="shared" si="203"/>
        <v>1</v>
      </c>
      <c r="N232" s="128">
        <v>1.5</v>
      </c>
      <c r="O232" s="130">
        <f t="shared" si="216"/>
        <v>1</v>
      </c>
      <c r="P232" s="164">
        <v>0.2</v>
      </c>
      <c r="Q232" s="131">
        <f t="shared" si="212"/>
        <v>1.2</v>
      </c>
      <c r="R232" s="132"/>
      <c r="S232" s="132"/>
      <c r="T232" s="65" t="s">
        <v>32</v>
      </c>
      <c r="U232" s="26"/>
      <c r="V232" s="26"/>
      <c r="W232" s="26"/>
      <c r="X232" s="26"/>
      <c r="Y232" s="26"/>
      <c r="Z232" s="26"/>
      <c r="AA232" s="26"/>
      <c r="AB232" s="26"/>
      <c r="AC232" s="26"/>
    </row>
    <row r="233" ht="33.75" customHeight="1">
      <c r="A233" s="78" t="s">
        <v>425</v>
      </c>
      <c r="B233" s="79" t="s">
        <v>22</v>
      </c>
      <c r="C233" s="79" t="s">
        <v>399</v>
      </c>
      <c r="D233" s="56" t="s">
        <v>423</v>
      </c>
      <c r="E233" s="94" t="s">
        <v>421</v>
      </c>
      <c r="F233" s="95" t="s">
        <v>401</v>
      </c>
      <c r="G233" s="95" t="s">
        <v>200</v>
      </c>
      <c r="H233" s="97" t="s">
        <v>200</v>
      </c>
      <c r="I233" s="65"/>
      <c r="J233" s="95" t="s">
        <v>12</v>
      </c>
      <c r="K233" s="121" t="s">
        <v>12</v>
      </c>
      <c r="L233" s="128">
        <v>0.0</v>
      </c>
      <c r="M233" s="129">
        <f t="shared" si="203"/>
        <v>0</v>
      </c>
      <c r="N233" s="128">
        <v>0.0</v>
      </c>
      <c r="O233" s="130">
        <f t="shared" si="216"/>
        <v>0</v>
      </c>
      <c r="P233" s="159"/>
      <c r="Q233" s="131">
        <f t="shared" si="212"/>
        <v>0</v>
      </c>
      <c r="R233" s="132"/>
      <c r="S233" s="132"/>
      <c r="T233" s="65" t="s">
        <v>70</v>
      </c>
      <c r="U233" s="26"/>
      <c r="V233" s="26"/>
      <c r="W233" s="26"/>
      <c r="X233" s="26"/>
      <c r="Y233" s="26"/>
      <c r="Z233" s="26"/>
      <c r="AA233" s="26"/>
      <c r="AB233" s="26"/>
      <c r="AC233" s="26"/>
    </row>
    <row r="234" ht="33.75" customHeight="1">
      <c r="A234" s="112" t="s">
        <v>426</v>
      </c>
      <c r="B234" s="38" t="s">
        <v>22</v>
      </c>
      <c r="C234" s="38" t="s">
        <v>427</v>
      </c>
      <c r="D234" s="38" t="s">
        <v>427</v>
      </c>
      <c r="E234" s="113" t="s">
        <v>428</v>
      </c>
      <c r="F234" s="114"/>
      <c r="G234" s="114"/>
      <c r="H234" s="123"/>
      <c r="I234" s="45"/>
      <c r="J234" s="114"/>
      <c r="K234" s="115"/>
      <c r="L234" s="42">
        <f>IF(COUNT(L235,L239)=0,"",SUM(L235,L239))</f>
        <v>0.75</v>
      </c>
      <c r="M234" s="42">
        <f t="shared" si="203"/>
        <v>1.125</v>
      </c>
      <c r="N234" s="42">
        <f t="shared" ref="N234:O234" si="217">IF(COUNT(N235,N239)=0,"",SUM(N235,N239))</f>
        <v>1.5</v>
      </c>
      <c r="O234" s="42">
        <f t="shared" si="217"/>
        <v>1.125</v>
      </c>
      <c r="P234" s="43"/>
      <c r="Q234" s="42">
        <f>IF(COUNT(Q235,Q239)=0,"",SUM(Q235,Q239))</f>
        <v>1.125</v>
      </c>
      <c r="R234" s="44"/>
      <c r="S234" s="44"/>
      <c r="T234" s="45" t="s">
        <v>62</v>
      </c>
      <c r="U234" s="26"/>
      <c r="V234" s="26"/>
      <c r="W234" s="26"/>
      <c r="X234" s="46">
        <f t="shared" ref="X234:AA234" si="218">L234</f>
        <v>0.75</v>
      </c>
      <c r="Y234" s="46">
        <f t="shared" si="218"/>
        <v>1.125</v>
      </c>
      <c r="Z234" s="46">
        <f t="shared" si="218"/>
        <v>1.5</v>
      </c>
      <c r="AA234" s="46">
        <f t="shared" si="218"/>
        <v>1.125</v>
      </c>
      <c r="AB234" s="26"/>
      <c r="AC234" s="46">
        <f>Q234</f>
        <v>1.125</v>
      </c>
    </row>
    <row r="235" ht="33.75" customHeight="1">
      <c r="A235" s="116" t="s">
        <v>429</v>
      </c>
      <c r="B235" s="77" t="s">
        <v>22</v>
      </c>
      <c r="C235" s="77" t="s">
        <v>427</v>
      </c>
      <c r="D235" s="77" t="s">
        <v>430</v>
      </c>
      <c r="E235" s="117" t="s">
        <v>431</v>
      </c>
      <c r="F235" s="118" t="s">
        <v>298</v>
      </c>
      <c r="G235" s="118" t="s">
        <v>154</v>
      </c>
      <c r="H235" s="119" t="s">
        <v>154</v>
      </c>
      <c r="I235" s="54"/>
      <c r="J235" s="118" t="s">
        <v>9</v>
      </c>
      <c r="K235" s="120" t="s">
        <v>9</v>
      </c>
      <c r="L235" s="51">
        <f>IF(COUNT(L236:N238)=0,"",SUM(L236:L238))</f>
        <v>0</v>
      </c>
      <c r="M235" s="51">
        <f t="shared" si="203"/>
        <v>0</v>
      </c>
      <c r="N235" s="51">
        <f>IF(COUNT(L236:N238)=0,"",SUM(N236:N238))</f>
        <v>0</v>
      </c>
      <c r="O235" s="51">
        <f>IF(COUNT(O236:O238)=0,"",SUM(O236:O238))</f>
        <v>0</v>
      </c>
      <c r="P235" s="52"/>
      <c r="Q235" s="51">
        <f t="shared" ref="Q235:Q242" si="219">IF(O235="","",IF(P235="",O235,O235*(1+P235)))</f>
        <v>0</v>
      </c>
      <c r="R235" s="53"/>
      <c r="S235" s="53"/>
      <c r="T235" s="54" t="s">
        <v>65</v>
      </c>
      <c r="U235" s="26"/>
      <c r="V235" s="26"/>
      <c r="W235" s="26"/>
      <c r="X235" s="26"/>
      <c r="Y235" s="26"/>
      <c r="Z235" s="26"/>
      <c r="AA235" s="26"/>
      <c r="AB235" s="26"/>
      <c r="AC235" s="26"/>
    </row>
    <row r="236" ht="33.75" customHeight="1">
      <c r="A236" s="78" t="s">
        <v>432</v>
      </c>
      <c r="B236" s="79" t="s">
        <v>22</v>
      </c>
      <c r="C236" s="79" t="s">
        <v>427</v>
      </c>
      <c r="D236" s="79" t="s">
        <v>430</v>
      </c>
      <c r="E236" s="94" t="s">
        <v>431</v>
      </c>
      <c r="F236" s="95" t="s">
        <v>298</v>
      </c>
      <c r="G236" s="95" t="s">
        <v>154</v>
      </c>
      <c r="H236" s="97" t="s">
        <v>154</v>
      </c>
      <c r="I236" s="65"/>
      <c r="J236" s="95" t="s">
        <v>9</v>
      </c>
      <c r="K236" s="121" t="s">
        <v>9</v>
      </c>
      <c r="L236" s="129">
        <v>0.0</v>
      </c>
      <c r="M236" s="129">
        <f t="shared" si="203"/>
        <v>0</v>
      </c>
      <c r="N236" s="129">
        <v>0.0</v>
      </c>
      <c r="O236" s="130">
        <f t="shared" ref="O236:O238" si="220">IF(COUNT(L236:N236)=0,"",(L236+4*M236+N236)/6)</f>
        <v>0</v>
      </c>
      <c r="P236" s="159"/>
      <c r="Q236" s="131">
        <f t="shared" si="219"/>
        <v>0</v>
      </c>
      <c r="R236" s="132"/>
      <c r="S236" s="132"/>
      <c r="T236" s="65" t="s">
        <v>31</v>
      </c>
      <c r="U236" s="26"/>
      <c r="V236" s="26"/>
      <c r="W236" s="26"/>
      <c r="X236" s="26"/>
      <c r="Y236" s="26"/>
      <c r="Z236" s="26"/>
      <c r="AA236" s="26"/>
      <c r="AB236" s="26"/>
      <c r="AC236" s="26"/>
    </row>
    <row r="237" ht="33.75" customHeight="1">
      <c r="A237" s="78" t="s">
        <v>433</v>
      </c>
      <c r="B237" s="79" t="s">
        <v>22</v>
      </c>
      <c r="C237" s="79" t="s">
        <v>427</v>
      </c>
      <c r="D237" s="79" t="s">
        <v>430</v>
      </c>
      <c r="E237" s="94" t="s">
        <v>431</v>
      </c>
      <c r="F237" s="95" t="s">
        <v>298</v>
      </c>
      <c r="G237" s="95" t="s">
        <v>154</v>
      </c>
      <c r="H237" s="97" t="s">
        <v>154</v>
      </c>
      <c r="I237" s="65"/>
      <c r="J237" s="95" t="s">
        <v>9</v>
      </c>
      <c r="K237" s="121" t="s">
        <v>9</v>
      </c>
      <c r="L237" s="129">
        <v>0.0</v>
      </c>
      <c r="M237" s="129">
        <f t="shared" si="203"/>
        <v>0</v>
      </c>
      <c r="N237" s="129">
        <v>0.0</v>
      </c>
      <c r="O237" s="130">
        <f t="shared" si="220"/>
        <v>0</v>
      </c>
      <c r="P237" s="159"/>
      <c r="Q237" s="131">
        <f t="shared" si="219"/>
        <v>0</v>
      </c>
      <c r="R237" s="132"/>
      <c r="S237" s="132"/>
      <c r="T237" s="65" t="s">
        <v>32</v>
      </c>
      <c r="U237" s="26"/>
      <c r="V237" s="26"/>
      <c r="W237" s="26"/>
      <c r="X237" s="26"/>
      <c r="Y237" s="26"/>
      <c r="Z237" s="26"/>
      <c r="AA237" s="26"/>
      <c r="AB237" s="26"/>
      <c r="AC237" s="26"/>
    </row>
    <row r="238" ht="33.75" customHeight="1">
      <c r="A238" s="78" t="s">
        <v>434</v>
      </c>
      <c r="B238" s="79" t="s">
        <v>22</v>
      </c>
      <c r="C238" s="79" t="s">
        <v>427</v>
      </c>
      <c r="D238" s="79" t="s">
        <v>430</v>
      </c>
      <c r="E238" s="94" t="s">
        <v>431</v>
      </c>
      <c r="F238" s="95" t="s">
        <v>298</v>
      </c>
      <c r="G238" s="95" t="s">
        <v>154</v>
      </c>
      <c r="H238" s="65" t="s">
        <v>154</v>
      </c>
      <c r="I238" s="65"/>
      <c r="J238" s="95" t="s">
        <v>9</v>
      </c>
      <c r="K238" s="121" t="s">
        <v>9</v>
      </c>
      <c r="L238" s="129">
        <v>0.0</v>
      </c>
      <c r="M238" s="129">
        <f t="shared" si="203"/>
        <v>0</v>
      </c>
      <c r="N238" s="129">
        <v>0.0</v>
      </c>
      <c r="O238" s="130">
        <f t="shared" si="220"/>
        <v>0</v>
      </c>
      <c r="P238" s="159"/>
      <c r="Q238" s="131">
        <f t="shared" si="219"/>
        <v>0</v>
      </c>
      <c r="R238" s="132"/>
      <c r="S238" s="132"/>
      <c r="T238" s="65" t="s">
        <v>70</v>
      </c>
      <c r="U238" s="26"/>
      <c r="V238" s="26"/>
      <c r="W238" s="26"/>
      <c r="X238" s="26"/>
      <c r="Y238" s="26"/>
      <c r="Z238" s="26"/>
      <c r="AA238" s="26"/>
      <c r="AB238" s="26"/>
      <c r="AC238" s="26"/>
    </row>
    <row r="239" ht="33.75" customHeight="1">
      <c r="A239" s="116" t="s">
        <v>435</v>
      </c>
      <c r="B239" s="77" t="s">
        <v>22</v>
      </c>
      <c r="C239" s="77" t="s">
        <v>427</v>
      </c>
      <c r="D239" s="77" t="s">
        <v>436</v>
      </c>
      <c r="E239" s="117" t="s">
        <v>437</v>
      </c>
      <c r="F239" s="118" t="s">
        <v>429</v>
      </c>
      <c r="G239" s="118" t="s">
        <v>168</v>
      </c>
      <c r="H239" s="119" t="s">
        <v>168</v>
      </c>
      <c r="I239" s="54"/>
      <c r="J239" s="118" t="s">
        <v>12</v>
      </c>
      <c r="K239" s="120" t="s">
        <v>12</v>
      </c>
      <c r="L239" s="51">
        <f>IF(COUNT(L240:N242)=0,"",SUM(L240:L242))</f>
        <v>0.75</v>
      </c>
      <c r="M239" s="51">
        <f t="shared" si="203"/>
        <v>1.125</v>
      </c>
      <c r="N239" s="51">
        <f>IF(COUNT(L240:N242)=0,"",SUM(N240:N242))</f>
        <v>1.5</v>
      </c>
      <c r="O239" s="51">
        <f>IF(COUNT(O240:O242)=0,"",SUM(O240:O242))</f>
        <v>1.125</v>
      </c>
      <c r="P239" s="52"/>
      <c r="Q239" s="51">
        <f t="shared" si="219"/>
        <v>1.125</v>
      </c>
      <c r="R239" s="53"/>
      <c r="S239" s="53"/>
      <c r="T239" s="54" t="s">
        <v>65</v>
      </c>
      <c r="U239" s="26"/>
      <c r="V239" s="26"/>
      <c r="W239" s="26"/>
      <c r="X239" s="26"/>
      <c r="Y239" s="26"/>
      <c r="Z239" s="26"/>
      <c r="AA239" s="26"/>
      <c r="AB239" s="26"/>
      <c r="AC239" s="26"/>
    </row>
    <row r="240" ht="33.75" customHeight="1">
      <c r="A240" s="78" t="s">
        <v>438</v>
      </c>
      <c r="B240" s="79" t="s">
        <v>22</v>
      </c>
      <c r="C240" s="79" t="s">
        <v>427</v>
      </c>
      <c r="D240" s="79" t="s">
        <v>436</v>
      </c>
      <c r="E240" s="94" t="s">
        <v>437</v>
      </c>
      <c r="F240" s="95" t="s">
        <v>429</v>
      </c>
      <c r="G240" s="95" t="s">
        <v>168</v>
      </c>
      <c r="H240" s="97" t="s">
        <v>168</v>
      </c>
      <c r="I240" s="65"/>
      <c r="J240" s="95" t="s">
        <v>12</v>
      </c>
      <c r="K240" s="121" t="s">
        <v>12</v>
      </c>
      <c r="L240" s="129">
        <v>0.25</v>
      </c>
      <c r="M240" s="129">
        <f t="shared" si="203"/>
        <v>0.375</v>
      </c>
      <c r="N240" s="129">
        <v>0.5</v>
      </c>
      <c r="O240" s="130">
        <f t="shared" ref="O240:O242" si="221">IF(COUNT(L240:N240)=0,"",(L240+4*M240+N240)/6)</f>
        <v>0.375</v>
      </c>
      <c r="P240" s="159"/>
      <c r="Q240" s="131">
        <f t="shared" si="219"/>
        <v>0.375</v>
      </c>
      <c r="R240" s="132"/>
      <c r="S240" s="132"/>
      <c r="T240" s="65" t="s">
        <v>31</v>
      </c>
      <c r="U240" s="26"/>
      <c r="V240" s="26"/>
      <c r="W240" s="26"/>
      <c r="X240" s="26"/>
      <c r="Y240" s="26"/>
      <c r="Z240" s="26"/>
      <c r="AA240" s="26"/>
      <c r="AB240" s="26"/>
      <c r="AC240" s="26"/>
    </row>
    <row r="241" ht="33.75" customHeight="1">
      <c r="A241" s="78" t="s">
        <v>439</v>
      </c>
      <c r="B241" s="79" t="s">
        <v>22</v>
      </c>
      <c r="C241" s="79" t="s">
        <v>427</v>
      </c>
      <c r="D241" s="79" t="s">
        <v>436</v>
      </c>
      <c r="E241" s="94" t="s">
        <v>437</v>
      </c>
      <c r="F241" s="95" t="s">
        <v>429</v>
      </c>
      <c r="G241" s="95" t="s">
        <v>168</v>
      </c>
      <c r="H241" s="97" t="s">
        <v>168</v>
      </c>
      <c r="I241" s="65"/>
      <c r="J241" s="95" t="s">
        <v>12</v>
      </c>
      <c r="K241" s="121" t="s">
        <v>12</v>
      </c>
      <c r="L241" s="129">
        <v>0.25</v>
      </c>
      <c r="M241" s="129">
        <f t="shared" si="203"/>
        <v>0.375</v>
      </c>
      <c r="N241" s="129">
        <v>0.5</v>
      </c>
      <c r="O241" s="130">
        <f t="shared" si="221"/>
        <v>0.375</v>
      </c>
      <c r="P241" s="159"/>
      <c r="Q241" s="131">
        <f t="shared" si="219"/>
        <v>0.375</v>
      </c>
      <c r="R241" s="132"/>
      <c r="S241" s="132"/>
      <c r="T241" s="65" t="s">
        <v>32</v>
      </c>
      <c r="U241" s="26"/>
      <c r="V241" s="26"/>
      <c r="W241" s="26"/>
      <c r="X241" s="26"/>
      <c r="Y241" s="26"/>
      <c r="Z241" s="26"/>
      <c r="AA241" s="26"/>
      <c r="AB241" s="26"/>
      <c r="AC241" s="26"/>
    </row>
    <row r="242" ht="33.75" customHeight="1">
      <c r="A242" s="78" t="s">
        <v>440</v>
      </c>
      <c r="B242" s="79" t="s">
        <v>22</v>
      </c>
      <c r="C242" s="79" t="s">
        <v>427</v>
      </c>
      <c r="D242" s="79" t="s">
        <v>436</v>
      </c>
      <c r="E242" s="94" t="s">
        <v>437</v>
      </c>
      <c r="F242" s="95" t="s">
        <v>429</v>
      </c>
      <c r="G242" s="95" t="s">
        <v>168</v>
      </c>
      <c r="H242" s="97" t="s">
        <v>168</v>
      </c>
      <c r="I242" s="65"/>
      <c r="J242" s="95" t="s">
        <v>12</v>
      </c>
      <c r="K242" s="121" t="s">
        <v>12</v>
      </c>
      <c r="L242" s="129">
        <v>0.25</v>
      </c>
      <c r="M242" s="129">
        <f t="shared" si="203"/>
        <v>0.375</v>
      </c>
      <c r="N242" s="129">
        <v>0.5</v>
      </c>
      <c r="O242" s="130">
        <f t="shared" si="221"/>
        <v>0.375</v>
      </c>
      <c r="P242" s="159"/>
      <c r="Q242" s="131">
        <f t="shared" si="219"/>
        <v>0.375</v>
      </c>
      <c r="R242" s="132"/>
      <c r="S242" s="132"/>
      <c r="T242" s="65" t="s">
        <v>70</v>
      </c>
      <c r="U242" s="26"/>
      <c r="V242" s="26"/>
      <c r="W242" s="26"/>
      <c r="X242" s="26"/>
      <c r="Y242" s="26"/>
      <c r="Z242" s="26"/>
      <c r="AA242" s="26"/>
      <c r="AB242" s="26"/>
      <c r="AC242" s="26"/>
    </row>
    <row r="243" ht="33.75" customHeight="1">
      <c r="A243" s="165">
        <v>2.6</v>
      </c>
      <c r="B243" s="38" t="s">
        <v>22</v>
      </c>
      <c r="C243" s="37" t="s">
        <v>441</v>
      </c>
      <c r="D243" s="37" t="s">
        <v>441</v>
      </c>
      <c r="E243" s="113"/>
      <c r="F243" s="114"/>
      <c r="G243" s="114"/>
      <c r="H243" s="123"/>
      <c r="I243" s="45"/>
      <c r="J243" s="166" t="s">
        <v>9</v>
      </c>
      <c r="K243" s="166" t="s">
        <v>9</v>
      </c>
      <c r="L243" s="90">
        <f t="shared" ref="L243:O243" si="222">IF(COUNT(L244,L248,L252)=0,"",SUM(L244,L248,L252))</f>
        <v>1.5</v>
      </c>
      <c r="M243" s="90">
        <f t="shared" si="222"/>
        <v>2.25</v>
      </c>
      <c r="N243" s="90">
        <f t="shared" si="222"/>
        <v>3</v>
      </c>
      <c r="O243" s="90">
        <f t="shared" si="222"/>
        <v>2.25</v>
      </c>
      <c r="P243" s="91"/>
      <c r="Q243" s="90">
        <f>IF(COUNT(Q244,Q248,Q252)=0,"",SUM(Q244,Q248,Q252))</f>
        <v>2.25</v>
      </c>
      <c r="R243" s="44"/>
      <c r="S243" s="44"/>
      <c r="T243" s="45" t="s">
        <v>62</v>
      </c>
      <c r="U243" s="26"/>
      <c r="V243" s="26"/>
      <c r="W243" s="26"/>
      <c r="X243" s="46">
        <f t="shared" ref="X243:AA243" si="223">L243</f>
        <v>1.5</v>
      </c>
      <c r="Y243" s="46">
        <f t="shared" si="223"/>
        <v>2.25</v>
      </c>
      <c r="Z243" s="46">
        <f t="shared" si="223"/>
        <v>3</v>
      </c>
      <c r="AA243" s="46">
        <f t="shared" si="223"/>
        <v>2.25</v>
      </c>
      <c r="AB243" s="26"/>
      <c r="AC243" s="46">
        <f>Q243</f>
        <v>2.25</v>
      </c>
    </row>
    <row r="244" ht="33.75" customHeight="1">
      <c r="A244" s="134" t="s">
        <v>442</v>
      </c>
      <c r="B244" s="135" t="s">
        <v>22</v>
      </c>
      <c r="C244" s="135" t="s">
        <v>441</v>
      </c>
      <c r="D244" s="135" t="s">
        <v>443</v>
      </c>
      <c r="E244" s="136" t="s">
        <v>444</v>
      </c>
      <c r="F244" s="137" t="s">
        <v>401</v>
      </c>
      <c r="G244" s="137" t="s">
        <v>168</v>
      </c>
      <c r="H244" s="98" t="s">
        <v>168</v>
      </c>
      <c r="I244" s="98"/>
      <c r="J244" s="137" t="s">
        <v>9</v>
      </c>
      <c r="K244" s="138" t="s">
        <v>9</v>
      </c>
      <c r="L244" s="139" t="str">
        <f>IF(COUNT(L245:N247)=0,"",SUM(L245:L247))</f>
        <v/>
      </c>
      <c r="M244" s="139">
        <f>(N244+L244)/2</f>
        <v>0</v>
      </c>
      <c r="N244" s="139" t="str">
        <f>IF(COUNT(L245:N247)=0,"",SUM(N245:N247))</f>
        <v/>
      </c>
      <c r="O244" s="139" t="str">
        <f>IF(COUNT(O245:O247)=0,"",SUM(O245:O247))</f>
        <v/>
      </c>
      <c r="P244" s="140"/>
      <c r="Q244" s="139" t="str">
        <f t="shared" ref="Q244:Q251" si="224">IF(O244="","",IF(P244="",O244,O244*(1+P244)))</f>
        <v/>
      </c>
      <c r="R244" s="141"/>
      <c r="S244" s="141"/>
      <c r="T244" s="98" t="s">
        <v>65</v>
      </c>
      <c r="U244" s="26"/>
      <c r="V244" s="26"/>
      <c r="W244" s="26"/>
      <c r="X244" s="26"/>
      <c r="Y244" s="26"/>
      <c r="Z244" s="26"/>
      <c r="AA244" s="26"/>
      <c r="AB244" s="26"/>
      <c r="AC244" s="26"/>
    </row>
    <row r="245" ht="33.75" customHeight="1">
      <c r="A245" s="142" t="s">
        <v>445</v>
      </c>
      <c r="B245" s="143" t="s">
        <v>22</v>
      </c>
      <c r="C245" s="143" t="s">
        <v>441</v>
      </c>
      <c r="D245" s="143" t="s">
        <v>441</v>
      </c>
      <c r="E245" s="144" t="s">
        <v>444</v>
      </c>
      <c r="F245" s="145" t="s">
        <v>429</v>
      </c>
      <c r="G245" s="145" t="s">
        <v>168</v>
      </c>
      <c r="H245" s="106" t="s">
        <v>168</v>
      </c>
      <c r="I245" s="106"/>
      <c r="J245" s="145" t="s">
        <v>12</v>
      </c>
      <c r="K245" s="146" t="s">
        <v>12</v>
      </c>
      <c r="L245" s="109"/>
      <c r="M245" s="109"/>
      <c r="N245" s="109"/>
      <c r="O245" s="147"/>
      <c r="P245" s="110"/>
      <c r="Q245" s="148" t="str">
        <f t="shared" si="224"/>
        <v/>
      </c>
      <c r="R245" s="111"/>
      <c r="S245" s="111"/>
      <c r="T245" s="106" t="s">
        <v>31</v>
      </c>
      <c r="U245" s="26"/>
      <c r="V245" s="26"/>
      <c r="W245" s="26"/>
      <c r="X245" s="26"/>
      <c r="Y245" s="26"/>
      <c r="Z245" s="26"/>
      <c r="AA245" s="26"/>
      <c r="AB245" s="26"/>
      <c r="AC245" s="26"/>
    </row>
    <row r="246" ht="33.75" customHeight="1">
      <c r="A246" s="142" t="s">
        <v>446</v>
      </c>
      <c r="B246" s="143" t="s">
        <v>22</v>
      </c>
      <c r="C246" s="143" t="s">
        <v>441</v>
      </c>
      <c r="D246" s="143" t="s">
        <v>441</v>
      </c>
      <c r="E246" s="144" t="str">
        <f t="shared" ref="E246:E247" si="225">E245</f>
        <v>Fallback for CPF, which sits behind SingPass and is not covered by Finverse. CPF balances change infrequently (monthly contributions + stable interest) so manual entry is a viable substitute. Included because CPF is a material part of most Singaporeans' net worth — excluding it would leave a significant gap in the visibility-first proposition.</v>
      </c>
      <c r="F246" s="145" t="s">
        <v>429</v>
      </c>
      <c r="G246" s="145" t="s">
        <v>168</v>
      </c>
      <c r="H246" s="108" t="s">
        <v>168</v>
      </c>
      <c r="I246" s="108"/>
      <c r="J246" s="145" t="s">
        <v>12</v>
      </c>
      <c r="K246" s="146" t="s">
        <v>12</v>
      </c>
      <c r="L246" s="149"/>
      <c r="M246" s="109"/>
      <c r="N246" s="149"/>
      <c r="O246" s="147"/>
      <c r="P246" s="110"/>
      <c r="Q246" s="148" t="str">
        <f t="shared" si="224"/>
        <v/>
      </c>
      <c r="R246" s="150"/>
      <c r="S246" s="150"/>
      <c r="T246" s="108" t="s">
        <v>32</v>
      </c>
      <c r="U246" s="26"/>
      <c r="V246" s="26"/>
      <c r="W246" s="26"/>
      <c r="X246" s="26"/>
      <c r="Y246" s="26"/>
      <c r="Z246" s="26"/>
      <c r="AA246" s="26"/>
      <c r="AB246" s="26"/>
      <c r="AC246" s="26"/>
    </row>
    <row r="247" ht="33.75" customHeight="1">
      <c r="A247" s="142" t="s">
        <v>447</v>
      </c>
      <c r="B247" s="143" t="s">
        <v>22</v>
      </c>
      <c r="C247" s="143" t="s">
        <v>441</v>
      </c>
      <c r="D247" s="143" t="s">
        <v>441</v>
      </c>
      <c r="E247" s="144" t="str">
        <f t="shared" si="225"/>
        <v>Fallback for CPF, which sits behind SingPass and is not covered by Finverse. CPF balances change infrequently (monthly contributions + stable interest) so manual entry is a viable substitute. Included because CPF is a material part of most Singaporeans' net worth — excluding it would leave a significant gap in the visibility-first proposition.</v>
      </c>
      <c r="F247" s="145" t="s">
        <v>429</v>
      </c>
      <c r="G247" s="145" t="s">
        <v>168</v>
      </c>
      <c r="H247" s="108" t="s">
        <v>168</v>
      </c>
      <c r="I247" s="108"/>
      <c r="J247" s="145" t="s">
        <v>12</v>
      </c>
      <c r="K247" s="146" t="s">
        <v>12</v>
      </c>
      <c r="L247" s="149"/>
      <c r="M247" s="109"/>
      <c r="N247" s="149"/>
      <c r="O247" s="147"/>
      <c r="P247" s="110"/>
      <c r="Q247" s="148" t="str">
        <f t="shared" si="224"/>
        <v/>
      </c>
      <c r="R247" s="150"/>
      <c r="S247" s="150"/>
      <c r="T247" s="108" t="s">
        <v>70</v>
      </c>
      <c r="U247" s="26"/>
      <c r="V247" s="26"/>
      <c r="W247" s="26"/>
      <c r="X247" s="26"/>
      <c r="Y247" s="26"/>
      <c r="Z247" s="26"/>
      <c r="AA247" s="26"/>
      <c r="AB247" s="26"/>
      <c r="AC247" s="26"/>
    </row>
    <row r="248" ht="33.75" customHeight="1">
      <c r="A248" s="116" t="s">
        <v>448</v>
      </c>
      <c r="B248" s="77" t="s">
        <v>22</v>
      </c>
      <c r="C248" s="70" t="s">
        <v>441</v>
      </c>
      <c r="D248" s="70" t="s">
        <v>449</v>
      </c>
      <c r="E248" s="167" t="s">
        <v>450</v>
      </c>
      <c r="F248" s="166" t="s">
        <v>442</v>
      </c>
      <c r="G248" s="166" t="s">
        <v>154</v>
      </c>
      <c r="H248" s="166" t="s">
        <v>154</v>
      </c>
      <c r="I248" s="54"/>
      <c r="J248" s="166" t="s">
        <v>9</v>
      </c>
      <c r="K248" s="168" t="s">
        <v>9</v>
      </c>
      <c r="L248" s="51">
        <f>IF(COUNT(L249:N251)=0,"",SUM(L249:L251))</f>
        <v>0.75</v>
      </c>
      <c r="M248" s="51">
        <f t="shared" ref="M248:M251" si="228">(N248+L248)/2</f>
        <v>1.125</v>
      </c>
      <c r="N248" s="51">
        <f>IF(COUNT(L249:N251)=0,"",SUM(N249:N251))</f>
        <v>1.5</v>
      </c>
      <c r="O248" s="51">
        <f>IF(COUNT(O249:O251)=0,"",SUM(O249:O251))</f>
        <v>1.125</v>
      </c>
      <c r="P248" s="52"/>
      <c r="Q248" s="51">
        <f t="shared" si="224"/>
        <v>1.125</v>
      </c>
      <c r="R248" s="53"/>
      <c r="S248" s="53"/>
      <c r="T248" s="54" t="s">
        <v>65</v>
      </c>
      <c r="U248" s="26"/>
      <c r="V248" s="26"/>
      <c r="W248" s="26"/>
      <c r="X248" s="26"/>
      <c r="Y248" s="26"/>
      <c r="Z248" s="26"/>
      <c r="AA248" s="26"/>
      <c r="AB248" s="26"/>
      <c r="AC248" s="26"/>
    </row>
    <row r="249" ht="33.75" customHeight="1">
      <c r="A249" s="78" t="s">
        <v>451</v>
      </c>
      <c r="B249" s="79" t="s">
        <v>22</v>
      </c>
      <c r="C249" s="56" t="s">
        <v>441</v>
      </c>
      <c r="D249" s="56" t="s">
        <v>449</v>
      </c>
      <c r="E249" s="169" t="s">
        <v>450</v>
      </c>
      <c r="F249" s="95" t="str">
        <f t="shared" ref="F249:G249" si="226">F248</f>
        <v>2.6.1</v>
      </c>
      <c r="G249" s="95" t="str">
        <f t="shared" si="226"/>
        <v>S</v>
      </c>
      <c r="H249" s="97"/>
      <c r="I249" s="65"/>
      <c r="J249" s="95" t="str">
        <f t="shared" ref="J249:K249" si="227">J248</f>
        <v>MVP</v>
      </c>
      <c r="K249" s="121" t="str">
        <f t="shared" si="227"/>
        <v>MVP</v>
      </c>
      <c r="L249" s="129">
        <v>0.25</v>
      </c>
      <c r="M249" s="129">
        <f t="shared" si="228"/>
        <v>0.375</v>
      </c>
      <c r="N249" s="129">
        <v>0.5</v>
      </c>
      <c r="O249" s="130">
        <f t="shared" ref="O249:O251" si="231">IF(COUNT(L249:N249)=0,"",(L249+4*M249+N249)/6)</f>
        <v>0.375</v>
      </c>
      <c r="P249" s="159"/>
      <c r="Q249" s="131">
        <f t="shared" si="224"/>
        <v>0.375</v>
      </c>
      <c r="R249" s="132"/>
      <c r="S249" s="132"/>
      <c r="T249" s="65" t="s">
        <v>31</v>
      </c>
      <c r="U249" s="26"/>
      <c r="V249" s="26"/>
      <c r="W249" s="26"/>
      <c r="X249" s="26"/>
      <c r="Y249" s="26"/>
      <c r="Z249" s="26"/>
      <c r="AA249" s="26"/>
      <c r="AB249" s="26"/>
      <c r="AC249" s="26"/>
    </row>
    <row r="250" ht="33.75" customHeight="1">
      <c r="A250" s="78" t="s">
        <v>452</v>
      </c>
      <c r="B250" s="79" t="s">
        <v>22</v>
      </c>
      <c r="C250" s="56" t="s">
        <v>441</v>
      </c>
      <c r="D250" s="56" t="s">
        <v>449</v>
      </c>
      <c r="E250" s="94" t="str">
        <f t="shared" ref="E250:G250" si="229">E249</f>
        <v>Without refresh prompts, manual values go stale and degrade the net-worth view. Suggested cadence: monthly.</v>
      </c>
      <c r="F250" s="95" t="str">
        <f t="shared" si="229"/>
        <v>2.6.1</v>
      </c>
      <c r="G250" s="95" t="str">
        <f t="shared" si="229"/>
        <v>S</v>
      </c>
      <c r="H250" s="97"/>
      <c r="I250" s="65"/>
      <c r="J250" s="95" t="str">
        <f t="shared" ref="J250:K250" si="230">J249</f>
        <v>MVP</v>
      </c>
      <c r="K250" s="121" t="str">
        <f t="shared" si="230"/>
        <v>MVP</v>
      </c>
      <c r="L250" s="129">
        <v>0.25</v>
      </c>
      <c r="M250" s="129">
        <f t="shared" si="228"/>
        <v>0.375</v>
      </c>
      <c r="N250" s="129">
        <v>0.5</v>
      </c>
      <c r="O250" s="130">
        <f t="shared" si="231"/>
        <v>0.375</v>
      </c>
      <c r="P250" s="159"/>
      <c r="Q250" s="131">
        <f t="shared" si="224"/>
        <v>0.375</v>
      </c>
      <c r="R250" s="132"/>
      <c r="S250" s="132"/>
      <c r="T250" s="65" t="s">
        <v>32</v>
      </c>
      <c r="U250" s="26"/>
      <c r="V250" s="26"/>
      <c r="W250" s="26"/>
      <c r="X250" s="26"/>
      <c r="Y250" s="26"/>
      <c r="Z250" s="26"/>
      <c r="AA250" s="26"/>
      <c r="AB250" s="26"/>
      <c r="AC250" s="26"/>
    </row>
    <row r="251" ht="33.75" customHeight="1">
      <c r="A251" s="78" t="s">
        <v>453</v>
      </c>
      <c r="B251" s="79" t="s">
        <v>22</v>
      </c>
      <c r="C251" s="56" t="s">
        <v>441</v>
      </c>
      <c r="D251" s="56" t="s">
        <v>449</v>
      </c>
      <c r="E251" s="94" t="str">
        <f t="shared" ref="E251:G251" si="232">E250</f>
        <v>Without refresh prompts, manual values go stale and degrade the net-worth view. Suggested cadence: monthly.</v>
      </c>
      <c r="F251" s="95" t="str">
        <f t="shared" si="232"/>
        <v>2.6.1</v>
      </c>
      <c r="G251" s="95" t="str">
        <f t="shared" si="232"/>
        <v>S</v>
      </c>
      <c r="H251" s="97"/>
      <c r="I251" s="65"/>
      <c r="J251" s="95" t="str">
        <f t="shared" ref="J251:K251" si="233">J250</f>
        <v>MVP</v>
      </c>
      <c r="K251" s="121" t="str">
        <f t="shared" si="233"/>
        <v>MVP</v>
      </c>
      <c r="L251" s="129">
        <v>0.25</v>
      </c>
      <c r="M251" s="129">
        <f t="shared" si="228"/>
        <v>0.375</v>
      </c>
      <c r="N251" s="129">
        <v>0.5</v>
      </c>
      <c r="O251" s="130">
        <f t="shared" si="231"/>
        <v>0.375</v>
      </c>
      <c r="P251" s="159"/>
      <c r="Q251" s="131">
        <f t="shared" si="224"/>
        <v>0.375</v>
      </c>
      <c r="R251" s="132"/>
      <c r="S251" s="132"/>
      <c r="T251" s="65" t="s">
        <v>70</v>
      </c>
      <c r="U251" s="26"/>
      <c r="V251" s="26"/>
      <c r="W251" s="26"/>
      <c r="X251" s="26"/>
      <c r="Y251" s="26"/>
      <c r="Z251" s="26"/>
      <c r="AA251" s="26"/>
      <c r="AB251" s="26"/>
      <c r="AC251" s="26"/>
    </row>
    <row r="252" ht="33.75" customHeight="1">
      <c r="A252" s="116" t="s">
        <v>454</v>
      </c>
      <c r="B252" s="77" t="s">
        <v>22</v>
      </c>
      <c r="C252" s="77" t="s">
        <v>441</v>
      </c>
      <c r="D252" s="70" t="s">
        <v>455</v>
      </c>
      <c r="E252" s="70" t="s">
        <v>456</v>
      </c>
      <c r="F252" s="170" t="s">
        <v>442</v>
      </c>
      <c r="G252" s="170" t="s">
        <v>154</v>
      </c>
      <c r="H252" s="166" t="s">
        <v>154</v>
      </c>
      <c r="I252" s="171"/>
      <c r="J252" s="166" t="s">
        <v>9</v>
      </c>
      <c r="K252" s="172" t="s">
        <v>9</v>
      </c>
      <c r="L252" s="173">
        <f>IF(COUNT(L253:N255)=0,"",SUM(L253:L255))</f>
        <v>0.75</v>
      </c>
      <c r="M252" s="174">
        <f>(N252+L252)/2</f>
        <v>1.125</v>
      </c>
      <c r="N252" s="173">
        <f>IF(COUNT(L253:N255)=0,"",SUM(N253:N255))</f>
        <v>1.5</v>
      </c>
      <c r="O252" s="173">
        <f>IF(COUNT(O253:O255)=0,"",SUM(O253:O255))</f>
        <v>1.125</v>
      </c>
      <c r="P252" s="175"/>
      <c r="Q252" s="173">
        <f>IF(O252="","",IF(P252="",O252,O252*(1+P252)))</f>
        <v>1.125</v>
      </c>
      <c r="R252" s="176"/>
      <c r="S252" s="176"/>
      <c r="T252" s="177" t="s">
        <v>65</v>
      </c>
      <c r="U252" s="178"/>
      <c r="V252" s="178"/>
      <c r="W252" s="178"/>
      <c r="X252" s="178"/>
      <c r="Y252" s="178"/>
      <c r="Z252" s="178"/>
      <c r="AA252" s="178"/>
      <c r="AB252" s="178"/>
      <c r="AC252" s="178"/>
    </row>
    <row r="253" ht="33.75" customHeight="1">
      <c r="A253" s="78" t="s">
        <v>457</v>
      </c>
      <c r="B253" s="79" t="s">
        <v>22</v>
      </c>
      <c r="C253" s="56" t="s">
        <v>441</v>
      </c>
      <c r="D253" s="56" t="s">
        <v>455</v>
      </c>
      <c r="E253" s="169" t="s">
        <v>456</v>
      </c>
      <c r="F253" s="95" t="str">
        <f t="shared" ref="F253:G253" si="234">F252</f>
        <v>2.6.1</v>
      </c>
      <c r="G253" s="95" t="str">
        <f t="shared" si="234"/>
        <v>S</v>
      </c>
      <c r="H253" s="97"/>
      <c r="I253" s="65"/>
      <c r="J253" s="95" t="str">
        <f t="shared" ref="J253:K253" si="235">J252</f>
        <v>MVP</v>
      </c>
      <c r="K253" s="121" t="str">
        <f t="shared" si="235"/>
        <v>MVP</v>
      </c>
      <c r="L253" s="129">
        <v>0.25</v>
      </c>
      <c r="M253" s="129">
        <f t="shared" ref="M253:M255" si="238">(N253+L253)/2</f>
        <v>0.375</v>
      </c>
      <c r="N253" s="129">
        <v>0.5</v>
      </c>
      <c r="O253" s="130">
        <f t="shared" ref="O253:O255" si="239">IF(COUNT(L253:N253)=0,"",(L253+4*M253+N253)/6)</f>
        <v>0.375</v>
      </c>
      <c r="P253" s="159"/>
      <c r="Q253" s="131">
        <f t="shared" ref="Q253:Q255" si="240">IF(O253="","",IF(P253="",O253,O253*(1+P253)))</f>
        <v>0.375</v>
      </c>
      <c r="R253" s="132"/>
      <c r="S253" s="132"/>
      <c r="T253" s="65" t="s">
        <v>31</v>
      </c>
      <c r="U253" s="26"/>
      <c r="V253" s="26"/>
      <c r="W253" s="26"/>
      <c r="X253" s="26"/>
      <c r="Y253" s="26"/>
      <c r="Z253" s="26"/>
      <c r="AA253" s="26"/>
      <c r="AB253" s="26"/>
      <c r="AC253" s="26"/>
    </row>
    <row r="254" ht="33.75" customHeight="1">
      <c r="A254" s="78" t="s">
        <v>458</v>
      </c>
      <c r="B254" s="79" t="s">
        <v>22</v>
      </c>
      <c r="C254" s="56" t="s">
        <v>441</v>
      </c>
      <c r="D254" s="56" t="s">
        <v>455</v>
      </c>
      <c r="E254" s="94" t="str">
        <f t="shared" ref="E254:G254" si="236">E253</f>
        <v>Users need to know which numbers are live vs last-entered — trust depends on this being obvious</v>
      </c>
      <c r="F254" s="95" t="str">
        <f t="shared" si="236"/>
        <v>2.6.1</v>
      </c>
      <c r="G254" s="95" t="str">
        <f t="shared" si="236"/>
        <v>S</v>
      </c>
      <c r="H254" s="97"/>
      <c r="I254" s="65"/>
      <c r="J254" s="95" t="str">
        <f t="shared" ref="J254:K254" si="237">J253</f>
        <v>MVP</v>
      </c>
      <c r="K254" s="121" t="str">
        <f t="shared" si="237"/>
        <v>MVP</v>
      </c>
      <c r="L254" s="129">
        <v>0.25</v>
      </c>
      <c r="M254" s="129">
        <f t="shared" si="238"/>
        <v>0.375</v>
      </c>
      <c r="N254" s="129">
        <v>0.5</v>
      </c>
      <c r="O254" s="130">
        <f t="shared" si="239"/>
        <v>0.375</v>
      </c>
      <c r="P254" s="159"/>
      <c r="Q254" s="131">
        <f t="shared" si="240"/>
        <v>0.375</v>
      </c>
      <c r="R254" s="132"/>
      <c r="S254" s="132"/>
      <c r="T254" s="65" t="s">
        <v>32</v>
      </c>
      <c r="U254" s="26"/>
      <c r="V254" s="26"/>
      <c r="W254" s="26"/>
      <c r="X254" s="26"/>
      <c r="Y254" s="26"/>
      <c r="Z254" s="26"/>
      <c r="AA254" s="26"/>
      <c r="AB254" s="26"/>
      <c r="AC254" s="26"/>
    </row>
    <row r="255" ht="33.75" customHeight="1">
      <c r="A255" s="78" t="s">
        <v>459</v>
      </c>
      <c r="B255" s="79" t="s">
        <v>22</v>
      </c>
      <c r="C255" s="56" t="s">
        <v>441</v>
      </c>
      <c r="D255" s="56" t="s">
        <v>455</v>
      </c>
      <c r="E255" s="94" t="str">
        <f t="shared" ref="E255:G255" si="241">E254</f>
        <v>Users need to know which numbers are live vs last-entered — trust depends on this being obvious</v>
      </c>
      <c r="F255" s="95" t="str">
        <f t="shared" si="241"/>
        <v>2.6.1</v>
      </c>
      <c r="G255" s="95" t="str">
        <f t="shared" si="241"/>
        <v>S</v>
      </c>
      <c r="H255" s="97"/>
      <c r="I255" s="65"/>
      <c r="J255" s="95" t="str">
        <f t="shared" ref="J255:K255" si="242">J254</f>
        <v>MVP</v>
      </c>
      <c r="K255" s="121" t="str">
        <f t="shared" si="242"/>
        <v>MVP</v>
      </c>
      <c r="L255" s="129">
        <v>0.25</v>
      </c>
      <c r="M255" s="129">
        <f t="shared" si="238"/>
        <v>0.375</v>
      </c>
      <c r="N255" s="129">
        <v>0.5</v>
      </c>
      <c r="O255" s="130">
        <f t="shared" si="239"/>
        <v>0.375</v>
      </c>
      <c r="P255" s="159"/>
      <c r="Q255" s="131">
        <f t="shared" si="240"/>
        <v>0.375</v>
      </c>
      <c r="R255" s="132"/>
      <c r="S255" s="132"/>
      <c r="T255" s="65" t="s">
        <v>70</v>
      </c>
      <c r="U255" s="26"/>
      <c r="V255" s="26"/>
      <c r="W255" s="26"/>
      <c r="X255" s="26"/>
      <c r="Y255" s="26"/>
      <c r="Z255" s="26"/>
      <c r="AA255" s="26"/>
      <c r="AB255" s="26"/>
      <c r="AC255" s="26"/>
    </row>
    <row r="256" ht="33.75" customHeight="1">
      <c r="A256" s="27" t="s">
        <v>460</v>
      </c>
      <c r="B256" s="28"/>
      <c r="C256" s="28"/>
      <c r="D256" s="28"/>
      <c r="E256" s="29"/>
      <c r="F256" s="30"/>
      <c r="G256" s="30"/>
      <c r="H256" s="30"/>
      <c r="I256" s="30"/>
      <c r="J256" s="30"/>
      <c r="K256" s="31"/>
      <c r="L256" s="32">
        <f t="shared" ref="L256:O256" si="243">SUM(X257:X337)</f>
        <v>12.5</v>
      </c>
      <c r="M256" s="32">
        <f t="shared" si="243"/>
        <v>17.75</v>
      </c>
      <c r="N256" s="32">
        <f t="shared" si="243"/>
        <v>23</v>
      </c>
      <c r="O256" s="32">
        <f t="shared" si="243"/>
        <v>17.75</v>
      </c>
      <c r="P256" s="33"/>
      <c r="Q256" s="32">
        <f>SUM(AC257:AC337)</f>
        <v>17.75</v>
      </c>
      <c r="R256" s="34"/>
      <c r="S256" s="34"/>
      <c r="T256" s="35" t="s">
        <v>59</v>
      </c>
      <c r="U256" s="26"/>
      <c r="V256" s="26"/>
      <c r="W256" s="26"/>
      <c r="X256" s="26"/>
      <c r="Y256" s="26"/>
      <c r="Z256" s="26"/>
      <c r="AA256" s="26"/>
      <c r="AB256" s="26"/>
      <c r="AC256" s="26"/>
    </row>
    <row r="257" ht="33.75" customHeight="1">
      <c r="A257" s="112" t="s">
        <v>461</v>
      </c>
      <c r="B257" s="38" t="s">
        <v>23</v>
      </c>
      <c r="C257" s="38" t="s">
        <v>462</v>
      </c>
      <c r="D257" s="38" t="s">
        <v>462</v>
      </c>
      <c r="E257" s="113" t="s">
        <v>463</v>
      </c>
      <c r="F257" s="114"/>
      <c r="G257" s="114"/>
      <c r="H257" s="45"/>
      <c r="I257" s="45"/>
      <c r="J257" s="114"/>
      <c r="K257" s="115"/>
      <c r="L257" s="42">
        <f>IF(COUNT(L258,L262,L266,L270,L274)=0,"",SUM(L258,L262,L266,L270,L274))</f>
        <v>3.5</v>
      </c>
      <c r="M257" s="42">
        <f t="shared" ref="M257:M258" si="246">(N257+L257)/2</f>
        <v>4.625</v>
      </c>
      <c r="N257" s="42">
        <f t="shared" ref="N257:O257" si="244">IF(COUNT(N258,N262,N266,N270,N274)=0,"",SUM(N258,N262,N266,N270,N274))</f>
        <v>5.75</v>
      </c>
      <c r="O257" s="42">
        <f t="shared" si="244"/>
        <v>4.625</v>
      </c>
      <c r="P257" s="43"/>
      <c r="Q257" s="42">
        <f>IF(COUNT(Q258,Q262,Q266,Q270,Q274)=0,"",SUM(Q258,Q262,Q266,Q270,Q274))</f>
        <v>4.625</v>
      </c>
      <c r="R257" s="44"/>
      <c r="S257" s="44"/>
      <c r="T257" s="45" t="s">
        <v>62</v>
      </c>
      <c r="U257" s="26"/>
      <c r="V257" s="26"/>
      <c r="W257" s="26"/>
      <c r="X257" s="46">
        <f t="shared" ref="X257:AA257" si="245">L257</f>
        <v>3.5</v>
      </c>
      <c r="Y257" s="46">
        <f t="shared" si="245"/>
        <v>4.625</v>
      </c>
      <c r="Z257" s="46">
        <f t="shared" si="245"/>
        <v>5.75</v>
      </c>
      <c r="AA257" s="46">
        <f t="shared" si="245"/>
        <v>4.625</v>
      </c>
      <c r="AB257" s="26"/>
      <c r="AC257" s="46">
        <f>Q257</f>
        <v>4.625</v>
      </c>
    </row>
    <row r="258" ht="33.75" customHeight="1">
      <c r="A258" s="116" t="s">
        <v>464</v>
      </c>
      <c r="B258" s="77" t="s">
        <v>23</v>
      </c>
      <c r="C258" s="77" t="s">
        <v>462</v>
      </c>
      <c r="D258" s="77" t="s">
        <v>465</v>
      </c>
      <c r="E258" s="117" t="s">
        <v>466</v>
      </c>
      <c r="F258" s="118" t="s">
        <v>467</v>
      </c>
      <c r="G258" s="118" t="s">
        <v>154</v>
      </c>
      <c r="H258" s="119" t="s">
        <v>154</v>
      </c>
      <c r="I258" s="54"/>
      <c r="J258" s="118" t="s">
        <v>9</v>
      </c>
      <c r="K258" s="120" t="s">
        <v>9</v>
      </c>
      <c r="L258" s="51">
        <f>IF(COUNT(L259:N261)=0,"",SUM(L259:L261))</f>
        <v>0</v>
      </c>
      <c r="M258" s="51">
        <f t="shared" si="246"/>
        <v>0</v>
      </c>
      <c r="N258" s="51">
        <f>IF(COUNT(L259:N261)=0,"",SUM(N259:N261))</f>
        <v>0</v>
      </c>
      <c r="O258" s="51">
        <f>IF(COUNT(O259:O261)=0,"",SUM(O259:O261))</f>
        <v>0</v>
      </c>
      <c r="P258" s="52"/>
      <c r="Q258" s="51">
        <f t="shared" ref="Q258:Q277" si="247">IF(O258="","",IF(P258="",O258,O258*(1+P258)))</f>
        <v>0</v>
      </c>
      <c r="R258" s="53"/>
      <c r="S258" s="53"/>
      <c r="T258" s="54" t="s">
        <v>65</v>
      </c>
      <c r="U258" s="26"/>
      <c r="V258" s="26"/>
      <c r="W258" s="26"/>
      <c r="X258" s="26"/>
      <c r="Y258" s="26"/>
      <c r="Z258" s="26"/>
      <c r="AA258" s="26"/>
      <c r="AB258" s="26"/>
      <c r="AC258" s="26"/>
    </row>
    <row r="259" ht="33.75" customHeight="1">
      <c r="A259" s="78" t="s">
        <v>468</v>
      </c>
      <c r="B259" s="79" t="s">
        <v>23</v>
      </c>
      <c r="C259" s="79" t="s">
        <v>462</v>
      </c>
      <c r="D259" s="79" t="s">
        <v>465</v>
      </c>
      <c r="E259" s="94" t="s">
        <v>466</v>
      </c>
      <c r="F259" s="95" t="s">
        <v>467</v>
      </c>
      <c r="G259" s="95" t="s">
        <v>154</v>
      </c>
      <c r="H259" s="65" t="s">
        <v>154</v>
      </c>
      <c r="I259" s="65"/>
      <c r="J259" s="95" t="s">
        <v>9</v>
      </c>
      <c r="K259" s="121" t="s">
        <v>9</v>
      </c>
      <c r="L259" s="129">
        <v>0.0</v>
      </c>
      <c r="M259" s="129">
        <v>0.0</v>
      </c>
      <c r="N259" s="129">
        <v>0.0</v>
      </c>
      <c r="O259" s="130">
        <f t="shared" ref="O259:O261" si="248">IF(COUNT(L259:N259)=0,"",(L259+4*M259+N259)/6)</f>
        <v>0</v>
      </c>
      <c r="P259" s="159"/>
      <c r="Q259" s="131">
        <f t="shared" si="247"/>
        <v>0</v>
      </c>
      <c r="R259" s="132"/>
      <c r="S259" s="132"/>
      <c r="T259" s="65" t="s">
        <v>31</v>
      </c>
      <c r="U259" s="26"/>
      <c r="V259" s="26"/>
      <c r="W259" s="26"/>
      <c r="X259" s="26"/>
      <c r="Y259" s="26"/>
      <c r="Z259" s="26"/>
      <c r="AA259" s="26"/>
      <c r="AB259" s="26"/>
      <c r="AC259" s="26"/>
    </row>
    <row r="260" ht="33.75" customHeight="1">
      <c r="A260" s="78" t="s">
        <v>469</v>
      </c>
      <c r="B260" s="79" t="s">
        <v>23</v>
      </c>
      <c r="C260" s="79" t="s">
        <v>462</v>
      </c>
      <c r="D260" s="79" t="s">
        <v>465</v>
      </c>
      <c r="E260" s="94" t="s">
        <v>466</v>
      </c>
      <c r="F260" s="95" t="s">
        <v>467</v>
      </c>
      <c r="G260" s="95" t="s">
        <v>154</v>
      </c>
      <c r="H260" s="65" t="s">
        <v>154</v>
      </c>
      <c r="I260" s="65"/>
      <c r="J260" s="95" t="s">
        <v>9</v>
      </c>
      <c r="K260" s="121" t="s">
        <v>9</v>
      </c>
      <c r="L260" s="129">
        <v>0.0</v>
      </c>
      <c r="M260" s="129">
        <v>0.0</v>
      </c>
      <c r="N260" s="129">
        <v>0.0</v>
      </c>
      <c r="O260" s="130">
        <f t="shared" si="248"/>
        <v>0</v>
      </c>
      <c r="P260" s="159"/>
      <c r="Q260" s="131">
        <f t="shared" si="247"/>
        <v>0</v>
      </c>
      <c r="R260" s="132"/>
      <c r="S260" s="132"/>
      <c r="T260" s="65" t="s">
        <v>32</v>
      </c>
      <c r="U260" s="26"/>
      <c r="V260" s="26"/>
      <c r="W260" s="26"/>
      <c r="X260" s="26"/>
      <c r="Y260" s="26"/>
      <c r="Z260" s="26"/>
      <c r="AA260" s="26"/>
      <c r="AB260" s="26"/>
      <c r="AC260" s="26"/>
    </row>
    <row r="261" ht="33.75" customHeight="1">
      <c r="A261" s="78" t="s">
        <v>470</v>
      </c>
      <c r="B261" s="79" t="s">
        <v>23</v>
      </c>
      <c r="C261" s="79" t="s">
        <v>462</v>
      </c>
      <c r="D261" s="79" t="s">
        <v>465</v>
      </c>
      <c r="E261" s="94" t="s">
        <v>466</v>
      </c>
      <c r="F261" s="95" t="s">
        <v>467</v>
      </c>
      <c r="G261" s="95" t="s">
        <v>154</v>
      </c>
      <c r="H261" s="97" t="s">
        <v>154</v>
      </c>
      <c r="I261" s="65"/>
      <c r="J261" s="95" t="s">
        <v>9</v>
      </c>
      <c r="K261" s="121" t="s">
        <v>9</v>
      </c>
      <c r="L261" s="129">
        <v>0.0</v>
      </c>
      <c r="M261" s="129">
        <v>0.0</v>
      </c>
      <c r="N261" s="129">
        <v>0.0</v>
      </c>
      <c r="O261" s="130">
        <f t="shared" si="248"/>
        <v>0</v>
      </c>
      <c r="P261" s="159"/>
      <c r="Q261" s="131">
        <f t="shared" si="247"/>
        <v>0</v>
      </c>
      <c r="R261" s="132"/>
      <c r="S261" s="132"/>
      <c r="T261" s="65" t="s">
        <v>70</v>
      </c>
      <c r="U261" s="26"/>
      <c r="V261" s="26"/>
      <c r="W261" s="26"/>
      <c r="X261" s="26"/>
      <c r="Y261" s="26"/>
      <c r="Z261" s="26"/>
      <c r="AA261" s="26"/>
      <c r="AB261" s="26"/>
      <c r="AC261" s="26"/>
    </row>
    <row r="262" ht="33.75" customHeight="1">
      <c r="A262" s="116" t="s">
        <v>471</v>
      </c>
      <c r="B262" s="77" t="s">
        <v>23</v>
      </c>
      <c r="C262" s="77" t="s">
        <v>462</v>
      </c>
      <c r="D262" s="77" t="s">
        <v>472</v>
      </c>
      <c r="E262" s="117" t="s">
        <v>473</v>
      </c>
      <c r="F262" s="118" t="s">
        <v>464</v>
      </c>
      <c r="G262" s="118" t="s">
        <v>200</v>
      </c>
      <c r="H262" s="119" t="s">
        <v>200</v>
      </c>
      <c r="I262" s="54"/>
      <c r="J262" s="118" t="s">
        <v>9</v>
      </c>
      <c r="K262" s="120" t="s">
        <v>9</v>
      </c>
      <c r="L262" s="51">
        <f>IF(COUNT(L263:N265)=0,"",SUM(L263:L265))</f>
        <v>1.5</v>
      </c>
      <c r="M262" s="51">
        <f t="shared" ref="M262:M287" si="249">(N262+L262)/2</f>
        <v>1.875</v>
      </c>
      <c r="N262" s="51">
        <f>IF(COUNT(L263:N265)=0,"",SUM(N263:N265))</f>
        <v>2.25</v>
      </c>
      <c r="O262" s="51">
        <f>IF(COUNT(O263:O265)=0,"",SUM(O263:O265))</f>
        <v>1.875</v>
      </c>
      <c r="P262" s="52"/>
      <c r="Q262" s="51">
        <f t="shared" si="247"/>
        <v>1.875</v>
      </c>
      <c r="R262" s="53"/>
      <c r="S262" s="53"/>
      <c r="T262" s="54" t="s">
        <v>65</v>
      </c>
      <c r="U262" s="26"/>
      <c r="V262" s="26"/>
      <c r="W262" s="26"/>
      <c r="X262" s="26"/>
      <c r="Y262" s="26"/>
      <c r="Z262" s="26"/>
      <c r="AA262" s="26"/>
      <c r="AB262" s="26"/>
      <c r="AC262" s="26"/>
    </row>
    <row r="263" ht="33.75" customHeight="1">
      <c r="A263" s="78" t="s">
        <v>474</v>
      </c>
      <c r="B263" s="79" t="s">
        <v>23</v>
      </c>
      <c r="C263" s="79" t="s">
        <v>462</v>
      </c>
      <c r="D263" s="79" t="s">
        <v>472</v>
      </c>
      <c r="E263" s="94" t="s">
        <v>473</v>
      </c>
      <c r="F263" s="95" t="s">
        <v>464</v>
      </c>
      <c r="G263" s="95" t="s">
        <v>200</v>
      </c>
      <c r="H263" s="97" t="s">
        <v>200</v>
      </c>
      <c r="I263" s="65"/>
      <c r="J263" s="95" t="s">
        <v>9</v>
      </c>
      <c r="K263" s="121" t="s">
        <v>9</v>
      </c>
      <c r="L263" s="129">
        <v>0.0</v>
      </c>
      <c r="M263" s="129">
        <f t="shared" si="249"/>
        <v>0</v>
      </c>
      <c r="N263" s="129">
        <v>0.0</v>
      </c>
      <c r="O263" s="130">
        <f t="shared" ref="O263:O265" si="250">IF(COUNT(L263:N263)=0,"",(L263+4*M263+N263)/6)</f>
        <v>0</v>
      </c>
      <c r="P263" s="159"/>
      <c r="Q263" s="131">
        <f t="shared" si="247"/>
        <v>0</v>
      </c>
      <c r="R263" s="132"/>
      <c r="S263" s="132"/>
      <c r="T263" s="65" t="s">
        <v>31</v>
      </c>
      <c r="U263" s="26"/>
      <c r="V263" s="26"/>
      <c r="W263" s="26"/>
      <c r="X263" s="26"/>
      <c r="Y263" s="26"/>
      <c r="Z263" s="26"/>
      <c r="AA263" s="26"/>
      <c r="AB263" s="26"/>
      <c r="AC263" s="26"/>
    </row>
    <row r="264" ht="33.75" customHeight="1">
      <c r="A264" s="78" t="s">
        <v>475</v>
      </c>
      <c r="B264" s="79" t="s">
        <v>23</v>
      </c>
      <c r="C264" s="79" t="s">
        <v>462</v>
      </c>
      <c r="D264" s="79" t="s">
        <v>472</v>
      </c>
      <c r="E264" s="94" t="s">
        <v>473</v>
      </c>
      <c r="F264" s="95" t="s">
        <v>464</v>
      </c>
      <c r="G264" s="95" t="s">
        <v>200</v>
      </c>
      <c r="H264" s="65" t="s">
        <v>200</v>
      </c>
      <c r="I264" s="65"/>
      <c r="J264" s="95" t="s">
        <v>9</v>
      </c>
      <c r="K264" s="121" t="s">
        <v>9</v>
      </c>
      <c r="L264" s="129">
        <v>1.0</v>
      </c>
      <c r="M264" s="129">
        <f t="shared" si="249"/>
        <v>1.25</v>
      </c>
      <c r="N264" s="128">
        <v>1.5</v>
      </c>
      <c r="O264" s="130">
        <f t="shared" si="250"/>
        <v>1.25</v>
      </c>
      <c r="P264" s="159"/>
      <c r="Q264" s="131">
        <f t="shared" si="247"/>
        <v>1.25</v>
      </c>
      <c r="R264" s="132"/>
      <c r="S264" s="132"/>
      <c r="T264" s="65" t="s">
        <v>32</v>
      </c>
      <c r="U264" s="26"/>
      <c r="V264" s="26"/>
      <c r="W264" s="26"/>
      <c r="X264" s="26"/>
      <c r="Y264" s="26"/>
      <c r="Z264" s="26"/>
      <c r="AA264" s="26"/>
      <c r="AB264" s="26"/>
      <c r="AC264" s="26"/>
    </row>
    <row r="265" ht="33.75" customHeight="1">
      <c r="A265" s="78" t="s">
        <v>476</v>
      </c>
      <c r="B265" s="79" t="s">
        <v>23</v>
      </c>
      <c r="C265" s="79" t="s">
        <v>462</v>
      </c>
      <c r="D265" s="79" t="s">
        <v>472</v>
      </c>
      <c r="E265" s="94" t="s">
        <v>473</v>
      </c>
      <c r="F265" s="95" t="s">
        <v>464</v>
      </c>
      <c r="G265" s="95" t="s">
        <v>200</v>
      </c>
      <c r="H265" s="97" t="s">
        <v>200</v>
      </c>
      <c r="I265" s="65"/>
      <c r="J265" s="95" t="s">
        <v>9</v>
      </c>
      <c r="K265" s="121" t="s">
        <v>9</v>
      </c>
      <c r="L265" s="129">
        <v>0.5</v>
      </c>
      <c r="M265" s="129">
        <f t="shared" si="249"/>
        <v>0.625</v>
      </c>
      <c r="N265" s="129">
        <v>0.75</v>
      </c>
      <c r="O265" s="130">
        <f t="shared" si="250"/>
        <v>0.625</v>
      </c>
      <c r="P265" s="159"/>
      <c r="Q265" s="131">
        <f t="shared" si="247"/>
        <v>0.625</v>
      </c>
      <c r="R265" s="132"/>
      <c r="S265" s="132"/>
      <c r="T265" s="65" t="s">
        <v>70</v>
      </c>
      <c r="U265" s="26"/>
      <c r="V265" s="26"/>
      <c r="W265" s="26"/>
      <c r="X265" s="26"/>
      <c r="Y265" s="26"/>
      <c r="Z265" s="26"/>
      <c r="AA265" s="26"/>
      <c r="AB265" s="26"/>
      <c r="AC265" s="26"/>
    </row>
    <row r="266" ht="33.75" customHeight="1">
      <c r="A266" s="116" t="s">
        <v>477</v>
      </c>
      <c r="B266" s="77" t="s">
        <v>23</v>
      </c>
      <c r="C266" s="77" t="s">
        <v>462</v>
      </c>
      <c r="D266" s="77" t="s">
        <v>478</v>
      </c>
      <c r="E266" s="117" t="s">
        <v>479</v>
      </c>
      <c r="F266" s="118" t="s">
        <v>471</v>
      </c>
      <c r="G266" s="118" t="s">
        <v>168</v>
      </c>
      <c r="H266" s="119" t="s">
        <v>168</v>
      </c>
      <c r="I266" s="54"/>
      <c r="J266" s="118" t="s">
        <v>9</v>
      </c>
      <c r="K266" s="120" t="s">
        <v>9</v>
      </c>
      <c r="L266" s="51">
        <f>IF(COUNT(L267:N269)=0,"",SUM(L267:L269))</f>
        <v>0.25</v>
      </c>
      <c r="M266" s="51">
        <f t="shared" si="249"/>
        <v>0.375</v>
      </c>
      <c r="N266" s="51">
        <f>IF(COUNT(L267:N269)=0,"",SUM(N267:N269))</f>
        <v>0.5</v>
      </c>
      <c r="O266" s="51">
        <f>IF(COUNT(O267:O269)=0,"",SUM(O267:O269))</f>
        <v>0.375</v>
      </c>
      <c r="P266" s="52"/>
      <c r="Q266" s="51">
        <f t="shared" si="247"/>
        <v>0.375</v>
      </c>
      <c r="R266" s="53"/>
      <c r="S266" s="53"/>
      <c r="T266" s="54" t="s">
        <v>65</v>
      </c>
      <c r="U266" s="26"/>
      <c r="V266" s="26"/>
      <c r="W266" s="26"/>
      <c r="X266" s="26"/>
      <c r="Y266" s="26"/>
      <c r="Z266" s="26"/>
      <c r="AA266" s="26"/>
      <c r="AB266" s="26"/>
      <c r="AC266" s="26"/>
    </row>
    <row r="267" ht="33.75" customHeight="1">
      <c r="A267" s="78" t="s">
        <v>480</v>
      </c>
      <c r="B267" s="79" t="s">
        <v>23</v>
      </c>
      <c r="C267" s="79" t="s">
        <v>462</v>
      </c>
      <c r="D267" s="79" t="s">
        <v>478</v>
      </c>
      <c r="E267" s="94" t="s">
        <v>479</v>
      </c>
      <c r="F267" s="95" t="s">
        <v>471</v>
      </c>
      <c r="G267" s="95" t="s">
        <v>168</v>
      </c>
      <c r="H267" s="97" t="s">
        <v>168</v>
      </c>
      <c r="I267" s="65"/>
      <c r="J267" s="95" t="s">
        <v>9</v>
      </c>
      <c r="K267" s="121" t="s">
        <v>9</v>
      </c>
      <c r="L267" s="129">
        <v>0.0</v>
      </c>
      <c r="M267" s="129">
        <f t="shared" si="249"/>
        <v>0</v>
      </c>
      <c r="N267" s="129">
        <v>0.0</v>
      </c>
      <c r="O267" s="130">
        <f t="shared" ref="O267:O269" si="251">IF(COUNT(L267:N267)=0,"",(L267+4*M267+N267)/6)</f>
        <v>0</v>
      </c>
      <c r="P267" s="159"/>
      <c r="Q267" s="131">
        <f t="shared" si="247"/>
        <v>0</v>
      </c>
      <c r="R267" s="132"/>
      <c r="S267" s="132"/>
      <c r="T267" s="65" t="s">
        <v>31</v>
      </c>
      <c r="U267" s="26"/>
      <c r="V267" s="26"/>
      <c r="W267" s="26"/>
      <c r="X267" s="26"/>
      <c r="Y267" s="26"/>
      <c r="Z267" s="26"/>
      <c r="AA267" s="26"/>
      <c r="AB267" s="26"/>
      <c r="AC267" s="26"/>
    </row>
    <row r="268" ht="33.75" customHeight="1">
      <c r="A268" s="78" t="s">
        <v>481</v>
      </c>
      <c r="B268" s="79" t="s">
        <v>23</v>
      </c>
      <c r="C268" s="79" t="s">
        <v>462</v>
      </c>
      <c r="D268" s="79" t="s">
        <v>478</v>
      </c>
      <c r="E268" s="94" t="s">
        <v>479</v>
      </c>
      <c r="F268" s="95" t="s">
        <v>471</v>
      </c>
      <c r="G268" s="95" t="s">
        <v>168</v>
      </c>
      <c r="H268" s="97" t="s">
        <v>168</v>
      </c>
      <c r="I268" s="65"/>
      <c r="J268" s="95" t="s">
        <v>9</v>
      </c>
      <c r="K268" s="121" t="s">
        <v>9</v>
      </c>
      <c r="L268" s="129">
        <v>0.25</v>
      </c>
      <c r="M268" s="129">
        <f t="shared" si="249"/>
        <v>0.375</v>
      </c>
      <c r="N268" s="129">
        <v>0.5</v>
      </c>
      <c r="O268" s="130">
        <f t="shared" si="251"/>
        <v>0.375</v>
      </c>
      <c r="P268" s="159"/>
      <c r="Q268" s="131">
        <f t="shared" si="247"/>
        <v>0.375</v>
      </c>
      <c r="R268" s="132"/>
      <c r="S268" s="132"/>
      <c r="T268" s="65" t="s">
        <v>32</v>
      </c>
      <c r="U268" s="26"/>
      <c r="V268" s="26"/>
      <c r="W268" s="26"/>
      <c r="X268" s="26"/>
      <c r="Y268" s="26"/>
      <c r="Z268" s="26"/>
      <c r="AA268" s="26"/>
      <c r="AB268" s="26"/>
      <c r="AC268" s="26"/>
    </row>
    <row r="269" ht="33.75" customHeight="1">
      <c r="A269" s="78" t="s">
        <v>482</v>
      </c>
      <c r="B269" s="79" t="s">
        <v>23</v>
      </c>
      <c r="C269" s="79" t="s">
        <v>462</v>
      </c>
      <c r="D269" s="79" t="s">
        <v>478</v>
      </c>
      <c r="E269" s="94" t="s">
        <v>479</v>
      </c>
      <c r="F269" s="95" t="s">
        <v>471</v>
      </c>
      <c r="G269" s="95" t="s">
        <v>168</v>
      </c>
      <c r="H269" s="65" t="s">
        <v>168</v>
      </c>
      <c r="I269" s="65"/>
      <c r="J269" s="95" t="s">
        <v>9</v>
      </c>
      <c r="K269" s="121" t="s">
        <v>9</v>
      </c>
      <c r="L269" s="129">
        <v>0.0</v>
      </c>
      <c r="M269" s="129">
        <f t="shared" si="249"/>
        <v>0</v>
      </c>
      <c r="N269" s="129">
        <v>0.0</v>
      </c>
      <c r="O269" s="130">
        <f t="shared" si="251"/>
        <v>0</v>
      </c>
      <c r="P269" s="159"/>
      <c r="Q269" s="131">
        <f t="shared" si="247"/>
        <v>0</v>
      </c>
      <c r="R269" s="132"/>
      <c r="S269" s="132"/>
      <c r="T269" s="65" t="s">
        <v>70</v>
      </c>
      <c r="U269" s="26"/>
      <c r="V269" s="26"/>
      <c r="W269" s="26"/>
      <c r="X269" s="26"/>
      <c r="Y269" s="26"/>
      <c r="Z269" s="26"/>
      <c r="AA269" s="26"/>
      <c r="AB269" s="26"/>
      <c r="AC269" s="26"/>
    </row>
    <row r="270" ht="33.75" customHeight="1">
      <c r="A270" s="116" t="s">
        <v>483</v>
      </c>
      <c r="B270" s="77" t="s">
        <v>23</v>
      </c>
      <c r="C270" s="77" t="s">
        <v>462</v>
      </c>
      <c r="D270" s="77" t="s">
        <v>484</v>
      </c>
      <c r="E270" s="117" t="s">
        <v>485</v>
      </c>
      <c r="F270" s="118" t="s">
        <v>471</v>
      </c>
      <c r="G270" s="118" t="s">
        <v>168</v>
      </c>
      <c r="H270" s="119" t="s">
        <v>168</v>
      </c>
      <c r="I270" s="54"/>
      <c r="J270" s="118" t="s">
        <v>9</v>
      </c>
      <c r="K270" s="120" t="s">
        <v>9</v>
      </c>
      <c r="L270" s="51">
        <f>IF(COUNT(L271:N273)=0,"",SUM(L271:L273))</f>
        <v>0.75</v>
      </c>
      <c r="M270" s="51">
        <f t="shared" si="249"/>
        <v>1</v>
      </c>
      <c r="N270" s="51">
        <f>IF(COUNT(L271:N273)=0,"",SUM(N271:N273))</f>
        <v>1.25</v>
      </c>
      <c r="O270" s="51">
        <f>IF(COUNT(O271:O273)=0,"",SUM(O271:O273))</f>
        <v>1</v>
      </c>
      <c r="P270" s="52"/>
      <c r="Q270" s="51">
        <f t="shared" si="247"/>
        <v>1</v>
      </c>
      <c r="R270" s="53"/>
      <c r="S270" s="53"/>
      <c r="T270" s="54" t="s">
        <v>65</v>
      </c>
      <c r="U270" s="26"/>
      <c r="V270" s="26"/>
      <c r="W270" s="26"/>
      <c r="X270" s="26"/>
      <c r="Y270" s="26"/>
      <c r="Z270" s="26"/>
      <c r="AA270" s="26"/>
      <c r="AB270" s="26"/>
      <c r="AC270" s="26"/>
    </row>
    <row r="271" ht="33.75" customHeight="1">
      <c r="A271" s="78" t="s">
        <v>486</v>
      </c>
      <c r="B271" s="79" t="s">
        <v>23</v>
      </c>
      <c r="C271" s="79" t="s">
        <v>462</v>
      </c>
      <c r="D271" s="79" t="s">
        <v>484</v>
      </c>
      <c r="E271" s="94" t="s">
        <v>485</v>
      </c>
      <c r="F271" s="95" t="s">
        <v>471</v>
      </c>
      <c r="G271" s="95" t="s">
        <v>168</v>
      </c>
      <c r="H271" s="97" t="s">
        <v>168</v>
      </c>
      <c r="I271" s="65"/>
      <c r="J271" s="95" t="s">
        <v>9</v>
      </c>
      <c r="K271" s="121" t="s">
        <v>9</v>
      </c>
      <c r="L271" s="129">
        <v>0.0</v>
      </c>
      <c r="M271" s="129">
        <f t="shared" si="249"/>
        <v>0</v>
      </c>
      <c r="N271" s="129">
        <v>0.0</v>
      </c>
      <c r="O271" s="130">
        <f t="shared" ref="O271:O273" si="252">IF(COUNT(L271:N271)=0,"",(L271+4*M271+N271)/6)</f>
        <v>0</v>
      </c>
      <c r="P271" s="159"/>
      <c r="Q271" s="131">
        <f t="shared" si="247"/>
        <v>0</v>
      </c>
      <c r="R271" s="132"/>
      <c r="S271" s="132"/>
      <c r="T271" s="65" t="s">
        <v>31</v>
      </c>
      <c r="U271" s="26"/>
      <c r="V271" s="26"/>
      <c r="W271" s="26"/>
      <c r="X271" s="26"/>
      <c r="Y271" s="26"/>
      <c r="Z271" s="26"/>
      <c r="AA271" s="26"/>
      <c r="AB271" s="26"/>
      <c r="AC271" s="26"/>
    </row>
    <row r="272" ht="33.75" customHeight="1">
      <c r="A272" s="78" t="s">
        <v>487</v>
      </c>
      <c r="B272" s="79" t="s">
        <v>23</v>
      </c>
      <c r="C272" s="79" t="s">
        <v>462</v>
      </c>
      <c r="D272" s="79" t="s">
        <v>484</v>
      </c>
      <c r="E272" s="94" t="s">
        <v>485</v>
      </c>
      <c r="F272" s="95" t="s">
        <v>471</v>
      </c>
      <c r="G272" s="95" t="s">
        <v>168</v>
      </c>
      <c r="H272" s="97" t="s">
        <v>168</v>
      </c>
      <c r="I272" s="65"/>
      <c r="J272" s="95" t="s">
        <v>9</v>
      </c>
      <c r="K272" s="121" t="s">
        <v>9</v>
      </c>
      <c r="L272" s="129">
        <v>0.5</v>
      </c>
      <c r="M272" s="129">
        <f t="shared" si="249"/>
        <v>0.625</v>
      </c>
      <c r="N272" s="129">
        <v>0.75</v>
      </c>
      <c r="O272" s="130">
        <f t="shared" si="252"/>
        <v>0.625</v>
      </c>
      <c r="P272" s="159"/>
      <c r="Q272" s="131">
        <f t="shared" si="247"/>
        <v>0.625</v>
      </c>
      <c r="R272" s="132"/>
      <c r="S272" s="132"/>
      <c r="T272" s="65" t="s">
        <v>32</v>
      </c>
      <c r="U272" s="26"/>
      <c r="V272" s="26"/>
      <c r="W272" s="26"/>
      <c r="X272" s="26"/>
      <c r="Y272" s="26"/>
      <c r="Z272" s="26"/>
      <c r="AA272" s="26"/>
      <c r="AB272" s="26"/>
      <c r="AC272" s="26"/>
    </row>
    <row r="273" ht="33.75" customHeight="1">
      <c r="A273" s="78" t="s">
        <v>488</v>
      </c>
      <c r="B273" s="79" t="s">
        <v>23</v>
      </c>
      <c r="C273" s="79" t="s">
        <v>462</v>
      </c>
      <c r="D273" s="79" t="s">
        <v>484</v>
      </c>
      <c r="E273" s="94" t="s">
        <v>485</v>
      </c>
      <c r="F273" s="95" t="s">
        <v>471</v>
      </c>
      <c r="G273" s="95" t="s">
        <v>168</v>
      </c>
      <c r="H273" s="97" t="s">
        <v>168</v>
      </c>
      <c r="I273" s="65"/>
      <c r="J273" s="95" t="s">
        <v>9</v>
      </c>
      <c r="K273" s="121" t="s">
        <v>9</v>
      </c>
      <c r="L273" s="129">
        <v>0.25</v>
      </c>
      <c r="M273" s="129">
        <f t="shared" si="249"/>
        <v>0.375</v>
      </c>
      <c r="N273" s="129">
        <v>0.5</v>
      </c>
      <c r="O273" s="130">
        <f t="shared" si="252"/>
        <v>0.375</v>
      </c>
      <c r="P273" s="159"/>
      <c r="Q273" s="131">
        <f t="shared" si="247"/>
        <v>0.375</v>
      </c>
      <c r="R273" s="132"/>
      <c r="S273" s="132"/>
      <c r="T273" s="65" t="s">
        <v>70</v>
      </c>
      <c r="U273" s="26"/>
      <c r="V273" s="26"/>
      <c r="W273" s="26"/>
      <c r="X273" s="26"/>
      <c r="Y273" s="26"/>
      <c r="Z273" s="26"/>
      <c r="AA273" s="26"/>
      <c r="AB273" s="26"/>
      <c r="AC273" s="26"/>
    </row>
    <row r="274" ht="33.75" customHeight="1">
      <c r="A274" s="116" t="s">
        <v>489</v>
      </c>
      <c r="B274" s="77" t="s">
        <v>23</v>
      </c>
      <c r="C274" s="77" t="s">
        <v>462</v>
      </c>
      <c r="D274" s="77" t="s">
        <v>490</v>
      </c>
      <c r="E274" s="117" t="s">
        <v>491</v>
      </c>
      <c r="F274" s="118" t="s">
        <v>471</v>
      </c>
      <c r="G274" s="118" t="s">
        <v>168</v>
      </c>
      <c r="H274" s="119" t="s">
        <v>168</v>
      </c>
      <c r="I274" s="54"/>
      <c r="J274" s="118" t="s">
        <v>9</v>
      </c>
      <c r="K274" s="120" t="s">
        <v>9</v>
      </c>
      <c r="L274" s="51">
        <f>IF(COUNT(L275:N277)=0,"",SUM(L275:L277))</f>
        <v>1</v>
      </c>
      <c r="M274" s="51">
        <f t="shared" si="249"/>
        <v>1.375</v>
      </c>
      <c r="N274" s="51">
        <f>IF(COUNT(L275:N277)=0,"",SUM(N275:N277))</f>
        <v>1.75</v>
      </c>
      <c r="O274" s="51">
        <f>IF(COUNT(O275:O277)=0,"",SUM(O275:O277))</f>
        <v>1.375</v>
      </c>
      <c r="P274" s="52"/>
      <c r="Q274" s="51">
        <f t="shared" si="247"/>
        <v>1.375</v>
      </c>
      <c r="R274" s="53"/>
      <c r="S274" s="53"/>
      <c r="T274" s="54" t="s">
        <v>65</v>
      </c>
      <c r="U274" s="26"/>
      <c r="V274" s="26"/>
      <c r="W274" s="26"/>
      <c r="X274" s="26"/>
      <c r="Y274" s="26"/>
      <c r="Z274" s="26"/>
      <c r="AA274" s="26"/>
      <c r="AB274" s="26"/>
      <c r="AC274" s="26"/>
    </row>
    <row r="275" ht="33.75" customHeight="1">
      <c r="A275" s="78" t="s">
        <v>492</v>
      </c>
      <c r="B275" s="79" t="s">
        <v>23</v>
      </c>
      <c r="C275" s="79" t="s">
        <v>462</v>
      </c>
      <c r="D275" s="79" t="s">
        <v>490</v>
      </c>
      <c r="E275" s="94" t="s">
        <v>491</v>
      </c>
      <c r="F275" s="95" t="s">
        <v>471</v>
      </c>
      <c r="G275" s="95" t="s">
        <v>168</v>
      </c>
      <c r="H275" s="65" t="s">
        <v>168</v>
      </c>
      <c r="I275" s="65"/>
      <c r="J275" s="95" t="s">
        <v>9</v>
      </c>
      <c r="K275" s="121" t="s">
        <v>9</v>
      </c>
      <c r="L275" s="129">
        <v>0.25</v>
      </c>
      <c r="M275" s="129">
        <f t="shared" si="249"/>
        <v>0.25</v>
      </c>
      <c r="N275" s="129">
        <v>0.25</v>
      </c>
      <c r="O275" s="130">
        <f t="shared" ref="O275:O277" si="253">IF(COUNT(L275:N275)=0,"",(L275+4*M275+N275)/6)</f>
        <v>0.25</v>
      </c>
      <c r="P275" s="159"/>
      <c r="Q275" s="131">
        <f t="shared" si="247"/>
        <v>0.25</v>
      </c>
      <c r="R275" s="132"/>
      <c r="S275" s="132"/>
      <c r="T275" s="65" t="s">
        <v>31</v>
      </c>
      <c r="U275" s="26"/>
      <c r="V275" s="26"/>
      <c r="W275" s="26"/>
      <c r="X275" s="26"/>
      <c r="Y275" s="26"/>
      <c r="Z275" s="26"/>
      <c r="AA275" s="26"/>
      <c r="AB275" s="26"/>
      <c r="AC275" s="26"/>
    </row>
    <row r="276" ht="33.75" customHeight="1">
      <c r="A276" s="78" t="s">
        <v>493</v>
      </c>
      <c r="B276" s="79" t="s">
        <v>23</v>
      </c>
      <c r="C276" s="79" t="s">
        <v>462</v>
      </c>
      <c r="D276" s="79" t="s">
        <v>490</v>
      </c>
      <c r="E276" s="94" t="s">
        <v>491</v>
      </c>
      <c r="F276" s="95" t="s">
        <v>471</v>
      </c>
      <c r="G276" s="95" t="s">
        <v>168</v>
      </c>
      <c r="H276" s="97" t="s">
        <v>168</v>
      </c>
      <c r="I276" s="65"/>
      <c r="J276" s="95" t="s">
        <v>9</v>
      </c>
      <c r="K276" s="121" t="s">
        <v>9</v>
      </c>
      <c r="L276" s="129">
        <v>0.5</v>
      </c>
      <c r="M276" s="129">
        <f t="shared" si="249"/>
        <v>0.75</v>
      </c>
      <c r="N276" s="129">
        <v>1.0</v>
      </c>
      <c r="O276" s="130">
        <f t="shared" si="253"/>
        <v>0.75</v>
      </c>
      <c r="P276" s="159"/>
      <c r="Q276" s="131">
        <f t="shared" si="247"/>
        <v>0.75</v>
      </c>
      <c r="R276" s="132"/>
      <c r="S276" s="132"/>
      <c r="T276" s="65" t="s">
        <v>32</v>
      </c>
      <c r="U276" s="26"/>
      <c r="V276" s="26"/>
      <c r="W276" s="26"/>
      <c r="X276" s="26"/>
      <c r="Y276" s="26"/>
      <c r="Z276" s="26"/>
      <c r="AA276" s="26"/>
      <c r="AB276" s="26"/>
      <c r="AC276" s="26"/>
    </row>
    <row r="277" ht="33.75" customHeight="1">
      <c r="A277" s="78" t="s">
        <v>494</v>
      </c>
      <c r="B277" s="79" t="s">
        <v>23</v>
      </c>
      <c r="C277" s="79" t="s">
        <v>462</v>
      </c>
      <c r="D277" s="79" t="s">
        <v>490</v>
      </c>
      <c r="E277" s="94" t="s">
        <v>491</v>
      </c>
      <c r="F277" s="95" t="s">
        <v>471</v>
      </c>
      <c r="G277" s="95" t="s">
        <v>168</v>
      </c>
      <c r="H277" s="97" t="s">
        <v>168</v>
      </c>
      <c r="I277" s="65"/>
      <c r="J277" s="95" t="s">
        <v>9</v>
      </c>
      <c r="K277" s="121" t="s">
        <v>9</v>
      </c>
      <c r="L277" s="129">
        <v>0.25</v>
      </c>
      <c r="M277" s="129">
        <f t="shared" si="249"/>
        <v>0.375</v>
      </c>
      <c r="N277" s="129">
        <v>0.5</v>
      </c>
      <c r="O277" s="130">
        <f t="shared" si="253"/>
        <v>0.375</v>
      </c>
      <c r="P277" s="159"/>
      <c r="Q277" s="131">
        <f t="shared" si="247"/>
        <v>0.375</v>
      </c>
      <c r="R277" s="132"/>
      <c r="S277" s="132"/>
      <c r="T277" s="65" t="s">
        <v>70</v>
      </c>
      <c r="U277" s="26"/>
      <c r="V277" s="26"/>
      <c r="W277" s="26"/>
      <c r="X277" s="26"/>
      <c r="Y277" s="26"/>
      <c r="Z277" s="26"/>
      <c r="AA277" s="26"/>
      <c r="AB277" s="26"/>
      <c r="AC277" s="26"/>
    </row>
    <row r="278" ht="33.75" customHeight="1">
      <c r="A278" s="112" t="s">
        <v>495</v>
      </c>
      <c r="B278" s="38" t="s">
        <v>23</v>
      </c>
      <c r="C278" s="38" t="s">
        <v>496</v>
      </c>
      <c r="D278" s="38" t="s">
        <v>496</v>
      </c>
      <c r="E278" s="113" t="s">
        <v>497</v>
      </c>
      <c r="F278" s="114"/>
      <c r="G278" s="114"/>
      <c r="H278" s="123"/>
      <c r="I278" s="45"/>
      <c r="J278" s="114"/>
      <c r="K278" s="115"/>
      <c r="L278" s="42">
        <f>IF(COUNT(L279,L283,L287,L291,L295)=0,"",SUM(L279,L283,L287,L291,L295))</f>
        <v>3.75</v>
      </c>
      <c r="M278" s="42">
        <f t="shared" si="249"/>
        <v>5.625</v>
      </c>
      <c r="N278" s="42">
        <f t="shared" ref="N278:O278" si="254">IF(COUNT(N279,N283,N287,N291,N295)=0,"",SUM(N279,N283,N287,N291,N295))</f>
        <v>7.5</v>
      </c>
      <c r="O278" s="42">
        <f t="shared" si="254"/>
        <v>5.625</v>
      </c>
      <c r="P278" s="43"/>
      <c r="Q278" s="42">
        <f>IF(COUNT(Q279,Q283,Q287,Q291,Q295)=0,"",SUM(Q279,Q283,Q287,Q291,Q295))</f>
        <v>5.625</v>
      </c>
      <c r="R278" s="44"/>
      <c r="S278" s="44"/>
      <c r="T278" s="45" t="s">
        <v>62</v>
      </c>
      <c r="U278" s="179"/>
      <c r="V278" s="179"/>
      <c r="W278" s="179"/>
      <c r="X278" s="105">
        <f t="shared" ref="X278:AA278" si="255">L278</f>
        <v>3.75</v>
      </c>
      <c r="Y278" s="105">
        <f t="shared" si="255"/>
        <v>5.625</v>
      </c>
      <c r="Z278" s="105">
        <f t="shared" si="255"/>
        <v>7.5</v>
      </c>
      <c r="AA278" s="105">
        <f t="shared" si="255"/>
        <v>5.625</v>
      </c>
      <c r="AB278" s="179"/>
      <c r="AC278" s="105">
        <f>Q278</f>
        <v>5.625</v>
      </c>
    </row>
    <row r="279" ht="33.75" customHeight="1">
      <c r="A279" s="116" t="s">
        <v>498</v>
      </c>
      <c r="B279" s="77" t="s">
        <v>23</v>
      </c>
      <c r="C279" s="77" t="s">
        <v>496</v>
      </c>
      <c r="D279" s="77" t="s">
        <v>499</v>
      </c>
      <c r="E279" s="117" t="s">
        <v>500</v>
      </c>
      <c r="F279" s="118" t="s">
        <v>501</v>
      </c>
      <c r="G279" s="118" t="s">
        <v>168</v>
      </c>
      <c r="H279" s="119" t="s">
        <v>168</v>
      </c>
      <c r="I279" s="54"/>
      <c r="J279" s="118" t="s">
        <v>12</v>
      </c>
      <c r="K279" s="120" t="s">
        <v>12</v>
      </c>
      <c r="L279" s="51">
        <f>IF(COUNT(L280:N282)=0,"",SUM(L280:L282))</f>
        <v>0.75</v>
      </c>
      <c r="M279" s="51">
        <f t="shared" si="249"/>
        <v>1.125</v>
      </c>
      <c r="N279" s="51">
        <f>IF(COUNT(L280:N282)=0,"",SUM(N280:N282))</f>
        <v>1.5</v>
      </c>
      <c r="O279" s="51">
        <f>IF(COUNT(O280:O282)=0,"",SUM(O280:O282))</f>
        <v>1.125</v>
      </c>
      <c r="P279" s="52"/>
      <c r="Q279" s="51">
        <f t="shared" ref="Q279:Q311" si="256">IF(O279="","",IF(P279="",O279,O279*(1+P279)))</f>
        <v>1.125</v>
      </c>
      <c r="R279" s="53"/>
      <c r="S279" s="53"/>
      <c r="T279" s="54" t="s">
        <v>65</v>
      </c>
      <c r="U279" s="26"/>
      <c r="V279" s="26"/>
      <c r="W279" s="26"/>
      <c r="X279" s="26"/>
      <c r="Y279" s="26"/>
      <c r="Z279" s="26"/>
      <c r="AA279" s="26"/>
      <c r="AB279" s="26"/>
      <c r="AC279" s="26"/>
    </row>
    <row r="280" ht="33.75" customHeight="1">
      <c r="A280" s="78" t="s">
        <v>502</v>
      </c>
      <c r="B280" s="79" t="s">
        <v>23</v>
      </c>
      <c r="C280" s="79" t="s">
        <v>496</v>
      </c>
      <c r="D280" s="56" t="s">
        <v>499</v>
      </c>
      <c r="E280" s="94" t="s">
        <v>500</v>
      </c>
      <c r="F280" s="95" t="s">
        <v>501</v>
      </c>
      <c r="G280" s="95" t="s">
        <v>168</v>
      </c>
      <c r="H280" s="97" t="s">
        <v>168</v>
      </c>
      <c r="I280" s="65"/>
      <c r="J280" s="95" t="s">
        <v>12</v>
      </c>
      <c r="K280" s="121" t="s">
        <v>12</v>
      </c>
      <c r="L280" s="128">
        <v>0.25</v>
      </c>
      <c r="M280" s="129">
        <f t="shared" si="249"/>
        <v>0.375</v>
      </c>
      <c r="N280" s="128">
        <v>0.5</v>
      </c>
      <c r="O280" s="130">
        <f t="shared" ref="O280:O282" si="257">IF(COUNT(L280:N280)=0,"",(L280+4*M280+N280)/6)</f>
        <v>0.375</v>
      </c>
      <c r="P280" s="159"/>
      <c r="Q280" s="131">
        <f t="shared" si="256"/>
        <v>0.375</v>
      </c>
      <c r="R280" s="132"/>
      <c r="S280" s="132"/>
      <c r="T280" s="65" t="s">
        <v>31</v>
      </c>
      <c r="U280" s="26"/>
      <c r="V280" s="26"/>
      <c r="W280" s="26"/>
      <c r="X280" s="26"/>
      <c r="Y280" s="26"/>
      <c r="Z280" s="26"/>
      <c r="AA280" s="26"/>
      <c r="AB280" s="26"/>
      <c r="AC280" s="26"/>
    </row>
    <row r="281" ht="33.75" customHeight="1">
      <c r="A281" s="78" t="s">
        <v>503</v>
      </c>
      <c r="B281" s="79" t="s">
        <v>23</v>
      </c>
      <c r="C281" s="79" t="s">
        <v>496</v>
      </c>
      <c r="D281" s="56" t="s">
        <v>499</v>
      </c>
      <c r="E281" s="94" t="s">
        <v>500</v>
      </c>
      <c r="F281" s="95" t="s">
        <v>501</v>
      </c>
      <c r="G281" s="95" t="s">
        <v>168</v>
      </c>
      <c r="H281" s="65" t="s">
        <v>168</v>
      </c>
      <c r="I281" s="65"/>
      <c r="J281" s="95" t="s">
        <v>12</v>
      </c>
      <c r="K281" s="121" t="s">
        <v>12</v>
      </c>
      <c r="L281" s="128">
        <v>0.25</v>
      </c>
      <c r="M281" s="129">
        <f t="shared" si="249"/>
        <v>0.375</v>
      </c>
      <c r="N281" s="128">
        <v>0.5</v>
      </c>
      <c r="O281" s="130">
        <f t="shared" si="257"/>
        <v>0.375</v>
      </c>
      <c r="P281" s="159"/>
      <c r="Q281" s="131">
        <f t="shared" si="256"/>
        <v>0.375</v>
      </c>
      <c r="R281" s="132"/>
      <c r="S281" s="132"/>
      <c r="T281" s="65" t="s">
        <v>32</v>
      </c>
      <c r="U281" s="26"/>
      <c r="V281" s="26"/>
      <c r="W281" s="26"/>
      <c r="X281" s="26"/>
      <c r="Y281" s="26"/>
      <c r="Z281" s="26"/>
      <c r="AA281" s="26"/>
      <c r="AB281" s="26"/>
      <c r="AC281" s="26"/>
    </row>
    <row r="282" ht="33.75" customHeight="1">
      <c r="A282" s="78" t="s">
        <v>504</v>
      </c>
      <c r="B282" s="79" t="s">
        <v>23</v>
      </c>
      <c r="C282" s="79" t="s">
        <v>496</v>
      </c>
      <c r="D282" s="56" t="s">
        <v>499</v>
      </c>
      <c r="E282" s="94" t="s">
        <v>500</v>
      </c>
      <c r="F282" s="95" t="s">
        <v>501</v>
      </c>
      <c r="G282" s="95" t="s">
        <v>168</v>
      </c>
      <c r="H282" s="97" t="s">
        <v>168</v>
      </c>
      <c r="I282" s="65"/>
      <c r="J282" s="95" t="s">
        <v>12</v>
      </c>
      <c r="K282" s="121" t="s">
        <v>12</v>
      </c>
      <c r="L282" s="128">
        <v>0.25</v>
      </c>
      <c r="M282" s="129">
        <f t="shared" si="249"/>
        <v>0.375</v>
      </c>
      <c r="N282" s="128">
        <v>0.5</v>
      </c>
      <c r="O282" s="130">
        <f t="shared" si="257"/>
        <v>0.375</v>
      </c>
      <c r="P282" s="159"/>
      <c r="Q282" s="131">
        <f t="shared" si="256"/>
        <v>0.375</v>
      </c>
      <c r="R282" s="132"/>
      <c r="S282" s="132"/>
      <c r="T282" s="65" t="s">
        <v>70</v>
      </c>
      <c r="U282" s="26"/>
      <c r="V282" s="26"/>
      <c r="W282" s="26"/>
      <c r="X282" s="26"/>
      <c r="Y282" s="26"/>
      <c r="Z282" s="26"/>
      <c r="AA282" s="26"/>
      <c r="AB282" s="26"/>
      <c r="AC282" s="26"/>
    </row>
    <row r="283" ht="33.75" customHeight="1">
      <c r="A283" s="116" t="s">
        <v>505</v>
      </c>
      <c r="B283" s="77" t="s">
        <v>23</v>
      </c>
      <c r="C283" s="77" t="s">
        <v>496</v>
      </c>
      <c r="D283" s="77" t="s">
        <v>506</v>
      </c>
      <c r="E283" s="117" t="s">
        <v>507</v>
      </c>
      <c r="F283" s="118" t="s">
        <v>498</v>
      </c>
      <c r="G283" s="118" t="s">
        <v>200</v>
      </c>
      <c r="H283" s="119" t="s">
        <v>200</v>
      </c>
      <c r="I283" s="54"/>
      <c r="J283" s="118" t="s">
        <v>12</v>
      </c>
      <c r="K283" s="120" t="s">
        <v>12</v>
      </c>
      <c r="L283" s="51">
        <f>IF(COUNT(L284:N286)=0,"",SUM(L284:L286))</f>
        <v>0.75</v>
      </c>
      <c r="M283" s="51">
        <f t="shared" si="249"/>
        <v>1.125</v>
      </c>
      <c r="N283" s="51">
        <f>IF(COUNT(L284:N286)=0,"",SUM(N284:N286))</f>
        <v>1.5</v>
      </c>
      <c r="O283" s="51">
        <f>IF(COUNT(O284:O286)=0,"",SUM(O284:O286))</f>
        <v>1.125</v>
      </c>
      <c r="P283" s="52"/>
      <c r="Q283" s="51">
        <f t="shared" si="256"/>
        <v>1.125</v>
      </c>
      <c r="R283" s="53"/>
      <c r="S283" s="53"/>
      <c r="T283" s="54" t="s">
        <v>65</v>
      </c>
      <c r="U283" s="26"/>
      <c r="V283" s="26"/>
      <c r="W283" s="26"/>
      <c r="X283" s="26"/>
      <c r="Y283" s="26"/>
      <c r="Z283" s="26"/>
      <c r="AA283" s="26"/>
      <c r="AB283" s="26"/>
      <c r="AC283" s="26"/>
    </row>
    <row r="284" ht="33.75" customHeight="1">
      <c r="A284" s="78" t="s">
        <v>508</v>
      </c>
      <c r="B284" s="79" t="s">
        <v>23</v>
      </c>
      <c r="C284" s="79" t="s">
        <v>496</v>
      </c>
      <c r="D284" s="56" t="s">
        <v>506</v>
      </c>
      <c r="E284" s="94" t="s">
        <v>507</v>
      </c>
      <c r="F284" s="95" t="s">
        <v>498</v>
      </c>
      <c r="G284" s="95" t="s">
        <v>200</v>
      </c>
      <c r="H284" s="97" t="s">
        <v>200</v>
      </c>
      <c r="I284" s="65"/>
      <c r="J284" s="95" t="s">
        <v>12</v>
      </c>
      <c r="K284" s="121" t="s">
        <v>12</v>
      </c>
      <c r="L284" s="128">
        <v>0.25</v>
      </c>
      <c r="M284" s="129">
        <f t="shared" si="249"/>
        <v>0.375</v>
      </c>
      <c r="N284" s="128">
        <v>0.5</v>
      </c>
      <c r="O284" s="130">
        <f t="shared" ref="O284:O286" si="258">IF(COUNT(L284:N284)=0,"",(L284+4*M284+N284)/6)</f>
        <v>0.375</v>
      </c>
      <c r="P284" s="159"/>
      <c r="Q284" s="131">
        <f t="shared" si="256"/>
        <v>0.375</v>
      </c>
      <c r="R284" s="132"/>
      <c r="S284" s="132"/>
      <c r="T284" s="65" t="s">
        <v>31</v>
      </c>
      <c r="U284" s="26"/>
      <c r="V284" s="26"/>
      <c r="W284" s="26"/>
      <c r="X284" s="26"/>
      <c r="Y284" s="26"/>
      <c r="Z284" s="26"/>
      <c r="AA284" s="26"/>
      <c r="AB284" s="26"/>
      <c r="AC284" s="26"/>
    </row>
    <row r="285" ht="33.75" customHeight="1">
      <c r="A285" s="78" t="s">
        <v>509</v>
      </c>
      <c r="B285" s="79" t="s">
        <v>23</v>
      </c>
      <c r="C285" s="79" t="s">
        <v>496</v>
      </c>
      <c r="D285" s="56" t="s">
        <v>506</v>
      </c>
      <c r="E285" s="94" t="s">
        <v>507</v>
      </c>
      <c r="F285" s="95" t="s">
        <v>498</v>
      </c>
      <c r="G285" s="95" t="s">
        <v>200</v>
      </c>
      <c r="H285" s="65" t="s">
        <v>200</v>
      </c>
      <c r="I285" s="65"/>
      <c r="J285" s="95" t="s">
        <v>12</v>
      </c>
      <c r="K285" s="121" t="s">
        <v>12</v>
      </c>
      <c r="L285" s="128">
        <v>0.25</v>
      </c>
      <c r="M285" s="129">
        <f t="shared" si="249"/>
        <v>0.375</v>
      </c>
      <c r="N285" s="128">
        <v>0.5</v>
      </c>
      <c r="O285" s="130">
        <f t="shared" si="258"/>
        <v>0.375</v>
      </c>
      <c r="P285" s="159"/>
      <c r="Q285" s="131">
        <f t="shared" si="256"/>
        <v>0.375</v>
      </c>
      <c r="R285" s="132"/>
      <c r="S285" s="132"/>
      <c r="T285" s="65" t="s">
        <v>32</v>
      </c>
      <c r="U285" s="26"/>
      <c r="V285" s="26"/>
      <c r="W285" s="26"/>
      <c r="X285" s="26"/>
      <c r="Y285" s="26"/>
      <c r="Z285" s="26"/>
      <c r="AA285" s="26"/>
      <c r="AB285" s="26"/>
      <c r="AC285" s="26"/>
    </row>
    <row r="286" ht="33.75" customHeight="1">
      <c r="A286" s="78" t="s">
        <v>510</v>
      </c>
      <c r="B286" s="79" t="s">
        <v>23</v>
      </c>
      <c r="C286" s="79" t="s">
        <v>496</v>
      </c>
      <c r="D286" s="56" t="s">
        <v>506</v>
      </c>
      <c r="E286" s="94" t="s">
        <v>507</v>
      </c>
      <c r="F286" s="95" t="s">
        <v>498</v>
      </c>
      <c r="G286" s="95" t="s">
        <v>200</v>
      </c>
      <c r="H286" s="97" t="s">
        <v>200</v>
      </c>
      <c r="I286" s="65"/>
      <c r="J286" s="95" t="s">
        <v>12</v>
      </c>
      <c r="K286" s="121" t="s">
        <v>12</v>
      </c>
      <c r="L286" s="128">
        <v>0.25</v>
      </c>
      <c r="M286" s="129">
        <f t="shared" si="249"/>
        <v>0.375</v>
      </c>
      <c r="N286" s="128">
        <v>0.5</v>
      </c>
      <c r="O286" s="130">
        <f t="shared" si="258"/>
        <v>0.375</v>
      </c>
      <c r="P286" s="159"/>
      <c r="Q286" s="131">
        <f t="shared" si="256"/>
        <v>0.375</v>
      </c>
      <c r="R286" s="132"/>
      <c r="S286" s="132"/>
      <c r="T286" s="65" t="s">
        <v>70</v>
      </c>
      <c r="U286" s="26"/>
      <c r="V286" s="26"/>
      <c r="W286" s="26"/>
      <c r="X286" s="26"/>
      <c r="Y286" s="26"/>
      <c r="Z286" s="26"/>
      <c r="AA286" s="26"/>
      <c r="AB286" s="26"/>
      <c r="AC286" s="26"/>
    </row>
    <row r="287" ht="33.75" customHeight="1">
      <c r="A287" s="116" t="s">
        <v>511</v>
      </c>
      <c r="B287" s="77" t="s">
        <v>23</v>
      </c>
      <c r="C287" s="77" t="s">
        <v>496</v>
      </c>
      <c r="D287" s="77" t="s">
        <v>512</v>
      </c>
      <c r="E287" s="117" t="s">
        <v>507</v>
      </c>
      <c r="F287" s="118" t="s">
        <v>505</v>
      </c>
      <c r="G287" s="118" t="s">
        <v>168</v>
      </c>
      <c r="H287" s="119" t="s">
        <v>168</v>
      </c>
      <c r="I287" s="54"/>
      <c r="J287" s="118" t="s">
        <v>12</v>
      </c>
      <c r="K287" s="120" t="s">
        <v>12</v>
      </c>
      <c r="L287" s="51">
        <f>IF(COUNT(L288:N290)=0,"",SUM(L288:L290))</f>
        <v>0.75</v>
      </c>
      <c r="M287" s="51">
        <f t="shared" si="249"/>
        <v>1.125</v>
      </c>
      <c r="N287" s="51">
        <f>IF(COUNT(L288:N290)=0,"",SUM(N288:N290))</f>
        <v>1.5</v>
      </c>
      <c r="O287" s="51">
        <f>IF(COUNT(O288:O290)=0,"",SUM(O288:O290))</f>
        <v>1.125</v>
      </c>
      <c r="P287" s="52"/>
      <c r="Q287" s="51">
        <f t="shared" si="256"/>
        <v>1.125</v>
      </c>
      <c r="R287" s="53"/>
      <c r="S287" s="53"/>
      <c r="T287" s="54" t="s">
        <v>65</v>
      </c>
      <c r="U287" s="26"/>
      <c r="V287" s="26"/>
      <c r="W287" s="26"/>
      <c r="X287" s="26"/>
      <c r="Y287" s="26"/>
      <c r="Z287" s="26"/>
      <c r="AA287" s="26"/>
      <c r="AB287" s="26"/>
      <c r="AC287" s="26"/>
    </row>
    <row r="288" ht="33.75" customHeight="1">
      <c r="A288" s="78" t="s">
        <v>513</v>
      </c>
      <c r="B288" s="79" t="s">
        <v>23</v>
      </c>
      <c r="C288" s="79" t="s">
        <v>496</v>
      </c>
      <c r="D288" s="56" t="s">
        <v>512</v>
      </c>
      <c r="E288" s="94" t="s">
        <v>507</v>
      </c>
      <c r="F288" s="95" t="s">
        <v>505</v>
      </c>
      <c r="G288" s="95" t="s">
        <v>168</v>
      </c>
      <c r="H288" s="97" t="s">
        <v>168</v>
      </c>
      <c r="I288" s="65"/>
      <c r="J288" s="95" t="s">
        <v>12</v>
      </c>
      <c r="K288" s="121" t="s">
        <v>12</v>
      </c>
      <c r="L288" s="180">
        <v>0.25</v>
      </c>
      <c r="M288" s="180">
        <f t="shared" ref="M288:M290" si="259">(N288+L288)/2</f>
        <v>0.375</v>
      </c>
      <c r="N288" s="180">
        <v>0.5</v>
      </c>
      <c r="O288" s="130">
        <f t="shared" ref="O288:O290" si="260">IF(COUNT(L288:N288)=0,"",(L288+4*M288+N288)/6)</f>
        <v>0.375</v>
      </c>
      <c r="P288" s="159"/>
      <c r="Q288" s="131">
        <f t="shared" si="256"/>
        <v>0.375</v>
      </c>
      <c r="R288" s="132"/>
      <c r="S288" s="132"/>
      <c r="T288" s="65" t="s">
        <v>31</v>
      </c>
      <c r="U288" s="26"/>
      <c r="V288" s="26"/>
      <c r="W288" s="26"/>
      <c r="X288" s="26"/>
      <c r="Y288" s="26"/>
      <c r="Z288" s="26"/>
      <c r="AA288" s="26"/>
      <c r="AB288" s="26"/>
      <c r="AC288" s="26"/>
    </row>
    <row r="289" ht="33.75" customHeight="1">
      <c r="A289" s="78" t="s">
        <v>514</v>
      </c>
      <c r="B289" s="79" t="s">
        <v>23</v>
      </c>
      <c r="C289" s="79" t="s">
        <v>496</v>
      </c>
      <c r="D289" s="56" t="s">
        <v>512</v>
      </c>
      <c r="E289" s="94" t="s">
        <v>507</v>
      </c>
      <c r="F289" s="95" t="s">
        <v>505</v>
      </c>
      <c r="G289" s="95" t="s">
        <v>168</v>
      </c>
      <c r="H289" s="65" t="s">
        <v>168</v>
      </c>
      <c r="I289" s="65"/>
      <c r="J289" s="95" t="s">
        <v>12</v>
      </c>
      <c r="K289" s="121" t="s">
        <v>12</v>
      </c>
      <c r="L289" s="180">
        <v>0.25</v>
      </c>
      <c r="M289" s="180">
        <f t="shared" si="259"/>
        <v>0.375</v>
      </c>
      <c r="N289" s="180">
        <v>0.5</v>
      </c>
      <c r="O289" s="130">
        <f t="shared" si="260"/>
        <v>0.375</v>
      </c>
      <c r="P289" s="159"/>
      <c r="Q289" s="131">
        <f t="shared" si="256"/>
        <v>0.375</v>
      </c>
      <c r="R289" s="132"/>
      <c r="S289" s="132"/>
      <c r="T289" s="65" t="s">
        <v>32</v>
      </c>
      <c r="U289" s="26"/>
      <c r="V289" s="26"/>
      <c r="W289" s="26"/>
      <c r="X289" s="26"/>
      <c r="Y289" s="26"/>
      <c r="Z289" s="26"/>
      <c r="AA289" s="26"/>
      <c r="AB289" s="26"/>
      <c r="AC289" s="26"/>
    </row>
    <row r="290" ht="33.75" customHeight="1">
      <c r="A290" s="78" t="s">
        <v>515</v>
      </c>
      <c r="B290" s="79" t="s">
        <v>23</v>
      </c>
      <c r="C290" s="79" t="s">
        <v>496</v>
      </c>
      <c r="D290" s="56" t="s">
        <v>512</v>
      </c>
      <c r="E290" s="94" t="s">
        <v>507</v>
      </c>
      <c r="F290" s="95" t="s">
        <v>505</v>
      </c>
      <c r="G290" s="95" t="s">
        <v>168</v>
      </c>
      <c r="H290" s="97" t="s">
        <v>168</v>
      </c>
      <c r="I290" s="65"/>
      <c r="J290" s="95" t="s">
        <v>12</v>
      </c>
      <c r="K290" s="121" t="s">
        <v>12</v>
      </c>
      <c r="L290" s="180">
        <v>0.25</v>
      </c>
      <c r="M290" s="180">
        <f t="shared" si="259"/>
        <v>0.375</v>
      </c>
      <c r="N290" s="180">
        <v>0.5</v>
      </c>
      <c r="O290" s="130">
        <f t="shared" si="260"/>
        <v>0.375</v>
      </c>
      <c r="P290" s="159"/>
      <c r="Q290" s="131">
        <f t="shared" si="256"/>
        <v>0.375</v>
      </c>
      <c r="R290" s="132"/>
      <c r="S290" s="132"/>
      <c r="T290" s="65" t="s">
        <v>70</v>
      </c>
      <c r="U290" s="26"/>
      <c r="V290" s="26"/>
      <c r="W290" s="26"/>
      <c r="X290" s="26"/>
      <c r="Y290" s="26"/>
      <c r="Z290" s="26"/>
      <c r="AA290" s="26"/>
      <c r="AB290" s="26"/>
      <c r="AC290" s="26"/>
    </row>
    <row r="291" ht="33.75" customHeight="1">
      <c r="A291" s="116" t="s">
        <v>516</v>
      </c>
      <c r="B291" s="77" t="s">
        <v>23</v>
      </c>
      <c r="C291" s="77" t="s">
        <v>496</v>
      </c>
      <c r="D291" s="77" t="s">
        <v>517</v>
      </c>
      <c r="E291" s="117" t="s">
        <v>518</v>
      </c>
      <c r="F291" s="118" t="s">
        <v>505</v>
      </c>
      <c r="G291" s="118" t="s">
        <v>168</v>
      </c>
      <c r="H291" s="119" t="s">
        <v>168</v>
      </c>
      <c r="I291" s="54"/>
      <c r="J291" s="118" t="s">
        <v>12</v>
      </c>
      <c r="K291" s="120" t="s">
        <v>12</v>
      </c>
      <c r="L291" s="51">
        <f>IF(COUNT(L292:N294)=0,"",SUM(L292:L294))</f>
        <v>0.75</v>
      </c>
      <c r="M291" s="51">
        <f>(N291+L291)/2</f>
        <v>1.125</v>
      </c>
      <c r="N291" s="51">
        <f>IF(COUNT(L292:N294)=0,"",SUM(N292:N294))</f>
        <v>1.5</v>
      </c>
      <c r="O291" s="51">
        <f>IF(COUNT(O292:O294)=0,"",SUM(O292:O294))</f>
        <v>1.125</v>
      </c>
      <c r="P291" s="52"/>
      <c r="Q291" s="51">
        <f t="shared" si="256"/>
        <v>1.125</v>
      </c>
      <c r="R291" s="53"/>
      <c r="S291" s="53"/>
      <c r="T291" s="54" t="s">
        <v>65</v>
      </c>
      <c r="U291" s="26"/>
      <c r="V291" s="26"/>
      <c r="W291" s="26"/>
      <c r="X291" s="26"/>
      <c r="Y291" s="26"/>
      <c r="Z291" s="26"/>
      <c r="AA291" s="26"/>
      <c r="AB291" s="26"/>
      <c r="AC291" s="26"/>
    </row>
    <row r="292" ht="33.75" customHeight="1">
      <c r="A292" s="78" t="s">
        <v>519</v>
      </c>
      <c r="B292" s="79" t="s">
        <v>23</v>
      </c>
      <c r="C292" s="79" t="s">
        <v>496</v>
      </c>
      <c r="D292" s="56" t="s">
        <v>517</v>
      </c>
      <c r="E292" s="94" t="s">
        <v>518</v>
      </c>
      <c r="F292" s="95" t="s">
        <v>505</v>
      </c>
      <c r="G292" s="95" t="s">
        <v>168</v>
      </c>
      <c r="H292" s="97" t="s">
        <v>168</v>
      </c>
      <c r="I292" s="65"/>
      <c r="J292" s="95" t="s">
        <v>12</v>
      </c>
      <c r="K292" s="121" t="s">
        <v>12</v>
      </c>
      <c r="L292" s="180">
        <v>0.25</v>
      </c>
      <c r="M292" s="180">
        <f t="shared" ref="M292:M294" si="261">(N292+L292)/2</f>
        <v>0.375</v>
      </c>
      <c r="N292" s="180">
        <v>0.5</v>
      </c>
      <c r="O292" s="130">
        <f t="shared" ref="O292:O294" si="262">IF(COUNT(L292:N292)=0,"",(L292+4*M292+N292)/6)</f>
        <v>0.375</v>
      </c>
      <c r="P292" s="159"/>
      <c r="Q292" s="131">
        <f t="shared" si="256"/>
        <v>0.375</v>
      </c>
      <c r="R292" s="132"/>
      <c r="S292" s="132"/>
      <c r="T292" s="65" t="s">
        <v>31</v>
      </c>
      <c r="U292" s="26"/>
      <c r="V292" s="26"/>
      <c r="W292" s="26"/>
      <c r="X292" s="26"/>
      <c r="Y292" s="26"/>
      <c r="Z292" s="26"/>
      <c r="AA292" s="26"/>
      <c r="AB292" s="26"/>
      <c r="AC292" s="26"/>
    </row>
    <row r="293" ht="33.75" customHeight="1">
      <c r="A293" s="78" t="s">
        <v>520</v>
      </c>
      <c r="B293" s="79" t="s">
        <v>23</v>
      </c>
      <c r="C293" s="79" t="s">
        <v>496</v>
      </c>
      <c r="D293" s="56" t="s">
        <v>517</v>
      </c>
      <c r="E293" s="94" t="s">
        <v>518</v>
      </c>
      <c r="F293" s="95" t="s">
        <v>505</v>
      </c>
      <c r="G293" s="95" t="s">
        <v>168</v>
      </c>
      <c r="H293" s="65" t="s">
        <v>168</v>
      </c>
      <c r="I293" s="65"/>
      <c r="J293" s="95" t="s">
        <v>12</v>
      </c>
      <c r="K293" s="121" t="s">
        <v>12</v>
      </c>
      <c r="L293" s="180">
        <v>0.25</v>
      </c>
      <c r="M293" s="180">
        <f t="shared" si="261"/>
        <v>0.375</v>
      </c>
      <c r="N293" s="180">
        <v>0.5</v>
      </c>
      <c r="O293" s="130">
        <f t="shared" si="262"/>
        <v>0.375</v>
      </c>
      <c r="P293" s="159"/>
      <c r="Q293" s="131">
        <f t="shared" si="256"/>
        <v>0.375</v>
      </c>
      <c r="R293" s="132"/>
      <c r="S293" s="132"/>
      <c r="T293" s="65" t="s">
        <v>32</v>
      </c>
      <c r="U293" s="26"/>
      <c r="V293" s="26"/>
      <c r="W293" s="26"/>
      <c r="X293" s="26"/>
      <c r="Y293" s="26"/>
      <c r="Z293" s="26"/>
      <c r="AA293" s="26"/>
      <c r="AB293" s="26"/>
      <c r="AC293" s="26"/>
    </row>
    <row r="294" ht="33.75" customHeight="1">
      <c r="A294" s="78" t="s">
        <v>521</v>
      </c>
      <c r="B294" s="79" t="s">
        <v>23</v>
      </c>
      <c r="C294" s="79" t="s">
        <v>496</v>
      </c>
      <c r="D294" s="56" t="s">
        <v>517</v>
      </c>
      <c r="E294" s="94" t="s">
        <v>518</v>
      </c>
      <c r="F294" s="95" t="s">
        <v>505</v>
      </c>
      <c r="G294" s="95" t="s">
        <v>168</v>
      </c>
      <c r="H294" s="97" t="s">
        <v>168</v>
      </c>
      <c r="I294" s="65"/>
      <c r="J294" s="95" t="s">
        <v>12</v>
      </c>
      <c r="K294" s="121" t="s">
        <v>12</v>
      </c>
      <c r="L294" s="180">
        <v>0.25</v>
      </c>
      <c r="M294" s="180">
        <f t="shared" si="261"/>
        <v>0.375</v>
      </c>
      <c r="N294" s="180">
        <v>0.5</v>
      </c>
      <c r="O294" s="130">
        <f t="shared" si="262"/>
        <v>0.375</v>
      </c>
      <c r="P294" s="159"/>
      <c r="Q294" s="131">
        <f t="shared" si="256"/>
        <v>0.375</v>
      </c>
      <c r="R294" s="132"/>
      <c r="S294" s="132"/>
      <c r="T294" s="65" t="s">
        <v>70</v>
      </c>
      <c r="U294" s="26"/>
      <c r="V294" s="26"/>
      <c r="W294" s="26"/>
      <c r="X294" s="26"/>
      <c r="Y294" s="26"/>
      <c r="Z294" s="26"/>
      <c r="AA294" s="26"/>
      <c r="AB294" s="26"/>
      <c r="AC294" s="26"/>
    </row>
    <row r="295" ht="33.75" customHeight="1">
      <c r="A295" s="116" t="s">
        <v>522</v>
      </c>
      <c r="B295" s="77" t="s">
        <v>23</v>
      </c>
      <c r="C295" s="77" t="s">
        <v>496</v>
      </c>
      <c r="D295" s="77" t="s">
        <v>523</v>
      </c>
      <c r="E295" s="117" t="s">
        <v>524</v>
      </c>
      <c r="F295" s="118" t="s">
        <v>505</v>
      </c>
      <c r="G295" s="118" t="s">
        <v>200</v>
      </c>
      <c r="H295" s="119" t="s">
        <v>200</v>
      </c>
      <c r="I295" s="54"/>
      <c r="J295" s="118" t="s">
        <v>14</v>
      </c>
      <c r="K295" s="120" t="s">
        <v>14</v>
      </c>
      <c r="L295" s="51">
        <f>IF(COUNT(L296:N298)=0,"",SUM(L296:L298))</f>
        <v>0.75</v>
      </c>
      <c r="M295" s="51">
        <f>(N295+L295)/2</f>
        <v>1.125</v>
      </c>
      <c r="N295" s="51">
        <f>IF(COUNT(L296:N298)=0,"",SUM(N296:N298))</f>
        <v>1.5</v>
      </c>
      <c r="O295" s="51">
        <f>IF(COUNT(O296:O298)=0,"",SUM(O296:O298))</f>
        <v>1.125</v>
      </c>
      <c r="P295" s="52"/>
      <c r="Q295" s="51">
        <f t="shared" si="256"/>
        <v>1.125</v>
      </c>
      <c r="R295" s="53"/>
      <c r="S295" s="53"/>
      <c r="T295" s="54" t="s">
        <v>65</v>
      </c>
      <c r="U295" s="26"/>
      <c r="V295" s="26"/>
      <c r="W295" s="26"/>
      <c r="X295" s="26"/>
      <c r="Y295" s="26"/>
      <c r="Z295" s="26"/>
      <c r="AA295" s="26"/>
      <c r="AB295" s="26"/>
      <c r="AC295" s="26"/>
    </row>
    <row r="296" ht="33.75" customHeight="1">
      <c r="A296" s="78" t="s">
        <v>525</v>
      </c>
      <c r="B296" s="79" t="s">
        <v>23</v>
      </c>
      <c r="C296" s="79" t="s">
        <v>496</v>
      </c>
      <c r="D296" s="56" t="s">
        <v>523</v>
      </c>
      <c r="E296" s="94" t="s">
        <v>524</v>
      </c>
      <c r="F296" s="95" t="s">
        <v>505</v>
      </c>
      <c r="G296" s="95" t="s">
        <v>200</v>
      </c>
      <c r="H296" s="97" t="s">
        <v>200</v>
      </c>
      <c r="I296" s="65"/>
      <c r="J296" s="95" t="s">
        <v>14</v>
      </c>
      <c r="K296" s="121" t="s">
        <v>14</v>
      </c>
      <c r="L296" s="180">
        <v>0.25</v>
      </c>
      <c r="M296" s="180">
        <f t="shared" ref="M296:M298" si="263">(N296+L296)/2</f>
        <v>0.375</v>
      </c>
      <c r="N296" s="180">
        <v>0.5</v>
      </c>
      <c r="O296" s="130">
        <f t="shared" ref="O296:O298" si="264">IF(COUNT(L296:N296)=0,"",(L296+4*M296+N296)/6)</f>
        <v>0.375</v>
      </c>
      <c r="P296" s="159"/>
      <c r="Q296" s="131">
        <f t="shared" si="256"/>
        <v>0.375</v>
      </c>
      <c r="R296" s="132"/>
      <c r="S296" s="132"/>
      <c r="T296" s="65" t="s">
        <v>31</v>
      </c>
      <c r="U296" s="26"/>
      <c r="V296" s="26"/>
      <c r="W296" s="26"/>
      <c r="X296" s="26"/>
      <c r="Y296" s="26"/>
      <c r="Z296" s="26"/>
      <c r="AA296" s="26"/>
      <c r="AB296" s="26"/>
      <c r="AC296" s="26"/>
    </row>
    <row r="297" ht="33.75" customHeight="1">
      <c r="A297" s="78" t="s">
        <v>526</v>
      </c>
      <c r="B297" s="79" t="s">
        <v>23</v>
      </c>
      <c r="C297" s="79" t="s">
        <v>496</v>
      </c>
      <c r="D297" s="56" t="s">
        <v>523</v>
      </c>
      <c r="E297" s="94" t="s">
        <v>524</v>
      </c>
      <c r="F297" s="95" t="s">
        <v>505</v>
      </c>
      <c r="G297" s="95" t="s">
        <v>200</v>
      </c>
      <c r="H297" s="65" t="s">
        <v>200</v>
      </c>
      <c r="I297" s="65"/>
      <c r="J297" s="95" t="s">
        <v>14</v>
      </c>
      <c r="K297" s="121" t="s">
        <v>14</v>
      </c>
      <c r="L297" s="180">
        <v>0.25</v>
      </c>
      <c r="M297" s="180">
        <f t="shared" si="263"/>
        <v>0.375</v>
      </c>
      <c r="N297" s="180">
        <v>0.5</v>
      </c>
      <c r="O297" s="130">
        <f t="shared" si="264"/>
        <v>0.375</v>
      </c>
      <c r="P297" s="159"/>
      <c r="Q297" s="131">
        <f t="shared" si="256"/>
        <v>0.375</v>
      </c>
      <c r="R297" s="132"/>
      <c r="S297" s="132"/>
      <c r="T297" s="65" t="s">
        <v>32</v>
      </c>
      <c r="U297" s="26"/>
      <c r="V297" s="26"/>
      <c r="W297" s="26"/>
      <c r="X297" s="26"/>
      <c r="Y297" s="26"/>
      <c r="Z297" s="26"/>
      <c r="AA297" s="26"/>
      <c r="AB297" s="26"/>
      <c r="AC297" s="26"/>
    </row>
    <row r="298" ht="33.75" customHeight="1">
      <c r="A298" s="78" t="s">
        <v>527</v>
      </c>
      <c r="B298" s="79" t="s">
        <v>23</v>
      </c>
      <c r="C298" s="79" t="s">
        <v>496</v>
      </c>
      <c r="D298" s="56" t="s">
        <v>523</v>
      </c>
      <c r="E298" s="94" t="s">
        <v>524</v>
      </c>
      <c r="F298" s="95" t="s">
        <v>505</v>
      </c>
      <c r="G298" s="95" t="s">
        <v>200</v>
      </c>
      <c r="H298" s="97" t="s">
        <v>200</v>
      </c>
      <c r="I298" s="65"/>
      <c r="J298" s="95" t="s">
        <v>14</v>
      </c>
      <c r="K298" s="121" t="s">
        <v>14</v>
      </c>
      <c r="L298" s="180">
        <v>0.25</v>
      </c>
      <c r="M298" s="180">
        <f t="shared" si="263"/>
        <v>0.375</v>
      </c>
      <c r="N298" s="180">
        <v>0.5</v>
      </c>
      <c r="O298" s="130">
        <f t="shared" si="264"/>
        <v>0.375</v>
      </c>
      <c r="P298" s="159"/>
      <c r="Q298" s="131">
        <f t="shared" si="256"/>
        <v>0.375</v>
      </c>
      <c r="R298" s="132"/>
      <c r="S298" s="132"/>
      <c r="T298" s="65" t="s">
        <v>70</v>
      </c>
      <c r="U298" s="26"/>
      <c r="V298" s="26"/>
      <c r="W298" s="26"/>
      <c r="X298" s="26"/>
      <c r="Y298" s="26"/>
      <c r="Z298" s="26"/>
      <c r="AA298" s="26"/>
      <c r="AB298" s="26"/>
      <c r="AC298" s="26"/>
    </row>
    <row r="299" ht="33.75" customHeight="1">
      <c r="A299" s="181" t="s">
        <v>528</v>
      </c>
      <c r="B299" s="182" t="s">
        <v>23</v>
      </c>
      <c r="C299" s="182" t="s">
        <v>529</v>
      </c>
      <c r="D299" s="182" t="s">
        <v>529</v>
      </c>
      <c r="E299" s="183" t="s">
        <v>530</v>
      </c>
      <c r="F299" s="184"/>
      <c r="G299" s="184"/>
      <c r="H299" s="185"/>
      <c r="I299" s="186"/>
      <c r="J299" s="184"/>
      <c r="K299" s="187"/>
      <c r="L299" s="188">
        <f>IF(COUNT(L300,L304,L308)=0,"",SUM(L300,L304,L308))</f>
        <v>0</v>
      </c>
      <c r="M299" s="189">
        <f t="shared" ref="M299:M337" si="266">(N299+L299)/2</f>
        <v>0</v>
      </c>
      <c r="N299" s="188">
        <f t="shared" ref="N299:O299" si="265">IF(COUNT(N300,N304,N308)=0,"",SUM(N300,N304,N308))</f>
        <v>0</v>
      </c>
      <c r="O299" s="188">
        <f t="shared" si="265"/>
        <v>0</v>
      </c>
      <c r="P299" s="190"/>
      <c r="Q299" s="188">
        <f t="shared" si="256"/>
        <v>0</v>
      </c>
      <c r="R299" s="191"/>
      <c r="S299" s="191"/>
      <c r="T299" s="186" t="s">
        <v>62</v>
      </c>
      <c r="U299" s="26"/>
      <c r="V299" s="26"/>
      <c r="W299" s="26"/>
      <c r="X299" s="26"/>
      <c r="Y299" s="26"/>
      <c r="Z299" s="26"/>
      <c r="AA299" s="26"/>
      <c r="AB299" s="26"/>
      <c r="AC299" s="26"/>
    </row>
    <row r="300" ht="33.75" customHeight="1">
      <c r="A300" s="134" t="s">
        <v>531</v>
      </c>
      <c r="B300" s="135" t="s">
        <v>23</v>
      </c>
      <c r="C300" s="135" t="s">
        <v>529</v>
      </c>
      <c r="D300" s="135" t="s">
        <v>532</v>
      </c>
      <c r="E300" s="136" t="s">
        <v>533</v>
      </c>
      <c r="F300" s="137" t="s">
        <v>505</v>
      </c>
      <c r="G300" s="137" t="s">
        <v>534</v>
      </c>
      <c r="H300" s="100" t="s">
        <v>534</v>
      </c>
      <c r="I300" s="100"/>
      <c r="J300" s="137" t="s">
        <v>14</v>
      </c>
      <c r="K300" s="138" t="s">
        <v>14</v>
      </c>
      <c r="L300" s="192">
        <f>IF(COUNT(L301:N303)=0,"",SUM(L301:L303))</f>
        <v>0</v>
      </c>
      <c r="M300" s="192">
        <f t="shared" si="266"/>
        <v>0</v>
      </c>
      <c r="N300" s="192">
        <f>IF(COUNT(L301:N303)=0,"",SUM(N301:N303))</f>
        <v>0</v>
      </c>
      <c r="O300" s="192">
        <f>IF(COUNT(O301:O303)=0,"",SUM(O301:O303))</f>
        <v>0</v>
      </c>
      <c r="P300" s="193"/>
      <c r="Q300" s="194">
        <f t="shared" si="256"/>
        <v>0</v>
      </c>
      <c r="R300" s="104"/>
      <c r="S300" s="104"/>
      <c r="T300" s="100" t="s">
        <v>65</v>
      </c>
      <c r="U300" s="26"/>
      <c r="V300" s="26"/>
      <c r="W300" s="26"/>
      <c r="X300" s="26"/>
      <c r="Y300" s="26"/>
      <c r="Z300" s="26"/>
      <c r="AA300" s="26"/>
      <c r="AB300" s="26"/>
      <c r="AC300" s="26"/>
    </row>
    <row r="301" ht="33.75" customHeight="1">
      <c r="A301" s="142" t="s">
        <v>535</v>
      </c>
      <c r="B301" s="143" t="s">
        <v>23</v>
      </c>
      <c r="C301" s="143" t="s">
        <v>529</v>
      </c>
      <c r="D301" s="143" t="s">
        <v>532</v>
      </c>
      <c r="E301" s="144" t="s">
        <v>533</v>
      </c>
      <c r="F301" s="145" t="s">
        <v>505</v>
      </c>
      <c r="G301" s="145" t="s">
        <v>534</v>
      </c>
      <c r="H301" s="106" t="s">
        <v>534</v>
      </c>
      <c r="I301" s="106"/>
      <c r="J301" s="145" t="s">
        <v>14</v>
      </c>
      <c r="K301" s="146" t="s">
        <v>14</v>
      </c>
      <c r="L301" s="109"/>
      <c r="M301" s="109">
        <f t="shared" si="266"/>
        <v>0</v>
      </c>
      <c r="N301" s="109"/>
      <c r="O301" s="147">
        <f t="shared" ref="O301:O303" si="267">IF(COUNT(L301:N301)=0,"",(L301+4*M301+N301)/6)</f>
        <v>0</v>
      </c>
      <c r="P301" s="110"/>
      <c r="Q301" s="148">
        <f t="shared" si="256"/>
        <v>0</v>
      </c>
      <c r="R301" s="111"/>
      <c r="S301" s="111"/>
      <c r="T301" s="106" t="s">
        <v>31</v>
      </c>
      <c r="U301" s="26"/>
      <c r="V301" s="26"/>
      <c r="W301" s="26"/>
      <c r="X301" s="26"/>
      <c r="Y301" s="26"/>
      <c r="Z301" s="26"/>
      <c r="AA301" s="26"/>
      <c r="AB301" s="26"/>
      <c r="AC301" s="26"/>
    </row>
    <row r="302" ht="33.75" customHeight="1">
      <c r="A302" s="142" t="s">
        <v>536</v>
      </c>
      <c r="B302" s="143" t="s">
        <v>23</v>
      </c>
      <c r="C302" s="143" t="s">
        <v>529</v>
      </c>
      <c r="D302" s="143" t="s">
        <v>532</v>
      </c>
      <c r="E302" s="144" t="s">
        <v>533</v>
      </c>
      <c r="F302" s="145" t="s">
        <v>505</v>
      </c>
      <c r="G302" s="145" t="s">
        <v>534</v>
      </c>
      <c r="H302" s="108" t="s">
        <v>534</v>
      </c>
      <c r="I302" s="108"/>
      <c r="J302" s="145" t="s">
        <v>14</v>
      </c>
      <c r="K302" s="146" t="s">
        <v>14</v>
      </c>
      <c r="L302" s="149"/>
      <c r="M302" s="109">
        <f t="shared" si="266"/>
        <v>0</v>
      </c>
      <c r="N302" s="149"/>
      <c r="O302" s="147">
        <f t="shared" si="267"/>
        <v>0</v>
      </c>
      <c r="P302" s="110"/>
      <c r="Q302" s="148">
        <f t="shared" si="256"/>
        <v>0</v>
      </c>
      <c r="R302" s="150"/>
      <c r="S302" s="150"/>
      <c r="T302" s="108" t="s">
        <v>32</v>
      </c>
      <c r="U302" s="26"/>
      <c r="V302" s="26"/>
      <c r="W302" s="26"/>
      <c r="X302" s="26"/>
      <c r="Y302" s="26"/>
      <c r="Z302" s="26"/>
      <c r="AA302" s="26"/>
      <c r="AB302" s="26"/>
      <c r="AC302" s="26"/>
    </row>
    <row r="303" ht="33.75" customHeight="1">
      <c r="A303" s="142" t="s">
        <v>537</v>
      </c>
      <c r="B303" s="143" t="s">
        <v>23</v>
      </c>
      <c r="C303" s="143" t="s">
        <v>529</v>
      </c>
      <c r="D303" s="143" t="s">
        <v>532</v>
      </c>
      <c r="E303" s="144" t="s">
        <v>533</v>
      </c>
      <c r="F303" s="145" t="s">
        <v>505</v>
      </c>
      <c r="G303" s="145" t="s">
        <v>534</v>
      </c>
      <c r="H303" s="108" t="s">
        <v>534</v>
      </c>
      <c r="I303" s="108"/>
      <c r="J303" s="145" t="s">
        <v>14</v>
      </c>
      <c r="K303" s="146" t="s">
        <v>14</v>
      </c>
      <c r="L303" s="149"/>
      <c r="M303" s="109">
        <f t="shared" si="266"/>
        <v>0</v>
      </c>
      <c r="N303" s="149"/>
      <c r="O303" s="147">
        <f t="shared" si="267"/>
        <v>0</v>
      </c>
      <c r="P303" s="110"/>
      <c r="Q303" s="148">
        <f t="shared" si="256"/>
        <v>0</v>
      </c>
      <c r="R303" s="150"/>
      <c r="S303" s="150"/>
      <c r="T303" s="108" t="s">
        <v>70</v>
      </c>
      <c r="U303" s="26"/>
      <c r="V303" s="26"/>
      <c r="W303" s="26"/>
      <c r="X303" s="26"/>
      <c r="Y303" s="26"/>
      <c r="Z303" s="26"/>
      <c r="AA303" s="26"/>
      <c r="AB303" s="26"/>
      <c r="AC303" s="26"/>
    </row>
    <row r="304" ht="33.75" customHeight="1">
      <c r="A304" s="181" t="s">
        <v>538</v>
      </c>
      <c r="B304" s="182" t="s">
        <v>23</v>
      </c>
      <c r="C304" s="182" t="s">
        <v>529</v>
      </c>
      <c r="D304" s="182" t="s">
        <v>539</v>
      </c>
      <c r="E304" s="183" t="s">
        <v>540</v>
      </c>
      <c r="F304" s="184" t="s">
        <v>531</v>
      </c>
      <c r="G304" s="184" t="s">
        <v>200</v>
      </c>
      <c r="H304" s="185" t="s">
        <v>200</v>
      </c>
      <c r="I304" s="185"/>
      <c r="J304" s="184" t="s">
        <v>14</v>
      </c>
      <c r="K304" s="187" t="s">
        <v>14</v>
      </c>
      <c r="L304" s="195">
        <f>IF(COUNT(L305:N307)=0,"",SUM(L305:L307))</f>
        <v>0</v>
      </c>
      <c r="M304" s="195">
        <f t="shared" si="266"/>
        <v>0</v>
      </c>
      <c r="N304" s="195">
        <f>IF(COUNT(L305:N307)=0,"",SUM(N305:N307))</f>
        <v>0</v>
      </c>
      <c r="O304" s="195">
        <f>IF(COUNT(O305:O307)=0,"",SUM(O305:O307))</f>
        <v>0</v>
      </c>
      <c r="P304" s="196"/>
      <c r="Q304" s="197">
        <f t="shared" si="256"/>
        <v>0</v>
      </c>
      <c r="R304" s="198"/>
      <c r="S304" s="198"/>
      <c r="T304" s="185" t="s">
        <v>65</v>
      </c>
      <c r="U304" s="26"/>
      <c r="V304" s="26"/>
      <c r="W304" s="26"/>
      <c r="X304" s="26"/>
      <c r="Y304" s="26"/>
      <c r="Z304" s="26"/>
      <c r="AA304" s="26"/>
      <c r="AB304" s="26"/>
      <c r="AC304" s="26"/>
    </row>
    <row r="305" ht="33.75" customHeight="1">
      <c r="A305" s="142" t="s">
        <v>541</v>
      </c>
      <c r="B305" s="143" t="s">
        <v>23</v>
      </c>
      <c r="C305" s="143" t="s">
        <v>529</v>
      </c>
      <c r="D305" s="143" t="s">
        <v>539</v>
      </c>
      <c r="E305" s="144" t="s">
        <v>540</v>
      </c>
      <c r="F305" s="145" t="s">
        <v>531</v>
      </c>
      <c r="G305" s="145" t="s">
        <v>200</v>
      </c>
      <c r="H305" s="106" t="s">
        <v>200</v>
      </c>
      <c r="I305" s="106"/>
      <c r="J305" s="145" t="s">
        <v>14</v>
      </c>
      <c r="K305" s="146" t="s">
        <v>14</v>
      </c>
      <c r="L305" s="109"/>
      <c r="M305" s="109">
        <f t="shared" si="266"/>
        <v>0</v>
      </c>
      <c r="N305" s="109"/>
      <c r="O305" s="147">
        <f t="shared" ref="O305:O307" si="268">IF(COUNT(L305:N305)=0,"",(L305+4*M305+N305)/6)</f>
        <v>0</v>
      </c>
      <c r="P305" s="110"/>
      <c r="Q305" s="148">
        <f t="shared" si="256"/>
        <v>0</v>
      </c>
      <c r="R305" s="111"/>
      <c r="S305" s="111"/>
      <c r="T305" s="106" t="s">
        <v>31</v>
      </c>
      <c r="U305" s="26"/>
      <c r="V305" s="26"/>
      <c r="W305" s="26"/>
      <c r="X305" s="26"/>
      <c r="Y305" s="26"/>
      <c r="Z305" s="26"/>
      <c r="AA305" s="26"/>
      <c r="AB305" s="26"/>
      <c r="AC305" s="26"/>
    </row>
    <row r="306" ht="33.75" customHeight="1">
      <c r="A306" s="142" t="s">
        <v>542</v>
      </c>
      <c r="B306" s="143" t="s">
        <v>23</v>
      </c>
      <c r="C306" s="143" t="s">
        <v>529</v>
      </c>
      <c r="D306" s="143" t="s">
        <v>539</v>
      </c>
      <c r="E306" s="144" t="s">
        <v>540</v>
      </c>
      <c r="F306" s="145" t="s">
        <v>531</v>
      </c>
      <c r="G306" s="145" t="s">
        <v>200</v>
      </c>
      <c r="H306" s="108" t="s">
        <v>200</v>
      </c>
      <c r="I306" s="108"/>
      <c r="J306" s="145" t="s">
        <v>14</v>
      </c>
      <c r="K306" s="146" t="s">
        <v>14</v>
      </c>
      <c r="L306" s="149"/>
      <c r="M306" s="109">
        <f t="shared" si="266"/>
        <v>0</v>
      </c>
      <c r="N306" s="149"/>
      <c r="O306" s="147">
        <f t="shared" si="268"/>
        <v>0</v>
      </c>
      <c r="P306" s="110"/>
      <c r="Q306" s="148">
        <f t="shared" si="256"/>
        <v>0</v>
      </c>
      <c r="R306" s="150"/>
      <c r="S306" s="150"/>
      <c r="T306" s="108" t="s">
        <v>32</v>
      </c>
      <c r="U306" s="26"/>
      <c r="V306" s="26"/>
      <c r="W306" s="26"/>
      <c r="X306" s="26"/>
      <c r="Y306" s="26"/>
      <c r="Z306" s="26"/>
      <c r="AA306" s="26"/>
      <c r="AB306" s="26"/>
      <c r="AC306" s="26"/>
    </row>
    <row r="307" ht="33.75" customHeight="1">
      <c r="A307" s="142" t="s">
        <v>543</v>
      </c>
      <c r="B307" s="143" t="s">
        <v>23</v>
      </c>
      <c r="C307" s="143" t="s">
        <v>529</v>
      </c>
      <c r="D307" s="143" t="s">
        <v>539</v>
      </c>
      <c r="E307" s="144" t="s">
        <v>540</v>
      </c>
      <c r="F307" s="145" t="s">
        <v>531</v>
      </c>
      <c r="G307" s="145" t="s">
        <v>200</v>
      </c>
      <c r="H307" s="108" t="s">
        <v>200</v>
      </c>
      <c r="I307" s="108"/>
      <c r="J307" s="145" t="s">
        <v>14</v>
      </c>
      <c r="K307" s="146" t="s">
        <v>14</v>
      </c>
      <c r="L307" s="149"/>
      <c r="M307" s="109">
        <f t="shared" si="266"/>
        <v>0</v>
      </c>
      <c r="N307" s="149"/>
      <c r="O307" s="147">
        <f t="shared" si="268"/>
        <v>0</v>
      </c>
      <c r="P307" s="110"/>
      <c r="Q307" s="148">
        <f t="shared" si="256"/>
        <v>0</v>
      </c>
      <c r="R307" s="150"/>
      <c r="S307" s="150"/>
      <c r="T307" s="108" t="s">
        <v>70</v>
      </c>
      <c r="U307" s="26"/>
      <c r="V307" s="26"/>
      <c r="W307" s="26"/>
      <c r="X307" s="26"/>
      <c r="Y307" s="26"/>
      <c r="Z307" s="26"/>
      <c r="AA307" s="26"/>
      <c r="AB307" s="26"/>
      <c r="AC307" s="26"/>
    </row>
    <row r="308" ht="33.75" customHeight="1">
      <c r="A308" s="181" t="s">
        <v>544</v>
      </c>
      <c r="B308" s="182" t="s">
        <v>23</v>
      </c>
      <c r="C308" s="182" t="s">
        <v>529</v>
      </c>
      <c r="D308" s="182" t="s">
        <v>545</v>
      </c>
      <c r="E308" s="183" t="s">
        <v>546</v>
      </c>
      <c r="F308" s="184" t="s">
        <v>547</v>
      </c>
      <c r="G308" s="184" t="s">
        <v>200</v>
      </c>
      <c r="H308" s="185" t="s">
        <v>200</v>
      </c>
      <c r="I308" s="185"/>
      <c r="J308" s="184" t="s">
        <v>14</v>
      </c>
      <c r="K308" s="187" t="s">
        <v>14</v>
      </c>
      <c r="L308" s="195">
        <f>IF(COUNT(L309:N311)=0,"",SUM(L309:L311))</f>
        <v>0</v>
      </c>
      <c r="M308" s="195">
        <f t="shared" si="266"/>
        <v>0</v>
      </c>
      <c r="N308" s="195">
        <f>IF(COUNT(L309:N311)=0,"",SUM(N309:N311))</f>
        <v>0</v>
      </c>
      <c r="O308" s="195">
        <f>IF(COUNT(O309:O311)=0,"",SUM(O309:O311))</f>
        <v>0</v>
      </c>
      <c r="P308" s="196"/>
      <c r="Q308" s="197">
        <f t="shared" si="256"/>
        <v>0</v>
      </c>
      <c r="R308" s="198"/>
      <c r="S308" s="198"/>
      <c r="T308" s="185" t="s">
        <v>65</v>
      </c>
      <c r="U308" s="26"/>
      <c r="V308" s="26"/>
      <c r="W308" s="26"/>
      <c r="X308" s="26"/>
      <c r="Y308" s="26"/>
      <c r="Z308" s="26"/>
      <c r="AA308" s="26"/>
      <c r="AB308" s="26"/>
      <c r="AC308" s="26"/>
    </row>
    <row r="309" ht="33.75" customHeight="1">
      <c r="A309" s="142" t="s">
        <v>548</v>
      </c>
      <c r="B309" s="143" t="s">
        <v>23</v>
      </c>
      <c r="C309" s="143" t="s">
        <v>529</v>
      </c>
      <c r="D309" s="143" t="s">
        <v>545</v>
      </c>
      <c r="E309" s="144" t="s">
        <v>546</v>
      </c>
      <c r="F309" s="145" t="s">
        <v>547</v>
      </c>
      <c r="G309" s="145" t="s">
        <v>200</v>
      </c>
      <c r="H309" s="106" t="s">
        <v>200</v>
      </c>
      <c r="I309" s="106"/>
      <c r="J309" s="145" t="s">
        <v>14</v>
      </c>
      <c r="K309" s="146" t="s">
        <v>14</v>
      </c>
      <c r="L309" s="109"/>
      <c r="M309" s="109">
        <f t="shared" si="266"/>
        <v>0</v>
      </c>
      <c r="N309" s="109"/>
      <c r="O309" s="147">
        <f t="shared" ref="O309:O311" si="269">IF(COUNT(L309:N309)=0,"",(L309+4*M309+N309)/6)</f>
        <v>0</v>
      </c>
      <c r="P309" s="110"/>
      <c r="Q309" s="148">
        <f t="shared" si="256"/>
        <v>0</v>
      </c>
      <c r="R309" s="111"/>
      <c r="S309" s="111"/>
      <c r="T309" s="106" t="s">
        <v>31</v>
      </c>
      <c r="U309" s="26"/>
      <c r="V309" s="26"/>
      <c r="W309" s="26"/>
      <c r="X309" s="26"/>
      <c r="Y309" s="26"/>
      <c r="Z309" s="26"/>
      <c r="AA309" s="26"/>
      <c r="AB309" s="26"/>
      <c r="AC309" s="26"/>
    </row>
    <row r="310" ht="33.75" customHeight="1">
      <c r="A310" s="142" t="s">
        <v>549</v>
      </c>
      <c r="B310" s="143" t="s">
        <v>23</v>
      </c>
      <c r="C310" s="143" t="s">
        <v>529</v>
      </c>
      <c r="D310" s="143" t="s">
        <v>545</v>
      </c>
      <c r="E310" s="144" t="s">
        <v>546</v>
      </c>
      <c r="F310" s="145" t="s">
        <v>547</v>
      </c>
      <c r="G310" s="145" t="s">
        <v>200</v>
      </c>
      <c r="H310" s="108" t="s">
        <v>200</v>
      </c>
      <c r="I310" s="108"/>
      <c r="J310" s="145" t="s">
        <v>14</v>
      </c>
      <c r="K310" s="146" t="s">
        <v>14</v>
      </c>
      <c r="L310" s="149"/>
      <c r="M310" s="109">
        <f t="shared" si="266"/>
        <v>0</v>
      </c>
      <c r="N310" s="149"/>
      <c r="O310" s="147">
        <f t="shared" si="269"/>
        <v>0</v>
      </c>
      <c r="P310" s="110"/>
      <c r="Q310" s="148">
        <f t="shared" si="256"/>
        <v>0</v>
      </c>
      <c r="R310" s="150"/>
      <c r="S310" s="150"/>
      <c r="T310" s="108" t="s">
        <v>32</v>
      </c>
      <c r="U310" s="26"/>
      <c r="V310" s="26"/>
      <c r="W310" s="26"/>
      <c r="X310" s="26"/>
      <c r="Y310" s="26"/>
      <c r="Z310" s="26"/>
      <c r="AA310" s="26"/>
      <c r="AB310" s="26"/>
      <c r="AC310" s="26"/>
    </row>
    <row r="311" ht="33.75" customHeight="1">
      <c r="A311" s="142" t="s">
        <v>550</v>
      </c>
      <c r="B311" s="143" t="s">
        <v>23</v>
      </c>
      <c r="C311" s="143" t="s">
        <v>529</v>
      </c>
      <c r="D311" s="143" t="s">
        <v>545</v>
      </c>
      <c r="E311" s="144" t="s">
        <v>546</v>
      </c>
      <c r="F311" s="145" t="s">
        <v>547</v>
      </c>
      <c r="G311" s="145" t="s">
        <v>200</v>
      </c>
      <c r="H311" s="108" t="s">
        <v>200</v>
      </c>
      <c r="I311" s="108"/>
      <c r="J311" s="145" t="s">
        <v>14</v>
      </c>
      <c r="K311" s="146" t="s">
        <v>14</v>
      </c>
      <c r="L311" s="149"/>
      <c r="M311" s="109">
        <f t="shared" si="266"/>
        <v>0</v>
      </c>
      <c r="N311" s="149"/>
      <c r="O311" s="147">
        <f t="shared" si="269"/>
        <v>0</v>
      </c>
      <c r="P311" s="110"/>
      <c r="Q311" s="148">
        <f t="shared" si="256"/>
        <v>0</v>
      </c>
      <c r="R311" s="150"/>
      <c r="S311" s="150"/>
      <c r="T311" s="108" t="s">
        <v>70</v>
      </c>
      <c r="U311" s="26"/>
      <c r="V311" s="26"/>
      <c r="W311" s="26"/>
      <c r="X311" s="26"/>
      <c r="Y311" s="26"/>
      <c r="Z311" s="26"/>
      <c r="AA311" s="26"/>
      <c r="AB311" s="26"/>
      <c r="AC311" s="26"/>
    </row>
    <row r="312" ht="33.75" customHeight="1">
      <c r="A312" s="112" t="s">
        <v>551</v>
      </c>
      <c r="B312" s="38" t="s">
        <v>23</v>
      </c>
      <c r="C312" s="38" t="s">
        <v>552</v>
      </c>
      <c r="D312" s="38" t="s">
        <v>552</v>
      </c>
      <c r="E312" s="113" t="s">
        <v>553</v>
      </c>
      <c r="F312" s="114"/>
      <c r="G312" s="114"/>
      <c r="H312" s="45"/>
      <c r="I312" s="45"/>
      <c r="J312" s="114"/>
      <c r="K312" s="115"/>
      <c r="L312" s="42">
        <f>IF(COUNT(L313,L317,L321)=0,"",SUM(L313,L317,L321))</f>
        <v>1.75</v>
      </c>
      <c r="M312" s="42">
        <f t="shared" si="266"/>
        <v>2.375</v>
      </c>
      <c r="N312" s="42">
        <f t="shared" ref="N312:O312" si="270">IF(COUNT(N313,N317,N321)=0,"",SUM(N313,N317,N321))</f>
        <v>3</v>
      </c>
      <c r="O312" s="42">
        <f t="shared" si="270"/>
        <v>2.375</v>
      </c>
      <c r="P312" s="43"/>
      <c r="Q312" s="42">
        <f>IF(COUNT(Q313,Q317,Q321)=0,"",SUM(Q313,Q317,Q321))</f>
        <v>2.375</v>
      </c>
      <c r="R312" s="44"/>
      <c r="S312" s="44"/>
      <c r="T312" s="45" t="s">
        <v>62</v>
      </c>
      <c r="U312" s="179"/>
      <c r="V312" s="179"/>
      <c r="W312" s="179"/>
      <c r="X312" s="105">
        <f t="shared" ref="X312:AA312" si="271">L312</f>
        <v>1.75</v>
      </c>
      <c r="Y312" s="105">
        <f t="shared" si="271"/>
        <v>2.375</v>
      </c>
      <c r="Z312" s="105">
        <f t="shared" si="271"/>
        <v>3</v>
      </c>
      <c r="AA312" s="105">
        <f t="shared" si="271"/>
        <v>2.375</v>
      </c>
      <c r="AB312" s="179"/>
      <c r="AC312" s="105">
        <f>Q312</f>
        <v>2.375</v>
      </c>
    </row>
    <row r="313" ht="33.75" customHeight="1">
      <c r="A313" s="116" t="s">
        <v>554</v>
      </c>
      <c r="B313" s="77" t="s">
        <v>23</v>
      </c>
      <c r="C313" s="77" t="s">
        <v>552</v>
      </c>
      <c r="D313" s="77" t="s">
        <v>555</v>
      </c>
      <c r="E313" s="117" t="s">
        <v>556</v>
      </c>
      <c r="F313" s="118" t="s">
        <v>483</v>
      </c>
      <c r="G313" s="118" t="s">
        <v>200</v>
      </c>
      <c r="H313" s="119" t="s">
        <v>200</v>
      </c>
      <c r="I313" s="54"/>
      <c r="J313" s="118" t="s">
        <v>9</v>
      </c>
      <c r="K313" s="120" t="s">
        <v>9</v>
      </c>
      <c r="L313" s="51">
        <f>IF(COUNT(L314:N316)=0,"",SUM(L314:L316))</f>
        <v>1</v>
      </c>
      <c r="M313" s="51">
        <f t="shared" si="266"/>
        <v>1.25</v>
      </c>
      <c r="N313" s="51">
        <f>IF(COUNT(L314:N316)=0,"",SUM(N314:N316))</f>
        <v>1.5</v>
      </c>
      <c r="O313" s="51">
        <f>IF(COUNT(O314:O316)=0,"",SUM(O314:O316))</f>
        <v>1.25</v>
      </c>
      <c r="P313" s="52"/>
      <c r="Q313" s="51">
        <f t="shared" ref="Q313:Q324" si="272">IF(O313="","",IF(P313="",O313,O313*(1+P313)))</f>
        <v>1.25</v>
      </c>
      <c r="R313" s="53"/>
      <c r="S313" s="53"/>
      <c r="T313" s="54" t="s">
        <v>65</v>
      </c>
      <c r="U313" s="26"/>
      <c r="V313" s="26"/>
      <c r="W313" s="26"/>
      <c r="X313" s="26"/>
      <c r="Y313" s="26"/>
      <c r="Z313" s="26"/>
      <c r="AA313" s="26"/>
      <c r="AB313" s="26"/>
      <c r="AC313" s="26"/>
    </row>
    <row r="314" ht="33.75" customHeight="1">
      <c r="A314" s="78" t="s">
        <v>557</v>
      </c>
      <c r="B314" s="79" t="s">
        <v>23</v>
      </c>
      <c r="C314" s="79" t="s">
        <v>552</v>
      </c>
      <c r="D314" s="79" t="s">
        <v>555</v>
      </c>
      <c r="E314" s="94" t="s">
        <v>556</v>
      </c>
      <c r="F314" s="95" t="s">
        <v>483</v>
      </c>
      <c r="G314" s="95" t="s">
        <v>200</v>
      </c>
      <c r="H314" s="97" t="s">
        <v>200</v>
      </c>
      <c r="I314" s="65"/>
      <c r="J314" s="95" t="s">
        <v>9</v>
      </c>
      <c r="K314" s="121" t="s">
        <v>9</v>
      </c>
      <c r="L314" s="129">
        <v>0.0</v>
      </c>
      <c r="M314" s="129">
        <f t="shared" si="266"/>
        <v>0</v>
      </c>
      <c r="N314" s="129">
        <v>0.0</v>
      </c>
      <c r="O314" s="130">
        <f t="shared" ref="O314:O316" si="273">IF(COUNT(L314:N314)=0,"",(L314+4*M314+N314)/6)</f>
        <v>0</v>
      </c>
      <c r="P314" s="159"/>
      <c r="Q314" s="131">
        <f t="shared" si="272"/>
        <v>0</v>
      </c>
      <c r="R314" s="132"/>
      <c r="S314" s="132"/>
      <c r="T314" s="65" t="s">
        <v>31</v>
      </c>
      <c r="U314" s="26"/>
      <c r="V314" s="26"/>
      <c r="W314" s="26"/>
      <c r="X314" s="26"/>
      <c r="Y314" s="26"/>
      <c r="Z314" s="26"/>
      <c r="AA314" s="26"/>
      <c r="AB314" s="26"/>
      <c r="AC314" s="26"/>
    </row>
    <row r="315" ht="33.75" customHeight="1">
      <c r="A315" s="78" t="s">
        <v>558</v>
      </c>
      <c r="B315" s="79" t="s">
        <v>23</v>
      </c>
      <c r="C315" s="79" t="s">
        <v>552</v>
      </c>
      <c r="D315" s="79" t="s">
        <v>555</v>
      </c>
      <c r="E315" s="94" t="s">
        <v>556</v>
      </c>
      <c r="F315" s="95" t="s">
        <v>483</v>
      </c>
      <c r="G315" s="95" t="s">
        <v>200</v>
      </c>
      <c r="H315" s="97" t="s">
        <v>200</v>
      </c>
      <c r="I315" s="65"/>
      <c r="J315" s="95" t="s">
        <v>9</v>
      </c>
      <c r="K315" s="121" t="s">
        <v>9</v>
      </c>
      <c r="L315" s="129">
        <v>0.5</v>
      </c>
      <c r="M315" s="129">
        <f t="shared" si="266"/>
        <v>0.625</v>
      </c>
      <c r="N315" s="129">
        <v>0.75</v>
      </c>
      <c r="O315" s="130">
        <f t="shared" si="273"/>
        <v>0.625</v>
      </c>
      <c r="P315" s="159"/>
      <c r="Q315" s="131">
        <f t="shared" si="272"/>
        <v>0.625</v>
      </c>
      <c r="R315" s="132"/>
      <c r="S315" s="132"/>
      <c r="T315" s="65" t="s">
        <v>32</v>
      </c>
      <c r="U315" s="26"/>
      <c r="V315" s="26"/>
      <c r="W315" s="26"/>
      <c r="X315" s="26"/>
      <c r="Y315" s="26"/>
      <c r="Z315" s="26"/>
      <c r="AA315" s="26"/>
      <c r="AB315" s="26"/>
      <c r="AC315" s="26"/>
    </row>
    <row r="316" ht="33.75" customHeight="1">
      <c r="A316" s="78" t="s">
        <v>559</v>
      </c>
      <c r="B316" s="79" t="s">
        <v>23</v>
      </c>
      <c r="C316" s="79" t="s">
        <v>552</v>
      </c>
      <c r="D316" s="79" t="s">
        <v>555</v>
      </c>
      <c r="E316" s="94" t="s">
        <v>556</v>
      </c>
      <c r="F316" s="95" t="s">
        <v>483</v>
      </c>
      <c r="G316" s="95" t="s">
        <v>200</v>
      </c>
      <c r="H316" s="65" t="s">
        <v>200</v>
      </c>
      <c r="I316" s="65"/>
      <c r="J316" s="95" t="s">
        <v>9</v>
      </c>
      <c r="K316" s="121" t="s">
        <v>9</v>
      </c>
      <c r="L316" s="129">
        <v>0.5</v>
      </c>
      <c r="M316" s="129">
        <f t="shared" si="266"/>
        <v>0.625</v>
      </c>
      <c r="N316" s="129">
        <v>0.75</v>
      </c>
      <c r="O316" s="130">
        <f t="shared" si="273"/>
        <v>0.625</v>
      </c>
      <c r="P316" s="159"/>
      <c r="Q316" s="131">
        <f t="shared" si="272"/>
        <v>0.625</v>
      </c>
      <c r="R316" s="132"/>
      <c r="S316" s="132"/>
      <c r="T316" s="65" t="s">
        <v>70</v>
      </c>
      <c r="U316" s="26"/>
      <c r="V316" s="26"/>
      <c r="W316" s="26"/>
      <c r="X316" s="26"/>
      <c r="Y316" s="26"/>
      <c r="Z316" s="26"/>
      <c r="AA316" s="26"/>
      <c r="AB316" s="26"/>
      <c r="AC316" s="26"/>
    </row>
    <row r="317" ht="33.75" customHeight="1">
      <c r="A317" s="116" t="s">
        <v>560</v>
      </c>
      <c r="B317" s="77" t="s">
        <v>23</v>
      </c>
      <c r="C317" s="77" t="s">
        <v>552</v>
      </c>
      <c r="D317" s="77" t="s">
        <v>561</v>
      </c>
      <c r="E317" s="117" t="s">
        <v>562</v>
      </c>
      <c r="F317" s="118" t="s">
        <v>554</v>
      </c>
      <c r="G317" s="118" t="s">
        <v>168</v>
      </c>
      <c r="H317" s="119" t="s">
        <v>168</v>
      </c>
      <c r="I317" s="54"/>
      <c r="J317" s="118" t="s">
        <v>9</v>
      </c>
      <c r="K317" s="120" t="s">
        <v>9</v>
      </c>
      <c r="L317" s="51">
        <f>IF(COUNT(L318:N320)=0,"",SUM(L318:L320))</f>
        <v>0.75</v>
      </c>
      <c r="M317" s="51">
        <f t="shared" si="266"/>
        <v>1.125</v>
      </c>
      <c r="N317" s="51">
        <f>IF(COUNT(L318:N320)=0,"",SUM(N318:N320))</f>
        <v>1.5</v>
      </c>
      <c r="O317" s="51">
        <f>IF(COUNT(O318:O320)=0,"",SUM(O318:O320))</f>
        <v>1.125</v>
      </c>
      <c r="P317" s="52"/>
      <c r="Q317" s="51">
        <f t="shared" si="272"/>
        <v>1.125</v>
      </c>
      <c r="R317" s="53"/>
      <c r="S317" s="53"/>
      <c r="T317" s="54" t="s">
        <v>65</v>
      </c>
      <c r="U317" s="26"/>
      <c r="V317" s="26"/>
      <c r="W317" s="26"/>
      <c r="X317" s="26"/>
      <c r="Y317" s="26"/>
      <c r="Z317" s="26"/>
      <c r="AA317" s="26"/>
      <c r="AB317" s="26"/>
      <c r="AC317" s="26"/>
    </row>
    <row r="318" ht="33.75" customHeight="1">
      <c r="A318" s="78" t="s">
        <v>563</v>
      </c>
      <c r="B318" s="79" t="s">
        <v>23</v>
      </c>
      <c r="C318" s="79" t="s">
        <v>552</v>
      </c>
      <c r="D318" s="79" t="s">
        <v>561</v>
      </c>
      <c r="E318" s="94" t="s">
        <v>562</v>
      </c>
      <c r="F318" s="95" t="s">
        <v>554</v>
      </c>
      <c r="G318" s="95" t="s">
        <v>168</v>
      </c>
      <c r="H318" s="97" t="s">
        <v>168</v>
      </c>
      <c r="I318" s="65"/>
      <c r="J318" s="95" t="s">
        <v>9</v>
      </c>
      <c r="K318" s="121" t="s">
        <v>9</v>
      </c>
      <c r="L318" s="129">
        <v>0.0</v>
      </c>
      <c r="M318" s="129">
        <f t="shared" si="266"/>
        <v>0</v>
      </c>
      <c r="N318" s="129">
        <v>0.0</v>
      </c>
      <c r="O318" s="130">
        <f t="shared" ref="O318:O320" si="274">IF(COUNT(L318:N318)=0,"",(L318+4*M318+N318)/6)</f>
        <v>0</v>
      </c>
      <c r="P318" s="159"/>
      <c r="Q318" s="131">
        <f t="shared" si="272"/>
        <v>0</v>
      </c>
      <c r="R318" s="132"/>
      <c r="S318" s="132"/>
      <c r="T318" s="65" t="s">
        <v>31</v>
      </c>
      <c r="U318" s="26"/>
      <c r="V318" s="26"/>
      <c r="W318" s="26"/>
      <c r="X318" s="26"/>
      <c r="Y318" s="26"/>
      <c r="Z318" s="26"/>
      <c r="AA318" s="26"/>
      <c r="AB318" s="26"/>
      <c r="AC318" s="26"/>
    </row>
    <row r="319" ht="33.75" customHeight="1">
      <c r="A319" s="78" t="s">
        <v>564</v>
      </c>
      <c r="B319" s="79" t="s">
        <v>23</v>
      </c>
      <c r="C319" s="79" t="s">
        <v>552</v>
      </c>
      <c r="D319" s="79" t="s">
        <v>561</v>
      </c>
      <c r="E319" s="94" t="s">
        <v>562</v>
      </c>
      <c r="F319" s="95" t="s">
        <v>554</v>
      </c>
      <c r="G319" s="95" t="s">
        <v>168</v>
      </c>
      <c r="H319" s="97" t="s">
        <v>168</v>
      </c>
      <c r="I319" s="65"/>
      <c r="J319" s="95" t="s">
        <v>9</v>
      </c>
      <c r="K319" s="121" t="s">
        <v>9</v>
      </c>
      <c r="L319" s="129">
        <v>0.5</v>
      </c>
      <c r="M319" s="129">
        <f t="shared" si="266"/>
        <v>0.75</v>
      </c>
      <c r="N319" s="129">
        <v>1.0</v>
      </c>
      <c r="O319" s="130">
        <f t="shared" si="274"/>
        <v>0.75</v>
      </c>
      <c r="P319" s="159"/>
      <c r="Q319" s="131">
        <f t="shared" si="272"/>
        <v>0.75</v>
      </c>
      <c r="R319" s="132"/>
      <c r="S319" s="132"/>
      <c r="T319" s="65" t="s">
        <v>32</v>
      </c>
      <c r="U319" s="26"/>
      <c r="V319" s="26"/>
      <c r="W319" s="26"/>
      <c r="X319" s="26"/>
      <c r="Y319" s="26"/>
      <c r="Z319" s="26"/>
      <c r="AA319" s="26"/>
      <c r="AB319" s="26"/>
      <c r="AC319" s="26"/>
    </row>
    <row r="320" ht="33.75" customHeight="1">
      <c r="A320" s="78" t="s">
        <v>565</v>
      </c>
      <c r="B320" s="79" t="s">
        <v>23</v>
      </c>
      <c r="C320" s="79" t="s">
        <v>552</v>
      </c>
      <c r="D320" s="79" t="s">
        <v>561</v>
      </c>
      <c r="E320" s="94" t="s">
        <v>562</v>
      </c>
      <c r="F320" s="95" t="s">
        <v>554</v>
      </c>
      <c r="G320" s="95" t="s">
        <v>168</v>
      </c>
      <c r="H320" s="97" t="s">
        <v>168</v>
      </c>
      <c r="I320" s="65"/>
      <c r="J320" s="95" t="s">
        <v>9</v>
      </c>
      <c r="K320" s="121" t="s">
        <v>9</v>
      </c>
      <c r="L320" s="129">
        <v>0.25</v>
      </c>
      <c r="M320" s="129">
        <f t="shared" si="266"/>
        <v>0.375</v>
      </c>
      <c r="N320" s="129">
        <v>0.5</v>
      </c>
      <c r="O320" s="130">
        <f t="shared" si="274"/>
        <v>0.375</v>
      </c>
      <c r="P320" s="159"/>
      <c r="Q320" s="131">
        <f t="shared" si="272"/>
        <v>0.375</v>
      </c>
      <c r="R320" s="132"/>
      <c r="S320" s="132"/>
      <c r="T320" s="65" t="s">
        <v>70</v>
      </c>
      <c r="U320" s="26"/>
      <c r="V320" s="26"/>
      <c r="W320" s="26"/>
      <c r="X320" s="26"/>
      <c r="Y320" s="26"/>
      <c r="Z320" s="26"/>
      <c r="AA320" s="26"/>
      <c r="AB320" s="26"/>
      <c r="AC320" s="26"/>
    </row>
    <row r="321" ht="33.75" customHeight="1">
      <c r="A321" s="116" t="s">
        <v>566</v>
      </c>
      <c r="B321" s="77" t="s">
        <v>23</v>
      </c>
      <c r="C321" s="77" t="s">
        <v>552</v>
      </c>
      <c r="D321" s="77" t="s">
        <v>567</v>
      </c>
      <c r="E321" s="117" t="s">
        <v>568</v>
      </c>
      <c r="F321" s="118" t="s">
        <v>560</v>
      </c>
      <c r="G321" s="118" t="s">
        <v>154</v>
      </c>
      <c r="H321" s="119" t="s">
        <v>154</v>
      </c>
      <c r="I321" s="54"/>
      <c r="J321" s="118" t="s">
        <v>9</v>
      </c>
      <c r="K321" s="120" t="s">
        <v>9</v>
      </c>
      <c r="L321" s="51">
        <f>IF(COUNT(L322:N324)=0,"",SUM(L322:L324))</f>
        <v>0</v>
      </c>
      <c r="M321" s="51">
        <f t="shared" si="266"/>
        <v>0</v>
      </c>
      <c r="N321" s="51">
        <f>IF(COUNT(L322:N324)=0,"",SUM(N322:N324))</f>
        <v>0</v>
      </c>
      <c r="O321" s="51">
        <f>IF(COUNT(O322:O324)=0,"",SUM(O322:O324))</f>
        <v>0</v>
      </c>
      <c r="P321" s="52"/>
      <c r="Q321" s="51">
        <f t="shared" si="272"/>
        <v>0</v>
      </c>
      <c r="R321" s="53"/>
      <c r="S321" s="53"/>
      <c r="T321" s="54" t="s">
        <v>65</v>
      </c>
      <c r="U321" s="26"/>
      <c r="V321" s="26"/>
      <c r="W321" s="26"/>
      <c r="X321" s="26"/>
      <c r="Y321" s="26"/>
      <c r="Z321" s="26"/>
      <c r="AA321" s="26"/>
      <c r="AB321" s="26"/>
      <c r="AC321" s="26"/>
    </row>
    <row r="322" ht="33.75" customHeight="1">
      <c r="A322" s="78" t="s">
        <v>569</v>
      </c>
      <c r="B322" s="79" t="s">
        <v>23</v>
      </c>
      <c r="C322" s="79" t="s">
        <v>552</v>
      </c>
      <c r="D322" s="79" t="s">
        <v>567</v>
      </c>
      <c r="E322" s="94" t="s">
        <v>568</v>
      </c>
      <c r="F322" s="95" t="s">
        <v>560</v>
      </c>
      <c r="G322" s="95" t="s">
        <v>154</v>
      </c>
      <c r="H322" s="65" t="s">
        <v>154</v>
      </c>
      <c r="I322" s="65"/>
      <c r="J322" s="95" t="s">
        <v>9</v>
      </c>
      <c r="K322" s="121" t="s">
        <v>9</v>
      </c>
      <c r="L322" s="129">
        <v>0.0</v>
      </c>
      <c r="M322" s="129">
        <f t="shared" si="266"/>
        <v>0</v>
      </c>
      <c r="N322" s="129">
        <v>0.0</v>
      </c>
      <c r="O322" s="130">
        <f t="shared" ref="O322:O324" si="275">IF(COUNT(L322:N322)=0,"",(L322+4*M322+N322)/6)</f>
        <v>0</v>
      </c>
      <c r="P322" s="159"/>
      <c r="Q322" s="131">
        <f t="shared" si="272"/>
        <v>0</v>
      </c>
      <c r="R322" s="132"/>
      <c r="S322" s="132"/>
      <c r="T322" s="65" t="s">
        <v>31</v>
      </c>
      <c r="U322" s="26"/>
      <c r="V322" s="26"/>
      <c r="W322" s="26"/>
      <c r="X322" s="26"/>
      <c r="Y322" s="26"/>
      <c r="Z322" s="26"/>
      <c r="AA322" s="26"/>
      <c r="AB322" s="26"/>
      <c r="AC322" s="26"/>
    </row>
    <row r="323" ht="33.75" customHeight="1">
      <c r="A323" s="78" t="s">
        <v>570</v>
      </c>
      <c r="B323" s="79" t="s">
        <v>23</v>
      </c>
      <c r="C323" s="79" t="s">
        <v>552</v>
      </c>
      <c r="D323" s="79" t="s">
        <v>567</v>
      </c>
      <c r="E323" s="94" t="s">
        <v>568</v>
      </c>
      <c r="F323" s="95" t="s">
        <v>560</v>
      </c>
      <c r="G323" s="95" t="s">
        <v>154</v>
      </c>
      <c r="H323" s="97" t="s">
        <v>154</v>
      </c>
      <c r="I323" s="65"/>
      <c r="J323" s="95" t="s">
        <v>9</v>
      </c>
      <c r="K323" s="121" t="s">
        <v>9</v>
      </c>
      <c r="L323" s="129">
        <v>0.0</v>
      </c>
      <c r="M323" s="129">
        <f t="shared" si="266"/>
        <v>0</v>
      </c>
      <c r="N323" s="129">
        <v>0.0</v>
      </c>
      <c r="O323" s="130">
        <f t="shared" si="275"/>
        <v>0</v>
      </c>
      <c r="P323" s="159"/>
      <c r="Q323" s="131">
        <f t="shared" si="272"/>
        <v>0</v>
      </c>
      <c r="R323" s="132"/>
      <c r="S323" s="132"/>
      <c r="T323" s="65" t="s">
        <v>32</v>
      </c>
      <c r="U323" s="26"/>
      <c r="V323" s="26"/>
      <c r="W323" s="26"/>
      <c r="X323" s="26"/>
      <c r="Y323" s="26"/>
      <c r="Z323" s="26"/>
      <c r="AA323" s="26"/>
      <c r="AB323" s="26"/>
      <c r="AC323" s="26"/>
    </row>
    <row r="324" ht="33.75" customHeight="1">
      <c r="A324" s="78" t="s">
        <v>571</v>
      </c>
      <c r="B324" s="79" t="s">
        <v>23</v>
      </c>
      <c r="C324" s="79" t="s">
        <v>552</v>
      </c>
      <c r="D324" s="79" t="s">
        <v>567</v>
      </c>
      <c r="E324" s="94" t="s">
        <v>568</v>
      </c>
      <c r="F324" s="95" t="s">
        <v>560</v>
      </c>
      <c r="G324" s="95" t="s">
        <v>154</v>
      </c>
      <c r="H324" s="97" t="s">
        <v>154</v>
      </c>
      <c r="I324" s="65"/>
      <c r="J324" s="95" t="s">
        <v>9</v>
      </c>
      <c r="K324" s="121" t="s">
        <v>9</v>
      </c>
      <c r="L324" s="129">
        <v>0.0</v>
      </c>
      <c r="M324" s="129">
        <f t="shared" si="266"/>
        <v>0</v>
      </c>
      <c r="N324" s="129">
        <v>0.0</v>
      </c>
      <c r="O324" s="130">
        <f t="shared" si="275"/>
        <v>0</v>
      </c>
      <c r="P324" s="159"/>
      <c r="Q324" s="131">
        <f t="shared" si="272"/>
        <v>0</v>
      </c>
      <c r="R324" s="132"/>
      <c r="S324" s="132"/>
      <c r="T324" s="65" t="s">
        <v>70</v>
      </c>
      <c r="U324" s="26"/>
      <c r="V324" s="26"/>
      <c r="W324" s="26"/>
      <c r="X324" s="26"/>
      <c r="Y324" s="26"/>
      <c r="Z324" s="26"/>
      <c r="AA324" s="26"/>
      <c r="AB324" s="26"/>
      <c r="AC324" s="26"/>
    </row>
    <row r="325" ht="33.75" customHeight="1">
      <c r="A325" s="112" t="s">
        <v>572</v>
      </c>
      <c r="B325" s="38" t="s">
        <v>23</v>
      </c>
      <c r="C325" s="38" t="s">
        <v>366</v>
      </c>
      <c r="D325" s="38" t="s">
        <v>366</v>
      </c>
      <c r="E325" s="113" t="s">
        <v>573</v>
      </c>
      <c r="F325" s="114"/>
      <c r="G325" s="114"/>
      <c r="H325" s="123"/>
      <c r="I325" s="45"/>
      <c r="J325" s="114"/>
      <c r="K325" s="115"/>
      <c r="L325" s="42">
        <f>IF(COUNT(L326,L330,L334)=0,"",SUM(L326,L330,L334))</f>
        <v>3.5</v>
      </c>
      <c r="M325" s="42">
        <f t="shared" si="266"/>
        <v>5.125</v>
      </c>
      <c r="N325" s="42">
        <f t="shared" ref="N325:O325" si="276">IF(COUNT(N326,N330,N334)=0,"",SUM(N326,N330,N334))</f>
        <v>6.75</v>
      </c>
      <c r="O325" s="42">
        <f t="shared" si="276"/>
        <v>5.125</v>
      </c>
      <c r="P325" s="43"/>
      <c r="Q325" s="42">
        <f>IF(COUNT(Q326,Q330,Q334)=0,"",SUM(Q326,Q330,Q334))</f>
        <v>5.125</v>
      </c>
      <c r="R325" s="44"/>
      <c r="S325" s="44"/>
      <c r="T325" s="45" t="s">
        <v>62</v>
      </c>
      <c r="U325" s="179"/>
      <c r="V325" s="179"/>
      <c r="W325" s="179"/>
      <c r="X325" s="105">
        <f t="shared" ref="X325:AA325" si="277">L325</f>
        <v>3.5</v>
      </c>
      <c r="Y325" s="105">
        <f t="shared" si="277"/>
        <v>5.125</v>
      </c>
      <c r="Z325" s="105">
        <f t="shared" si="277"/>
        <v>6.75</v>
      </c>
      <c r="AA325" s="105">
        <f t="shared" si="277"/>
        <v>5.125</v>
      </c>
      <c r="AB325" s="179"/>
      <c r="AC325" s="105">
        <f>Q325</f>
        <v>5.125</v>
      </c>
    </row>
    <row r="326" ht="33.75" customHeight="1">
      <c r="A326" s="116" t="s">
        <v>574</v>
      </c>
      <c r="B326" s="77" t="s">
        <v>23</v>
      </c>
      <c r="C326" s="77" t="s">
        <v>366</v>
      </c>
      <c r="D326" s="77" t="s">
        <v>575</v>
      </c>
      <c r="E326" s="117" t="s">
        <v>576</v>
      </c>
      <c r="F326" s="118" t="s">
        <v>471</v>
      </c>
      <c r="G326" s="118" t="s">
        <v>154</v>
      </c>
      <c r="H326" s="119" t="s">
        <v>154</v>
      </c>
      <c r="I326" s="54"/>
      <c r="J326" s="118" t="s">
        <v>9</v>
      </c>
      <c r="K326" s="120" t="s">
        <v>9</v>
      </c>
      <c r="L326" s="51">
        <f>IF(COUNT(L327:N329)=0,"",SUM(L327:L329))</f>
        <v>1.25</v>
      </c>
      <c r="M326" s="51">
        <f t="shared" si="266"/>
        <v>1.875</v>
      </c>
      <c r="N326" s="51">
        <f>IF(COUNT(L327:N329)=0,"",SUM(N327:N329))</f>
        <v>2.5</v>
      </c>
      <c r="O326" s="51">
        <f>IF(COUNT(O327:O329)=0,"",SUM(O327:O329))</f>
        <v>1.875</v>
      </c>
      <c r="P326" s="52"/>
      <c r="Q326" s="51">
        <f t="shared" ref="Q326:Q337" si="278">IF(O326="","",IF(P326="",O326,O326*(1+P326)))</f>
        <v>1.875</v>
      </c>
      <c r="R326" s="53"/>
      <c r="S326" s="53"/>
      <c r="T326" s="54" t="s">
        <v>65</v>
      </c>
      <c r="U326" s="26"/>
      <c r="V326" s="26"/>
      <c r="W326" s="26"/>
      <c r="X326" s="26"/>
      <c r="Y326" s="26"/>
      <c r="Z326" s="26"/>
      <c r="AA326" s="26"/>
      <c r="AB326" s="26"/>
      <c r="AC326" s="26"/>
    </row>
    <row r="327" ht="33.75" customHeight="1">
      <c r="A327" s="78" t="s">
        <v>577</v>
      </c>
      <c r="B327" s="79" t="s">
        <v>23</v>
      </c>
      <c r="C327" s="79" t="s">
        <v>366</v>
      </c>
      <c r="D327" s="79" t="s">
        <v>575</v>
      </c>
      <c r="E327" s="94" t="s">
        <v>576</v>
      </c>
      <c r="F327" s="95" t="s">
        <v>471</v>
      </c>
      <c r="G327" s="95" t="s">
        <v>154</v>
      </c>
      <c r="H327" s="97" t="s">
        <v>154</v>
      </c>
      <c r="I327" s="65"/>
      <c r="J327" s="95" t="s">
        <v>9</v>
      </c>
      <c r="K327" s="121" t="s">
        <v>9</v>
      </c>
      <c r="L327" s="129">
        <v>0.5</v>
      </c>
      <c r="M327" s="129">
        <f t="shared" si="266"/>
        <v>0.75</v>
      </c>
      <c r="N327" s="129">
        <v>1.0</v>
      </c>
      <c r="O327" s="130">
        <f t="shared" ref="O327:O329" si="279">IF(COUNT(L327:N327)=0,"",(L327+4*M327+N327)/6)</f>
        <v>0.75</v>
      </c>
      <c r="P327" s="159"/>
      <c r="Q327" s="131">
        <f t="shared" si="278"/>
        <v>0.75</v>
      </c>
      <c r="R327" s="132"/>
      <c r="S327" s="132"/>
      <c r="T327" s="65" t="s">
        <v>31</v>
      </c>
      <c r="U327" s="26"/>
      <c r="V327" s="26"/>
      <c r="W327" s="26"/>
      <c r="X327" s="26"/>
      <c r="Y327" s="26"/>
      <c r="Z327" s="26"/>
      <c r="AA327" s="26"/>
      <c r="AB327" s="26"/>
      <c r="AC327" s="26"/>
    </row>
    <row r="328" ht="33.75" customHeight="1">
      <c r="A328" s="78" t="s">
        <v>578</v>
      </c>
      <c r="B328" s="79" t="s">
        <v>23</v>
      </c>
      <c r="C328" s="79" t="s">
        <v>366</v>
      </c>
      <c r="D328" s="79" t="s">
        <v>575</v>
      </c>
      <c r="E328" s="94" t="s">
        <v>576</v>
      </c>
      <c r="F328" s="95" t="s">
        <v>471</v>
      </c>
      <c r="G328" s="95" t="s">
        <v>154</v>
      </c>
      <c r="H328" s="97" t="s">
        <v>154</v>
      </c>
      <c r="I328" s="65"/>
      <c r="J328" s="95" t="s">
        <v>9</v>
      </c>
      <c r="K328" s="121" t="s">
        <v>9</v>
      </c>
      <c r="L328" s="129">
        <v>0.5</v>
      </c>
      <c r="M328" s="129">
        <f t="shared" si="266"/>
        <v>0.75</v>
      </c>
      <c r="N328" s="129">
        <v>1.0</v>
      </c>
      <c r="O328" s="130">
        <f t="shared" si="279"/>
        <v>0.75</v>
      </c>
      <c r="P328" s="159"/>
      <c r="Q328" s="131">
        <f t="shared" si="278"/>
        <v>0.75</v>
      </c>
      <c r="R328" s="132"/>
      <c r="S328" s="132"/>
      <c r="T328" s="65" t="s">
        <v>32</v>
      </c>
      <c r="U328" s="26"/>
      <c r="V328" s="26"/>
      <c r="W328" s="26"/>
      <c r="X328" s="26"/>
      <c r="Y328" s="26"/>
      <c r="Z328" s="26"/>
      <c r="AA328" s="26"/>
      <c r="AB328" s="26"/>
      <c r="AC328" s="26"/>
    </row>
    <row r="329" ht="33.75" customHeight="1">
      <c r="A329" s="78" t="s">
        <v>579</v>
      </c>
      <c r="B329" s="79" t="s">
        <v>23</v>
      </c>
      <c r="C329" s="79" t="s">
        <v>366</v>
      </c>
      <c r="D329" s="79" t="s">
        <v>575</v>
      </c>
      <c r="E329" s="94" t="s">
        <v>576</v>
      </c>
      <c r="F329" s="95" t="s">
        <v>471</v>
      </c>
      <c r="G329" s="95" t="s">
        <v>154</v>
      </c>
      <c r="H329" s="97" t="s">
        <v>154</v>
      </c>
      <c r="I329" s="65"/>
      <c r="J329" s="95" t="s">
        <v>9</v>
      </c>
      <c r="K329" s="121" t="s">
        <v>9</v>
      </c>
      <c r="L329" s="129">
        <v>0.25</v>
      </c>
      <c r="M329" s="129">
        <f t="shared" si="266"/>
        <v>0.375</v>
      </c>
      <c r="N329" s="129">
        <v>0.5</v>
      </c>
      <c r="O329" s="130">
        <f t="shared" si="279"/>
        <v>0.375</v>
      </c>
      <c r="P329" s="159"/>
      <c r="Q329" s="131">
        <f t="shared" si="278"/>
        <v>0.375</v>
      </c>
      <c r="R329" s="132"/>
      <c r="S329" s="132"/>
      <c r="T329" s="65" t="s">
        <v>70</v>
      </c>
      <c r="U329" s="26"/>
      <c r="V329" s="26"/>
      <c r="W329" s="26"/>
      <c r="X329" s="26"/>
      <c r="Y329" s="26"/>
      <c r="Z329" s="26"/>
      <c r="AA329" s="26"/>
      <c r="AB329" s="26"/>
      <c r="AC329" s="26"/>
    </row>
    <row r="330" ht="33.75" customHeight="1">
      <c r="A330" s="116" t="s">
        <v>580</v>
      </c>
      <c r="B330" s="77" t="s">
        <v>23</v>
      </c>
      <c r="C330" s="77" t="s">
        <v>366</v>
      </c>
      <c r="D330" s="77" t="s">
        <v>581</v>
      </c>
      <c r="E330" s="117" t="s">
        <v>582</v>
      </c>
      <c r="F330" s="118" t="s">
        <v>583</v>
      </c>
      <c r="G330" s="118" t="s">
        <v>154</v>
      </c>
      <c r="H330" s="119" t="s">
        <v>154</v>
      </c>
      <c r="I330" s="54"/>
      <c r="J330" s="118" t="s">
        <v>9</v>
      </c>
      <c r="K330" s="120" t="s">
        <v>9</v>
      </c>
      <c r="L330" s="51">
        <f>IF(COUNT(L331:N333)=0,"",SUM(L331:L333))</f>
        <v>0.75</v>
      </c>
      <c r="M330" s="51">
        <f t="shared" si="266"/>
        <v>1.125</v>
      </c>
      <c r="N330" s="51">
        <f>IF(COUNT(L331:N333)=0,"",SUM(N331:N333))</f>
        <v>1.5</v>
      </c>
      <c r="O330" s="51">
        <f>IF(COUNT(O331:O333)=0,"",SUM(O331:O333))</f>
        <v>1.125</v>
      </c>
      <c r="P330" s="52"/>
      <c r="Q330" s="51">
        <f t="shared" si="278"/>
        <v>1.125</v>
      </c>
      <c r="R330" s="53"/>
      <c r="S330" s="53"/>
      <c r="T330" s="54" t="s">
        <v>65</v>
      </c>
      <c r="U330" s="26"/>
      <c r="V330" s="26"/>
      <c r="W330" s="26"/>
      <c r="X330" s="26"/>
      <c r="Y330" s="26"/>
      <c r="Z330" s="26"/>
      <c r="AA330" s="26"/>
      <c r="AB330" s="26"/>
      <c r="AC330" s="26"/>
    </row>
    <row r="331" ht="33.75" customHeight="1">
      <c r="A331" s="78" t="s">
        <v>584</v>
      </c>
      <c r="B331" s="79" t="s">
        <v>23</v>
      </c>
      <c r="C331" s="79" t="s">
        <v>366</v>
      </c>
      <c r="D331" s="79" t="s">
        <v>581</v>
      </c>
      <c r="E331" s="94" t="s">
        <v>582</v>
      </c>
      <c r="F331" s="95" t="s">
        <v>583</v>
      </c>
      <c r="G331" s="95" t="s">
        <v>154</v>
      </c>
      <c r="H331" s="97" t="s">
        <v>154</v>
      </c>
      <c r="I331" s="65"/>
      <c r="J331" s="95" t="s">
        <v>9</v>
      </c>
      <c r="K331" s="121" t="s">
        <v>9</v>
      </c>
      <c r="L331" s="129">
        <v>0.25</v>
      </c>
      <c r="M331" s="129">
        <f t="shared" si="266"/>
        <v>0.375</v>
      </c>
      <c r="N331" s="129">
        <v>0.5</v>
      </c>
      <c r="O331" s="130">
        <f t="shared" ref="O331:O333" si="280">IF(COUNT(L331:N331)=0,"",(L331+4*M331+N331)/6)</f>
        <v>0.375</v>
      </c>
      <c r="P331" s="159"/>
      <c r="Q331" s="131">
        <f t="shared" si="278"/>
        <v>0.375</v>
      </c>
      <c r="R331" s="132"/>
      <c r="S331" s="132"/>
      <c r="T331" s="65" t="s">
        <v>31</v>
      </c>
      <c r="U331" s="26"/>
      <c r="V331" s="26"/>
      <c r="W331" s="26"/>
      <c r="X331" s="26"/>
      <c r="Y331" s="26"/>
      <c r="Z331" s="26"/>
      <c r="AA331" s="26"/>
      <c r="AB331" s="26"/>
      <c r="AC331" s="26"/>
    </row>
    <row r="332" ht="33.75" customHeight="1">
      <c r="A332" s="78" t="s">
        <v>585</v>
      </c>
      <c r="B332" s="79" t="s">
        <v>23</v>
      </c>
      <c r="C332" s="79" t="s">
        <v>366</v>
      </c>
      <c r="D332" s="79" t="s">
        <v>581</v>
      </c>
      <c r="E332" s="94" t="s">
        <v>582</v>
      </c>
      <c r="F332" s="95" t="s">
        <v>583</v>
      </c>
      <c r="G332" s="95" t="s">
        <v>154</v>
      </c>
      <c r="H332" s="97" t="s">
        <v>154</v>
      </c>
      <c r="I332" s="65"/>
      <c r="J332" s="95" t="s">
        <v>9</v>
      </c>
      <c r="K332" s="121" t="s">
        <v>9</v>
      </c>
      <c r="L332" s="129">
        <v>0.25</v>
      </c>
      <c r="M332" s="129">
        <f t="shared" si="266"/>
        <v>0.375</v>
      </c>
      <c r="N332" s="129">
        <v>0.5</v>
      </c>
      <c r="O332" s="130">
        <f t="shared" si="280"/>
        <v>0.375</v>
      </c>
      <c r="P332" s="159"/>
      <c r="Q332" s="131">
        <f t="shared" si="278"/>
        <v>0.375</v>
      </c>
      <c r="R332" s="132"/>
      <c r="S332" s="132"/>
      <c r="T332" s="65" t="s">
        <v>32</v>
      </c>
      <c r="U332" s="26"/>
      <c r="V332" s="26"/>
      <c r="W332" s="26"/>
      <c r="X332" s="26"/>
      <c r="Y332" s="26"/>
      <c r="Z332" s="26"/>
      <c r="AA332" s="26"/>
      <c r="AB332" s="26"/>
      <c r="AC332" s="26"/>
    </row>
    <row r="333" ht="33.75" customHeight="1">
      <c r="A333" s="78" t="s">
        <v>586</v>
      </c>
      <c r="B333" s="79" t="s">
        <v>23</v>
      </c>
      <c r="C333" s="79" t="s">
        <v>366</v>
      </c>
      <c r="D333" s="79" t="s">
        <v>581</v>
      </c>
      <c r="E333" s="94" t="s">
        <v>582</v>
      </c>
      <c r="F333" s="95" t="s">
        <v>583</v>
      </c>
      <c r="G333" s="95" t="s">
        <v>154</v>
      </c>
      <c r="H333" s="65" t="s">
        <v>154</v>
      </c>
      <c r="I333" s="65"/>
      <c r="J333" s="95" t="s">
        <v>9</v>
      </c>
      <c r="K333" s="121" t="s">
        <v>9</v>
      </c>
      <c r="L333" s="129">
        <v>0.25</v>
      </c>
      <c r="M333" s="129">
        <f t="shared" si="266"/>
        <v>0.375</v>
      </c>
      <c r="N333" s="129">
        <v>0.5</v>
      </c>
      <c r="O333" s="130">
        <f t="shared" si="280"/>
        <v>0.375</v>
      </c>
      <c r="P333" s="159"/>
      <c r="Q333" s="131">
        <f t="shared" si="278"/>
        <v>0.375</v>
      </c>
      <c r="R333" s="132"/>
      <c r="S333" s="132"/>
      <c r="T333" s="65" t="s">
        <v>70</v>
      </c>
      <c r="U333" s="26"/>
      <c r="V333" s="26"/>
      <c r="W333" s="26"/>
      <c r="X333" s="26"/>
      <c r="Y333" s="26"/>
      <c r="Z333" s="26"/>
      <c r="AA333" s="26"/>
      <c r="AB333" s="26"/>
      <c r="AC333" s="26"/>
    </row>
    <row r="334" ht="33.75" customHeight="1">
      <c r="A334" s="116" t="s">
        <v>587</v>
      </c>
      <c r="B334" s="77" t="s">
        <v>23</v>
      </c>
      <c r="C334" s="77" t="s">
        <v>366</v>
      </c>
      <c r="D334" s="77" t="s">
        <v>588</v>
      </c>
      <c r="E334" s="117" t="s">
        <v>589</v>
      </c>
      <c r="F334" s="118" t="s">
        <v>483</v>
      </c>
      <c r="G334" s="118" t="s">
        <v>168</v>
      </c>
      <c r="H334" s="119" t="s">
        <v>168</v>
      </c>
      <c r="I334" s="54"/>
      <c r="J334" s="118" t="s">
        <v>9</v>
      </c>
      <c r="K334" s="120" t="s">
        <v>9</v>
      </c>
      <c r="L334" s="51">
        <f>IF(COUNT(L335:N337)=0,"",SUM(L335:L337))</f>
        <v>1.5</v>
      </c>
      <c r="M334" s="51">
        <f t="shared" si="266"/>
        <v>2.125</v>
      </c>
      <c r="N334" s="51">
        <f>IF(COUNT(L335:N337)=0,"",SUM(N335:N337))</f>
        <v>2.75</v>
      </c>
      <c r="O334" s="51">
        <f>IF(COUNT(O335:O337)=0,"",SUM(O335:O337))</f>
        <v>2.125</v>
      </c>
      <c r="P334" s="52"/>
      <c r="Q334" s="51">
        <f t="shared" si="278"/>
        <v>2.125</v>
      </c>
      <c r="R334" s="53"/>
      <c r="S334" s="53"/>
      <c r="T334" s="54" t="s">
        <v>65</v>
      </c>
      <c r="U334" s="26"/>
      <c r="V334" s="26"/>
      <c r="W334" s="26"/>
      <c r="X334" s="26"/>
      <c r="Y334" s="26"/>
      <c r="Z334" s="26"/>
      <c r="AA334" s="26"/>
      <c r="AB334" s="26"/>
      <c r="AC334" s="26"/>
    </row>
    <row r="335" ht="33.75" customHeight="1">
      <c r="A335" s="78" t="s">
        <v>590</v>
      </c>
      <c r="B335" s="79" t="s">
        <v>23</v>
      </c>
      <c r="C335" s="79" t="s">
        <v>366</v>
      </c>
      <c r="D335" s="79" t="s">
        <v>588</v>
      </c>
      <c r="E335" s="94" t="s">
        <v>589</v>
      </c>
      <c r="F335" s="95" t="s">
        <v>483</v>
      </c>
      <c r="G335" s="95" t="s">
        <v>168</v>
      </c>
      <c r="H335" s="97" t="s">
        <v>168</v>
      </c>
      <c r="I335" s="65"/>
      <c r="J335" s="95" t="s">
        <v>9</v>
      </c>
      <c r="K335" s="121" t="s">
        <v>9</v>
      </c>
      <c r="L335" s="129">
        <v>0.0</v>
      </c>
      <c r="M335" s="129">
        <f t="shared" si="266"/>
        <v>0.25</v>
      </c>
      <c r="N335" s="129">
        <v>0.5</v>
      </c>
      <c r="O335" s="130">
        <f t="shared" ref="O335:O337" si="281">IF(COUNT(L335:N335)=0,"",(L335+4*M335+N335)/6)</f>
        <v>0.25</v>
      </c>
      <c r="P335" s="159"/>
      <c r="Q335" s="131">
        <f t="shared" si="278"/>
        <v>0.25</v>
      </c>
      <c r="R335" s="132"/>
      <c r="S335" s="132"/>
      <c r="T335" s="65" t="s">
        <v>31</v>
      </c>
      <c r="U335" s="26"/>
      <c r="V335" s="26"/>
      <c r="W335" s="26"/>
      <c r="X335" s="26"/>
      <c r="Y335" s="26"/>
      <c r="Z335" s="26"/>
      <c r="AA335" s="26"/>
      <c r="AB335" s="26"/>
      <c r="AC335" s="26"/>
    </row>
    <row r="336" ht="33.75" customHeight="1">
      <c r="A336" s="78" t="s">
        <v>591</v>
      </c>
      <c r="B336" s="79" t="s">
        <v>23</v>
      </c>
      <c r="C336" s="79" t="s">
        <v>366</v>
      </c>
      <c r="D336" s="79" t="s">
        <v>588</v>
      </c>
      <c r="E336" s="94" t="s">
        <v>589</v>
      </c>
      <c r="F336" s="95" t="s">
        <v>483</v>
      </c>
      <c r="G336" s="95" t="s">
        <v>168</v>
      </c>
      <c r="H336" s="97" t="s">
        <v>168</v>
      </c>
      <c r="I336" s="65"/>
      <c r="J336" s="95" t="s">
        <v>9</v>
      </c>
      <c r="K336" s="121" t="s">
        <v>9</v>
      </c>
      <c r="L336" s="129">
        <v>1.0</v>
      </c>
      <c r="M336" s="129">
        <f t="shared" si="266"/>
        <v>1.25</v>
      </c>
      <c r="N336" s="129">
        <v>1.5</v>
      </c>
      <c r="O336" s="130">
        <f t="shared" si="281"/>
        <v>1.25</v>
      </c>
      <c r="P336" s="159"/>
      <c r="Q336" s="131">
        <f t="shared" si="278"/>
        <v>1.25</v>
      </c>
      <c r="R336" s="132"/>
      <c r="S336" s="132"/>
      <c r="T336" s="65" t="s">
        <v>32</v>
      </c>
      <c r="U336" s="26"/>
      <c r="V336" s="26"/>
      <c r="W336" s="26"/>
      <c r="X336" s="26"/>
      <c r="Y336" s="26"/>
      <c r="Z336" s="26"/>
      <c r="AA336" s="26"/>
      <c r="AB336" s="26"/>
      <c r="AC336" s="26"/>
    </row>
    <row r="337" ht="33.75" customHeight="1">
      <c r="A337" s="78" t="s">
        <v>592</v>
      </c>
      <c r="B337" s="79" t="s">
        <v>23</v>
      </c>
      <c r="C337" s="79" t="s">
        <v>366</v>
      </c>
      <c r="D337" s="79" t="s">
        <v>588</v>
      </c>
      <c r="E337" s="94" t="s">
        <v>589</v>
      </c>
      <c r="F337" s="95" t="s">
        <v>483</v>
      </c>
      <c r="G337" s="95" t="s">
        <v>168</v>
      </c>
      <c r="H337" s="97" t="s">
        <v>168</v>
      </c>
      <c r="I337" s="65"/>
      <c r="J337" s="95" t="s">
        <v>9</v>
      </c>
      <c r="K337" s="121" t="s">
        <v>9</v>
      </c>
      <c r="L337" s="129">
        <v>0.5</v>
      </c>
      <c r="M337" s="129">
        <f t="shared" si="266"/>
        <v>0.625</v>
      </c>
      <c r="N337" s="129">
        <v>0.75</v>
      </c>
      <c r="O337" s="130">
        <f t="shared" si="281"/>
        <v>0.625</v>
      </c>
      <c r="P337" s="159"/>
      <c r="Q337" s="131">
        <f t="shared" si="278"/>
        <v>0.625</v>
      </c>
      <c r="R337" s="132"/>
      <c r="S337" s="132"/>
      <c r="T337" s="65" t="s">
        <v>70</v>
      </c>
      <c r="U337" s="26"/>
      <c r="V337" s="26"/>
      <c r="W337" s="26"/>
      <c r="X337" s="26"/>
      <c r="Y337" s="26"/>
      <c r="Z337" s="26"/>
      <c r="AA337" s="26"/>
      <c r="AB337" s="26"/>
      <c r="AC337" s="26"/>
    </row>
    <row r="338" ht="33.75" customHeight="1">
      <c r="A338" s="27" t="s">
        <v>593</v>
      </c>
      <c r="B338" s="28"/>
      <c r="C338" s="28"/>
      <c r="D338" s="28"/>
      <c r="E338" s="29"/>
      <c r="F338" s="30"/>
      <c r="G338" s="30"/>
      <c r="H338" s="30"/>
      <c r="I338" s="30"/>
      <c r="J338" s="30"/>
      <c r="K338" s="31"/>
      <c r="L338" s="32">
        <f t="shared" ref="L338:O338" si="282">SUM(X339:X490)</f>
        <v>47.25</v>
      </c>
      <c r="M338" s="32">
        <f t="shared" si="282"/>
        <v>67.25</v>
      </c>
      <c r="N338" s="32">
        <f t="shared" si="282"/>
        <v>87.25</v>
      </c>
      <c r="O338" s="32">
        <f t="shared" si="282"/>
        <v>73.25</v>
      </c>
      <c r="P338" s="33"/>
      <c r="Q338" s="32">
        <f>SUM(AC339:AC490)</f>
        <v>69.5</v>
      </c>
      <c r="R338" s="34"/>
      <c r="S338" s="34"/>
      <c r="T338" s="35" t="s">
        <v>59</v>
      </c>
      <c r="U338" s="26"/>
      <c r="V338" s="26"/>
      <c r="W338" s="26"/>
      <c r="X338" s="26"/>
      <c r="Y338" s="26"/>
      <c r="Z338" s="26"/>
      <c r="AA338" s="26"/>
      <c r="AB338" s="26"/>
      <c r="AC338" s="26"/>
    </row>
    <row r="339" ht="33.75" customHeight="1">
      <c r="A339" s="112" t="s">
        <v>594</v>
      </c>
      <c r="B339" s="38" t="s">
        <v>24</v>
      </c>
      <c r="C339" s="38" t="s">
        <v>595</v>
      </c>
      <c r="D339" s="38" t="s">
        <v>595</v>
      </c>
      <c r="E339" s="113" t="s">
        <v>596</v>
      </c>
      <c r="F339" s="114"/>
      <c r="G339" s="114"/>
      <c r="H339" s="45"/>
      <c r="I339" s="45"/>
      <c r="J339" s="114"/>
      <c r="K339" s="115"/>
      <c r="L339" s="42">
        <f>IF(COUNT(L340,L344,L348,L352)=0,"",SUM(L340,L344,L348,L352))</f>
        <v>3.75</v>
      </c>
      <c r="M339" s="42">
        <f t="shared" ref="M339:M360" si="284">(N339+L339)/2</f>
        <v>5.75</v>
      </c>
      <c r="N339" s="42">
        <f>IF(COUNT(N340,N344,N348,N352)=0,"",SUM(N340,N344,N348,N352))</f>
        <v>7.75</v>
      </c>
      <c r="O339" s="42">
        <f>IF(COUNT(O340,O344,O348,O352, O356, O360)=0,"",SUM(O340,O344,O348,O352, O356, O360))</f>
        <v>9.5</v>
      </c>
      <c r="P339" s="43"/>
      <c r="Q339" s="42">
        <f>IF(COUNT(Q340,Q344,Q348,Q352)=0,"",SUM(Q340,Q344,Q348,Q352))</f>
        <v>5.75</v>
      </c>
      <c r="R339" s="44"/>
      <c r="S339" s="44"/>
      <c r="T339" s="45" t="s">
        <v>62</v>
      </c>
      <c r="U339" s="179"/>
      <c r="V339" s="179"/>
      <c r="W339" s="179"/>
      <c r="X339" s="105">
        <f t="shared" ref="X339:AA339" si="283">L339</f>
        <v>3.75</v>
      </c>
      <c r="Y339" s="105">
        <f t="shared" si="283"/>
        <v>5.75</v>
      </c>
      <c r="Z339" s="105">
        <f t="shared" si="283"/>
        <v>7.75</v>
      </c>
      <c r="AA339" s="105">
        <f t="shared" si="283"/>
        <v>9.5</v>
      </c>
      <c r="AB339" s="179"/>
      <c r="AC339" s="105">
        <f>Q339</f>
        <v>5.75</v>
      </c>
    </row>
    <row r="340" ht="33.75" customHeight="1">
      <c r="A340" s="116" t="s">
        <v>597</v>
      </c>
      <c r="B340" s="77" t="s">
        <v>24</v>
      </c>
      <c r="C340" s="77" t="s">
        <v>595</v>
      </c>
      <c r="D340" s="77" t="s">
        <v>598</v>
      </c>
      <c r="E340" s="117" t="s">
        <v>599</v>
      </c>
      <c r="F340" s="118" t="s">
        <v>600</v>
      </c>
      <c r="G340" s="118" t="s">
        <v>168</v>
      </c>
      <c r="H340" s="119" t="s">
        <v>168</v>
      </c>
      <c r="I340" s="54"/>
      <c r="J340" s="118" t="s">
        <v>9</v>
      </c>
      <c r="K340" s="120" t="s">
        <v>9</v>
      </c>
      <c r="L340" s="51">
        <f>IF(COUNT(L341:N343)=0,"",SUM(L341:L343))</f>
        <v>0</v>
      </c>
      <c r="M340" s="51">
        <f t="shared" si="284"/>
        <v>0</v>
      </c>
      <c r="N340" s="51">
        <f>IF(COUNT(L341:N343)=0,"",SUM(N341:N343))</f>
        <v>0</v>
      </c>
      <c r="O340" s="51">
        <f>IF(COUNT(O341:O343)=0,"",SUM(O341:O343))</f>
        <v>0</v>
      </c>
      <c r="P340" s="52"/>
      <c r="Q340" s="51">
        <f t="shared" ref="Q340:Q360" si="285">IF(O340="","",IF(P340="",O340,O340*(1+P340)))</f>
        <v>0</v>
      </c>
      <c r="R340" s="53"/>
      <c r="S340" s="53"/>
      <c r="T340" s="54" t="s">
        <v>65</v>
      </c>
      <c r="U340" s="26"/>
      <c r="V340" s="26"/>
      <c r="W340" s="26"/>
      <c r="X340" s="26"/>
      <c r="Y340" s="26"/>
      <c r="Z340" s="26"/>
      <c r="AA340" s="26"/>
      <c r="AB340" s="26"/>
      <c r="AC340" s="26"/>
    </row>
    <row r="341" ht="33.75" customHeight="1">
      <c r="A341" s="78" t="s">
        <v>601</v>
      </c>
      <c r="B341" s="79" t="s">
        <v>24</v>
      </c>
      <c r="C341" s="79" t="s">
        <v>595</v>
      </c>
      <c r="D341" s="79" t="s">
        <v>598</v>
      </c>
      <c r="E341" s="94" t="s">
        <v>599</v>
      </c>
      <c r="F341" s="95" t="s">
        <v>600</v>
      </c>
      <c r="G341" s="95" t="s">
        <v>168</v>
      </c>
      <c r="H341" s="97" t="s">
        <v>168</v>
      </c>
      <c r="I341" s="65"/>
      <c r="J341" s="95" t="s">
        <v>9</v>
      </c>
      <c r="K341" s="121" t="s">
        <v>9</v>
      </c>
      <c r="L341" s="129">
        <v>0.0</v>
      </c>
      <c r="M341" s="129">
        <f t="shared" si="284"/>
        <v>0</v>
      </c>
      <c r="N341" s="129">
        <v>0.0</v>
      </c>
      <c r="O341" s="130">
        <f t="shared" ref="O341:O343" si="286">IF(COUNT(L341:N341)=0,"",(L341+4*M341+N341)/6)</f>
        <v>0</v>
      </c>
      <c r="P341" s="159"/>
      <c r="Q341" s="131">
        <f t="shared" si="285"/>
        <v>0</v>
      </c>
      <c r="R341" s="132"/>
      <c r="S341" s="132"/>
      <c r="T341" s="65" t="s">
        <v>31</v>
      </c>
      <c r="U341" s="26"/>
      <c r="V341" s="26"/>
      <c r="W341" s="26"/>
      <c r="X341" s="26"/>
      <c r="Y341" s="26"/>
      <c r="Z341" s="26"/>
      <c r="AA341" s="26"/>
      <c r="AB341" s="26"/>
      <c r="AC341" s="26"/>
    </row>
    <row r="342" ht="33.75" customHeight="1">
      <c r="A342" s="78" t="s">
        <v>602</v>
      </c>
      <c r="B342" s="79" t="s">
        <v>24</v>
      </c>
      <c r="C342" s="79" t="s">
        <v>595</v>
      </c>
      <c r="D342" s="79" t="s">
        <v>598</v>
      </c>
      <c r="E342" s="94" t="s">
        <v>599</v>
      </c>
      <c r="F342" s="95" t="s">
        <v>600</v>
      </c>
      <c r="G342" s="95" t="s">
        <v>168</v>
      </c>
      <c r="H342" s="97" t="s">
        <v>168</v>
      </c>
      <c r="I342" s="65"/>
      <c r="J342" s="95" t="s">
        <v>9</v>
      </c>
      <c r="K342" s="121" t="s">
        <v>9</v>
      </c>
      <c r="L342" s="129">
        <v>0.0</v>
      </c>
      <c r="M342" s="129">
        <f t="shared" si="284"/>
        <v>0</v>
      </c>
      <c r="N342" s="129">
        <v>0.0</v>
      </c>
      <c r="O342" s="130">
        <f t="shared" si="286"/>
        <v>0</v>
      </c>
      <c r="P342" s="159"/>
      <c r="Q342" s="131">
        <f t="shared" si="285"/>
        <v>0</v>
      </c>
      <c r="R342" s="132"/>
      <c r="S342" s="132"/>
      <c r="T342" s="65" t="s">
        <v>32</v>
      </c>
      <c r="U342" s="26"/>
      <c r="V342" s="26"/>
      <c r="W342" s="26"/>
      <c r="X342" s="26"/>
      <c r="Y342" s="26"/>
      <c r="Z342" s="26"/>
      <c r="AA342" s="26"/>
      <c r="AB342" s="26"/>
      <c r="AC342" s="26"/>
    </row>
    <row r="343" ht="33.75" customHeight="1">
      <c r="A343" s="78" t="s">
        <v>603</v>
      </c>
      <c r="B343" s="79" t="s">
        <v>24</v>
      </c>
      <c r="C343" s="79" t="s">
        <v>595</v>
      </c>
      <c r="D343" s="79" t="s">
        <v>598</v>
      </c>
      <c r="E343" s="94" t="s">
        <v>599</v>
      </c>
      <c r="F343" s="95" t="s">
        <v>600</v>
      </c>
      <c r="G343" s="95" t="s">
        <v>168</v>
      </c>
      <c r="H343" s="97" t="s">
        <v>168</v>
      </c>
      <c r="I343" s="65"/>
      <c r="J343" s="95" t="s">
        <v>9</v>
      </c>
      <c r="K343" s="121" t="s">
        <v>9</v>
      </c>
      <c r="L343" s="129">
        <v>0.0</v>
      </c>
      <c r="M343" s="129">
        <f t="shared" si="284"/>
        <v>0</v>
      </c>
      <c r="N343" s="129">
        <v>0.0</v>
      </c>
      <c r="O343" s="130">
        <f t="shared" si="286"/>
        <v>0</v>
      </c>
      <c r="P343" s="159"/>
      <c r="Q343" s="131">
        <f t="shared" si="285"/>
        <v>0</v>
      </c>
      <c r="R343" s="132"/>
      <c r="S343" s="132"/>
      <c r="T343" s="65" t="s">
        <v>70</v>
      </c>
      <c r="U343" s="26"/>
      <c r="V343" s="26"/>
      <c r="W343" s="26"/>
      <c r="X343" s="26"/>
      <c r="Y343" s="26"/>
      <c r="Z343" s="26"/>
      <c r="AA343" s="26"/>
      <c r="AB343" s="26"/>
      <c r="AC343" s="26"/>
    </row>
    <row r="344" ht="33.75" customHeight="1">
      <c r="A344" s="116" t="s">
        <v>604</v>
      </c>
      <c r="B344" s="77" t="s">
        <v>24</v>
      </c>
      <c r="C344" s="77" t="s">
        <v>595</v>
      </c>
      <c r="D344" s="77" t="s">
        <v>605</v>
      </c>
      <c r="E344" s="117" t="s">
        <v>606</v>
      </c>
      <c r="F344" s="118" t="s">
        <v>597</v>
      </c>
      <c r="G344" s="118" t="s">
        <v>168</v>
      </c>
      <c r="H344" s="54" t="s">
        <v>168</v>
      </c>
      <c r="I344" s="54"/>
      <c r="J344" s="118" t="s">
        <v>9</v>
      </c>
      <c r="K344" s="120" t="s">
        <v>9</v>
      </c>
      <c r="L344" s="51">
        <f>IF(COUNT(L345:N347)=0,"",SUM(L345:L347))</f>
        <v>1</v>
      </c>
      <c r="M344" s="51">
        <f t="shared" si="284"/>
        <v>1.5</v>
      </c>
      <c r="N344" s="51">
        <f>IF(COUNT(L345:N347)=0,"",SUM(N345:N347))</f>
        <v>2</v>
      </c>
      <c r="O344" s="51">
        <f>IF(COUNT(O345:O347)=0,"",SUM(O345:O347))</f>
        <v>1.5</v>
      </c>
      <c r="P344" s="52"/>
      <c r="Q344" s="51">
        <f t="shared" si="285"/>
        <v>1.5</v>
      </c>
      <c r="R344" s="53"/>
      <c r="S344" s="53"/>
      <c r="T344" s="54" t="s">
        <v>65</v>
      </c>
      <c r="U344" s="26"/>
      <c r="V344" s="26"/>
      <c r="W344" s="26"/>
      <c r="X344" s="26"/>
      <c r="Y344" s="26"/>
      <c r="Z344" s="26"/>
      <c r="AA344" s="26"/>
      <c r="AB344" s="26"/>
      <c r="AC344" s="26"/>
    </row>
    <row r="345" ht="33.75" customHeight="1">
      <c r="A345" s="78" t="s">
        <v>607</v>
      </c>
      <c r="B345" s="79" t="s">
        <v>24</v>
      </c>
      <c r="C345" s="79" t="s">
        <v>595</v>
      </c>
      <c r="D345" s="79" t="s">
        <v>605</v>
      </c>
      <c r="E345" s="94" t="s">
        <v>606</v>
      </c>
      <c r="F345" s="95" t="s">
        <v>597</v>
      </c>
      <c r="G345" s="95" t="s">
        <v>168</v>
      </c>
      <c r="H345" s="97" t="s">
        <v>168</v>
      </c>
      <c r="I345" s="65"/>
      <c r="J345" s="95" t="s">
        <v>9</v>
      </c>
      <c r="K345" s="121" t="s">
        <v>9</v>
      </c>
      <c r="L345" s="129">
        <v>0.0</v>
      </c>
      <c r="M345" s="129">
        <f t="shared" si="284"/>
        <v>0</v>
      </c>
      <c r="N345" s="129">
        <v>0.0</v>
      </c>
      <c r="O345" s="130">
        <f t="shared" ref="O345:O347" si="287">IF(COUNT(L345:N345)=0,"",(L345+4*M345+N345)/6)</f>
        <v>0</v>
      </c>
      <c r="P345" s="159"/>
      <c r="Q345" s="131">
        <f t="shared" si="285"/>
        <v>0</v>
      </c>
      <c r="R345" s="132"/>
      <c r="S345" s="132"/>
      <c r="T345" s="65" t="s">
        <v>31</v>
      </c>
      <c r="U345" s="26"/>
      <c r="V345" s="26"/>
      <c r="W345" s="26"/>
      <c r="X345" s="26"/>
      <c r="Y345" s="26"/>
      <c r="Z345" s="26"/>
      <c r="AA345" s="26"/>
      <c r="AB345" s="26"/>
      <c r="AC345" s="26"/>
    </row>
    <row r="346" ht="33.75" customHeight="1">
      <c r="A346" s="78" t="s">
        <v>608</v>
      </c>
      <c r="B346" s="79" t="s">
        <v>24</v>
      </c>
      <c r="C346" s="79" t="s">
        <v>595</v>
      </c>
      <c r="D346" s="79" t="s">
        <v>605</v>
      </c>
      <c r="E346" s="94" t="s">
        <v>606</v>
      </c>
      <c r="F346" s="95" t="s">
        <v>597</v>
      </c>
      <c r="G346" s="95" t="s">
        <v>168</v>
      </c>
      <c r="H346" s="97" t="s">
        <v>168</v>
      </c>
      <c r="I346" s="65"/>
      <c r="J346" s="95" t="s">
        <v>9</v>
      </c>
      <c r="K346" s="121" t="s">
        <v>9</v>
      </c>
      <c r="L346" s="129">
        <v>0.5</v>
      </c>
      <c r="M346" s="129">
        <f t="shared" si="284"/>
        <v>0.75</v>
      </c>
      <c r="N346" s="129">
        <v>1.0</v>
      </c>
      <c r="O346" s="130">
        <f t="shared" si="287"/>
        <v>0.75</v>
      </c>
      <c r="P346" s="159"/>
      <c r="Q346" s="131">
        <f t="shared" si="285"/>
        <v>0.75</v>
      </c>
      <c r="R346" s="132"/>
      <c r="S346" s="132"/>
      <c r="T346" s="65" t="s">
        <v>32</v>
      </c>
      <c r="U346" s="26"/>
      <c r="V346" s="26"/>
      <c r="W346" s="26"/>
      <c r="X346" s="26"/>
      <c r="Y346" s="26"/>
      <c r="Z346" s="26"/>
      <c r="AA346" s="26"/>
      <c r="AB346" s="26"/>
      <c r="AC346" s="26"/>
    </row>
    <row r="347" ht="33.75" customHeight="1">
      <c r="A347" s="78" t="s">
        <v>609</v>
      </c>
      <c r="B347" s="79" t="s">
        <v>24</v>
      </c>
      <c r="C347" s="79" t="s">
        <v>595</v>
      </c>
      <c r="D347" s="79" t="s">
        <v>605</v>
      </c>
      <c r="E347" s="94" t="s">
        <v>606</v>
      </c>
      <c r="F347" s="95" t="s">
        <v>597</v>
      </c>
      <c r="G347" s="95" t="s">
        <v>168</v>
      </c>
      <c r="H347" s="97" t="s">
        <v>168</v>
      </c>
      <c r="I347" s="65"/>
      <c r="J347" s="95" t="s">
        <v>9</v>
      </c>
      <c r="K347" s="121" t="s">
        <v>9</v>
      </c>
      <c r="L347" s="129">
        <v>0.5</v>
      </c>
      <c r="M347" s="129">
        <f t="shared" si="284"/>
        <v>0.75</v>
      </c>
      <c r="N347" s="129">
        <v>1.0</v>
      </c>
      <c r="O347" s="130">
        <f t="shared" si="287"/>
        <v>0.75</v>
      </c>
      <c r="P347" s="159"/>
      <c r="Q347" s="131">
        <f t="shared" si="285"/>
        <v>0.75</v>
      </c>
      <c r="R347" s="132"/>
      <c r="S347" s="132"/>
      <c r="T347" s="65" t="s">
        <v>70</v>
      </c>
      <c r="U347" s="26"/>
      <c r="V347" s="26"/>
      <c r="W347" s="26"/>
      <c r="X347" s="26"/>
      <c r="Y347" s="26"/>
      <c r="Z347" s="26"/>
      <c r="AA347" s="26"/>
      <c r="AB347" s="26"/>
      <c r="AC347" s="26"/>
    </row>
    <row r="348" ht="33.75" customHeight="1">
      <c r="A348" s="116" t="s">
        <v>610</v>
      </c>
      <c r="B348" s="77" t="s">
        <v>24</v>
      </c>
      <c r="C348" s="77" t="s">
        <v>595</v>
      </c>
      <c r="D348" s="77" t="s">
        <v>611</v>
      </c>
      <c r="E348" s="117" t="s">
        <v>612</v>
      </c>
      <c r="F348" s="118" t="s">
        <v>613</v>
      </c>
      <c r="G348" s="118" t="s">
        <v>168</v>
      </c>
      <c r="H348" s="54" t="s">
        <v>168</v>
      </c>
      <c r="I348" s="54"/>
      <c r="J348" s="118" t="s">
        <v>9</v>
      </c>
      <c r="K348" s="120" t="s">
        <v>9</v>
      </c>
      <c r="L348" s="51">
        <f>IF(COUNT(L349:N351)=0,"",SUM(L349:L351))</f>
        <v>1.5</v>
      </c>
      <c r="M348" s="51">
        <f t="shared" si="284"/>
        <v>2.375</v>
      </c>
      <c r="N348" s="51">
        <f>IF(COUNT(L349:N351)=0,"",SUM(N349:N351))</f>
        <v>3.25</v>
      </c>
      <c r="O348" s="51">
        <f>IF(COUNT(O349:O351)=0,"",SUM(O349:O351))</f>
        <v>2.375</v>
      </c>
      <c r="P348" s="52"/>
      <c r="Q348" s="51">
        <f t="shared" si="285"/>
        <v>2.375</v>
      </c>
      <c r="R348" s="53"/>
      <c r="S348" s="53"/>
      <c r="T348" s="54" t="s">
        <v>65</v>
      </c>
      <c r="U348" s="26"/>
      <c r="V348" s="26"/>
      <c r="W348" s="26"/>
      <c r="X348" s="26"/>
      <c r="Y348" s="26"/>
      <c r="Z348" s="26"/>
      <c r="AA348" s="26"/>
      <c r="AB348" s="26"/>
      <c r="AC348" s="26"/>
    </row>
    <row r="349" ht="33.75" customHeight="1">
      <c r="A349" s="78" t="s">
        <v>614</v>
      </c>
      <c r="B349" s="79" t="s">
        <v>24</v>
      </c>
      <c r="C349" s="79" t="s">
        <v>595</v>
      </c>
      <c r="D349" s="79" t="s">
        <v>611</v>
      </c>
      <c r="E349" s="94" t="s">
        <v>612</v>
      </c>
      <c r="F349" s="95" t="s">
        <v>613</v>
      </c>
      <c r="G349" s="95" t="s">
        <v>168</v>
      </c>
      <c r="H349" s="97" t="s">
        <v>168</v>
      </c>
      <c r="I349" s="65"/>
      <c r="J349" s="95" t="s">
        <v>9</v>
      </c>
      <c r="K349" s="121" t="s">
        <v>9</v>
      </c>
      <c r="L349" s="129">
        <v>0.0</v>
      </c>
      <c r="M349" s="129">
        <f t="shared" si="284"/>
        <v>0</v>
      </c>
      <c r="N349" s="129">
        <v>0.0</v>
      </c>
      <c r="O349" s="130">
        <f t="shared" ref="O349:O351" si="288">IF(COUNT(L349:N349)=0,"",(L349+4*M349+N349)/6)</f>
        <v>0</v>
      </c>
      <c r="P349" s="159"/>
      <c r="Q349" s="131">
        <f t="shared" si="285"/>
        <v>0</v>
      </c>
      <c r="R349" s="132"/>
      <c r="S349" s="132"/>
      <c r="T349" s="65" t="s">
        <v>31</v>
      </c>
      <c r="U349" s="26"/>
      <c r="V349" s="26"/>
      <c r="W349" s="26"/>
      <c r="X349" s="26"/>
      <c r="Y349" s="26"/>
      <c r="Z349" s="26"/>
      <c r="AA349" s="26"/>
      <c r="AB349" s="26"/>
      <c r="AC349" s="26"/>
    </row>
    <row r="350" ht="33.75" customHeight="1">
      <c r="A350" s="78" t="s">
        <v>615</v>
      </c>
      <c r="B350" s="79" t="s">
        <v>24</v>
      </c>
      <c r="C350" s="79" t="s">
        <v>595</v>
      </c>
      <c r="D350" s="79" t="s">
        <v>611</v>
      </c>
      <c r="E350" s="94" t="s">
        <v>612</v>
      </c>
      <c r="F350" s="95" t="s">
        <v>613</v>
      </c>
      <c r="G350" s="95" t="s">
        <v>168</v>
      </c>
      <c r="H350" s="97" t="s">
        <v>168</v>
      </c>
      <c r="I350" s="65"/>
      <c r="J350" s="95" t="s">
        <v>9</v>
      </c>
      <c r="K350" s="121" t="s">
        <v>9</v>
      </c>
      <c r="L350" s="129">
        <v>1.0</v>
      </c>
      <c r="M350" s="129">
        <f t="shared" si="284"/>
        <v>1.375</v>
      </c>
      <c r="N350" s="128">
        <v>1.75</v>
      </c>
      <c r="O350" s="130">
        <f t="shared" si="288"/>
        <v>1.375</v>
      </c>
      <c r="P350" s="159"/>
      <c r="Q350" s="131">
        <f t="shared" si="285"/>
        <v>1.375</v>
      </c>
      <c r="R350" s="132"/>
      <c r="S350" s="132"/>
      <c r="T350" s="65" t="s">
        <v>32</v>
      </c>
      <c r="U350" s="26"/>
      <c r="V350" s="26"/>
      <c r="W350" s="26"/>
      <c r="X350" s="26"/>
      <c r="Y350" s="26"/>
      <c r="Z350" s="26"/>
      <c r="AA350" s="26"/>
      <c r="AB350" s="26"/>
      <c r="AC350" s="26"/>
    </row>
    <row r="351" ht="33.75" customHeight="1">
      <c r="A351" s="78" t="s">
        <v>616</v>
      </c>
      <c r="B351" s="79" t="s">
        <v>24</v>
      </c>
      <c r="C351" s="79" t="s">
        <v>595</v>
      </c>
      <c r="D351" s="79" t="s">
        <v>611</v>
      </c>
      <c r="E351" s="94" t="s">
        <v>612</v>
      </c>
      <c r="F351" s="95" t="s">
        <v>613</v>
      </c>
      <c r="G351" s="95" t="s">
        <v>168</v>
      </c>
      <c r="H351" s="97" t="s">
        <v>168</v>
      </c>
      <c r="I351" s="65"/>
      <c r="J351" s="95" t="s">
        <v>9</v>
      </c>
      <c r="K351" s="121" t="s">
        <v>9</v>
      </c>
      <c r="L351" s="129">
        <v>0.5</v>
      </c>
      <c r="M351" s="129">
        <f t="shared" si="284"/>
        <v>1</v>
      </c>
      <c r="N351" s="129">
        <v>1.5</v>
      </c>
      <c r="O351" s="130">
        <f t="shared" si="288"/>
        <v>1</v>
      </c>
      <c r="P351" s="159"/>
      <c r="Q351" s="131">
        <f t="shared" si="285"/>
        <v>1</v>
      </c>
      <c r="R351" s="132"/>
      <c r="S351" s="132"/>
      <c r="T351" s="65" t="s">
        <v>70</v>
      </c>
      <c r="U351" s="26"/>
      <c r="V351" s="26"/>
      <c r="W351" s="26"/>
      <c r="X351" s="26"/>
      <c r="Y351" s="26"/>
      <c r="Z351" s="26"/>
      <c r="AA351" s="26"/>
      <c r="AB351" s="26"/>
      <c r="AC351" s="26"/>
    </row>
    <row r="352" ht="33.75" customHeight="1">
      <c r="A352" s="116" t="s">
        <v>617</v>
      </c>
      <c r="B352" s="77" t="s">
        <v>24</v>
      </c>
      <c r="C352" s="77" t="s">
        <v>595</v>
      </c>
      <c r="D352" s="77" t="s">
        <v>618</v>
      </c>
      <c r="E352" s="117" t="s">
        <v>619</v>
      </c>
      <c r="F352" s="118" t="s">
        <v>620</v>
      </c>
      <c r="G352" s="118" t="s">
        <v>168</v>
      </c>
      <c r="H352" s="119" t="s">
        <v>168</v>
      </c>
      <c r="I352" s="54"/>
      <c r="J352" s="118" t="s">
        <v>9</v>
      </c>
      <c r="K352" s="120" t="s">
        <v>9</v>
      </c>
      <c r="L352" s="51">
        <f>IF(COUNT(L353:N355)=0,"",SUM(L353:L355))</f>
        <v>1.25</v>
      </c>
      <c r="M352" s="51">
        <f t="shared" si="284"/>
        <v>1.875</v>
      </c>
      <c r="N352" s="51">
        <f>IF(COUNT(L353:N355)=0,"",SUM(N353:N355))</f>
        <v>2.5</v>
      </c>
      <c r="O352" s="51">
        <f>IF(COUNT(O353:O355)=0,"",SUM(O353:O355))</f>
        <v>1.875</v>
      </c>
      <c r="P352" s="52"/>
      <c r="Q352" s="51">
        <f t="shared" si="285"/>
        <v>1.875</v>
      </c>
      <c r="R352" s="53"/>
      <c r="S352" s="53"/>
      <c r="T352" s="54" t="s">
        <v>65</v>
      </c>
      <c r="U352" s="26"/>
      <c r="V352" s="26"/>
      <c r="W352" s="26"/>
      <c r="X352" s="26"/>
      <c r="Y352" s="26"/>
      <c r="Z352" s="26"/>
      <c r="AA352" s="26"/>
      <c r="AB352" s="26"/>
      <c r="AC352" s="26"/>
    </row>
    <row r="353" ht="33.75" customHeight="1">
      <c r="A353" s="78" t="s">
        <v>621</v>
      </c>
      <c r="B353" s="79" t="s">
        <v>24</v>
      </c>
      <c r="C353" s="79" t="s">
        <v>595</v>
      </c>
      <c r="D353" s="79" t="s">
        <v>618</v>
      </c>
      <c r="E353" s="94" t="s">
        <v>619</v>
      </c>
      <c r="F353" s="95" t="s">
        <v>620</v>
      </c>
      <c r="G353" s="95" t="s">
        <v>168</v>
      </c>
      <c r="H353" s="65" t="s">
        <v>168</v>
      </c>
      <c r="I353" s="65"/>
      <c r="J353" s="95" t="s">
        <v>9</v>
      </c>
      <c r="K353" s="121" t="s">
        <v>9</v>
      </c>
      <c r="L353" s="129">
        <v>1.0</v>
      </c>
      <c r="M353" s="129">
        <f t="shared" si="284"/>
        <v>1.5</v>
      </c>
      <c r="N353" s="129">
        <v>2.0</v>
      </c>
      <c r="O353" s="130">
        <f t="shared" ref="O353:O355" si="289">IF(COUNT(L353:N353)=0,"",(L353+4*M353+N353)/6)</f>
        <v>1.5</v>
      </c>
      <c r="P353" s="159"/>
      <c r="Q353" s="131">
        <f t="shared" si="285"/>
        <v>1.5</v>
      </c>
      <c r="R353" s="132"/>
      <c r="S353" s="132"/>
      <c r="T353" s="65" t="s">
        <v>31</v>
      </c>
      <c r="U353" s="26"/>
      <c r="V353" s="26"/>
      <c r="W353" s="26"/>
      <c r="X353" s="26"/>
      <c r="Y353" s="26"/>
      <c r="Z353" s="26"/>
      <c r="AA353" s="26"/>
      <c r="AB353" s="26"/>
      <c r="AC353" s="26"/>
    </row>
    <row r="354" ht="33.75" customHeight="1">
      <c r="A354" s="78" t="s">
        <v>622</v>
      </c>
      <c r="B354" s="79" t="s">
        <v>24</v>
      </c>
      <c r="C354" s="79" t="s">
        <v>595</v>
      </c>
      <c r="D354" s="79" t="s">
        <v>618</v>
      </c>
      <c r="E354" s="94" t="s">
        <v>619</v>
      </c>
      <c r="F354" s="95" t="s">
        <v>620</v>
      </c>
      <c r="G354" s="95" t="s">
        <v>168</v>
      </c>
      <c r="H354" s="65" t="s">
        <v>168</v>
      </c>
      <c r="I354" s="65"/>
      <c r="J354" s="95" t="s">
        <v>9</v>
      </c>
      <c r="K354" s="121" t="s">
        <v>9</v>
      </c>
      <c r="L354" s="129">
        <v>0.0</v>
      </c>
      <c r="M354" s="129">
        <f t="shared" si="284"/>
        <v>0</v>
      </c>
      <c r="N354" s="129">
        <v>0.0</v>
      </c>
      <c r="O354" s="130">
        <f t="shared" si="289"/>
        <v>0</v>
      </c>
      <c r="P354" s="159"/>
      <c r="Q354" s="131">
        <f t="shared" si="285"/>
        <v>0</v>
      </c>
      <c r="R354" s="132"/>
      <c r="S354" s="132"/>
      <c r="T354" s="65" t="s">
        <v>32</v>
      </c>
      <c r="U354" s="26"/>
      <c r="V354" s="26"/>
      <c r="W354" s="26"/>
      <c r="X354" s="26"/>
      <c r="Y354" s="26"/>
      <c r="Z354" s="26"/>
      <c r="AA354" s="26"/>
      <c r="AB354" s="26"/>
      <c r="AC354" s="26"/>
    </row>
    <row r="355" ht="33.75" customHeight="1">
      <c r="A355" s="78" t="s">
        <v>623</v>
      </c>
      <c r="B355" s="79" t="s">
        <v>24</v>
      </c>
      <c r="C355" s="79" t="s">
        <v>595</v>
      </c>
      <c r="D355" s="79" t="s">
        <v>618</v>
      </c>
      <c r="E355" s="94" t="s">
        <v>619</v>
      </c>
      <c r="F355" s="95" t="s">
        <v>620</v>
      </c>
      <c r="G355" s="95" t="s">
        <v>168</v>
      </c>
      <c r="H355" s="65" t="s">
        <v>168</v>
      </c>
      <c r="I355" s="65"/>
      <c r="J355" s="95" t="s">
        <v>9</v>
      </c>
      <c r="K355" s="121" t="s">
        <v>9</v>
      </c>
      <c r="L355" s="129">
        <v>0.25</v>
      </c>
      <c r="M355" s="129">
        <f t="shared" si="284"/>
        <v>0.375</v>
      </c>
      <c r="N355" s="129">
        <v>0.5</v>
      </c>
      <c r="O355" s="130">
        <f t="shared" si="289"/>
        <v>0.375</v>
      </c>
      <c r="P355" s="159"/>
      <c r="Q355" s="131">
        <f t="shared" si="285"/>
        <v>0.375</v>
      </c>
      <c r="R355" s="132"/>
      <c r="S355" s="132"/>
      <c r="T355" s="65" t="s">
        <v>70</v>
      </c>
      <c r="U355" s="26"/>
      <c r="V355" s="26"/>
      <c r="W355" s="26"/>
      <c r="X355" s="26"/>
      <c r="Y355" s="26"/>
      <c r="Z355" s="26"/>
      <c r="AA355" s="26"/>
      <c r="AB355" s="26"/>
      <c r="AC355" s="26"/>
    </row>
    <row r="356" ht="33.75" customHeight="1">
      <c r="A356" s="127" t="s">
        <v>624</v>
      </c>
      <c r="B356" s="77" t="s">
        <v>24</v>
      </c>
      <c r="C356" s="77" t="s">
        <v>595</v>
      </c>
      <c r="D356" s="70" t="s">
        <v>625</v>
      </c>
      <c r="E356" s="167" t="s">
        <v>626</v>
      </c>
      <c r="F356" s="118"/>
      <c r="G356" s="118" t="s">
        <v>168</v>
      </c>
      <c r="H356" s="119" t="s">
        <v>168</v>
      </c>
      <c r="I356" s="54"/>
      <c r="J356" s="118" t="s">
        <v>9</v>
      </c>
      <c r="K356" s="120" t="s">
        <v>9</v>
      </c>
      <c r="L356" s="51">
        <f>IF(COUNT(L357:N359)=0,"",SUM(L357:L359))</f>
        <v>1.25</v>
      </c>
      <c r="M356" s="51">
        <f t="shared" si="284"/>
        <v>1.875</v>
      </c>
      <c r="N356" s="51">
        <f>IF(COUNT(L357:N359)=0,"",SUM(N357:N359))</f>
        <v>2.5</v>
      </c>
      <c r="O356" s="51">
        <f>IF(COUNT(O357:O359)=0,"",SUM(O357:O359))</f>
        <v>1.875</v>
      </c>
      <c r="P356" s="52"/>
      <c r="Q356" s="51">
        <f t="shared" si="285"/>
        <v>1.875</v>
      </c>
      <c r="R356" s="53"/>
      <c r="S356" s="53"/>
      <c r="T356" s="54" t="s">
        <v>65</v>
      </c>
      <c r="U356" s="26"/>
      <c r="V356" s="26"/>
      <c r="W356" s="26"/>
      <c r="X356" s="26"/>
      <c r="Y356" s="26"/>
      <c r="Z356" s="26"/>
      <c r="AA356" s="26"/>
      <c r="AB356" s="26"/>
      <c r="AC356" s="26"/>
    </row>
    <row r="357" ht="33.75" customHeight="1">
      <c r="A357" s="78" t="s">
        <v>627</v>
      </c>
      <c r="B357" s="79" t="s">
        <v>24</v>
      </c>
      <c r="C357" s="79" t="s">
        <v>595</v>
      </c>
      <c r="D357" s="56" t="s">
        <v>625</v>
      </c>
      <c r="E357" s="94" t="str">
        <f t="shared" ref="E357:K357" si="290">E356</f>
        <v>Workshop confirmed 21 April: the public voice is fixed. Implementation note not a feature in its own right, but needs an owner — usually the content approval process (Epic 13.5).</v>
      </c>
      <c r="F357" s="94" t="str">
        <f t="shared" si="290"/>
        <v/>
      </c>
      <c r="G357" s="94" t="str">
        <f t="shared" si="290"/>
        <v>M</v>
      </c>
      <c r="H357" s="94" t="str">
        <f t="shared" si="290"/>
        <v>M</v>
      </c>
      <c r="I357" s="94" t="str">
        <f t="shared" si="290"/>
        <v/>
      </c>
      <c r="J357" s="94" t="str">
        <f t="shared" si="290"/>
        <v>MVP</v>
      </c>
      <c r="K357" s="199" t="str">
        <f t="shared" si="290"/>
        <v>MVP</v>
      </c>
      <c r="L357" s="129">
        <v>1.0</v>
      </c>
      <c r="M357" s="129">
        <f t="shared" si="284"/>
        <v>1.5</v>
      </c>
      <c r="N357" s="129">
        <v>2.0</v>
      </c>
      <c r="O357" s="130">
        <f t="shared" ref="O357:O359" si="292">IF(COUNT(L357:N357)=0,"",(L357+4*M357+N357)/6)</f>
        <v>1.5</v>
      </c>
      <c r="P357" s="159"/>
      <c r="Q357" s="131">
        <f t="shared" si="285"/>
        <v>1.5</v>
      </c>
      <c r="R357" s="132"/>
      <c r="S357" s="132"/>
      <c r="T357" s="65" t="s">
        <v>31</v>
      </c>
      <c r="U357" s="26"/>
      <c r="V357" s="26"/>
      <c r="W357" s="26"/>
      <c r="X357" s="26"/>
      <c r="Y357" s="26"/>
      <c r="Z357" s="26"/>
      <c r="AA357" s="26"/>
      <c r="AB357" s="26"/>
      <c r="AC357" s="26"/>
    </row>
    <row r="358" ht="33.75" customHeight="1">
      <c r="A358" s="78" t="s">
        <v>628</v>
      </c>
      <c r="B358" s="79" t="s">
        <v>24</v>
      </c>
      <c r="C358" s="79" t="s">
        <v>595</v>
      </c>
      <c r="D358" s="56" t="s">
        <v>625</v>
      </c>
      <c r="E358" s="94" t="str">
        <f t="shared" ref="E358:K358" si="291">E357</f>
        <v>Workshop confirmed 21 April: the public voice is fixed. Implementation note not a feature in its own right, but needs an owner — usually the content approval process (Epic 13.5).</v>
      </c>
      <c r="F358" s="94" t="str">
        <f t="shared" si="291"/>
        <v/>
      </c>
      <c r="G358" s="94" t="str">
        <f t="shared" si="291"/>
        <v>M</v>
      </c>
      <c r="H358" s="94" t="str">
        <f t="shared" si="291"/>
        <v>M</v>
      </c>
      <c r="I358" s="94" t="str">
        <f t="shared" si="291"/>
        <v/>
      </c>
      <c r="J358" s="94" t="str">
        <f t="shared" si="291"/>
        <v>MVP</v>
      </c>
      <c r="K358" s="199" t="str">
        <f t="shared" si="291"/>
        <v>MVP</v>
      </c>
      <c r="L358" s="129">
        <v>0.0</v>
      </c>
      <c r="M358" s="129">
        <f t="shared" si="284"/>
        <v>0</v>
      </c>
      <c r="N358" s="129">
        <v>0.0</v>
      </c>
      <c r="O358" s="130">
        <f t="shared" si="292"/>
        <v>0</v>
      </c>
      <c r="P358" s="159"/>
      <c r="Q358" s="131">
        <f t="shared" si="285"/>
        <v>0</v>
      </c>
      <c r="R358" s="132"/>
      <c r="S358" s="132"/>
      <c r="T358" s="65" t="s">
        <v>32</v>
      </c>
      <c r="U358" s="26"/>
      <c r="V358" s="26"/>
      <c r="W358" s="26"/>
      <c r="X358" s="26"/>
      <c r="Y358" s="26"/>
      <c r="Z358" s="26"/>
      <c r="AA358" s="26"/>
      <c r="AB358" s="26"/>
      <c r="AC358" s="26"/>
    </row>
    <row r="359" ht="33.75" customHeight="1">
      <c r="A359" s="78" t="s">
        <v>629</v>
      </c>
      <c r="B359" s="79" t="s">
        <v>24</v>
      </c>
      <c r="C359" s="79" t="s">
        <v>595</v>
      </c>
      <c r="D359" s="56" t="s">
        <v>625</v>
      </c>
      <c r="E359" s="94" t="str">
        <f t="shared" ref="E359:K359" si="293">E358</f>
        <v>Workshop confirmed 21 April: the public voice is fixed. Implementation note not a feature in its own right, but needs an owner — usually the content approval process (Epic 13.5).</v>
      </c>
      <c r="F359" s="94" t="str">
        <f t="shared" si="293"/>
        <v/>
      </c>
      <c r="G359" s="94" t="str">
        <f t="shared" si="293"/>
        <v>M</v>
      </c>
      <c r="H359" s="94" t="str">
        <f t="shared" si="293"/>
        <v>M</v>
      </c>
      <c r="I359" s="94" t="str">
        <f t="shared" si="293"/>
        <v/>
      </c>
      <c r="J359" s="94" t="str">
        <f t="shared" si="293"/>
        <v>MVP</v>
      </c>
      <c r="K359" s="199" t="str">
        <f t="shared" si="293"/>
        <v>MVP</v>
      </c>
      <c r="L359" s="129">
        <v>0.25</v>
      </c>
      <c r="M359" s="129">
        <f t="shared" si="284"/>
        <v>0.375</v>
      </c>
      <c r="N359" s="129">
        <v>0.5</v>
      </c>
      <c r="O359" s="130">
        <f t="shared" si="292"/>
        <v>0.375</v>
      </c>
      <c r="P359" s="159"/>
      <c r="Q359" s="131">
        <f t="shared" si="285"/>
        <v>0.375</v>
      </c>
      <c r="R359" s="132"/>
      <c r="S359" s="132"/>
      <c r="T359" s="65" t="s">
        <v>70</v>
      </c>
      <c r="U359" s="26"/>
      <c r="V359" s="26"/>
      <c r="W359" s="26"/>
      <c r="X359" s="26"/>
      <c r="Y359" s="26"/>
      <c r="Z359" s="26"/>
      <c r="AA359" s="26"/>
      <c r="AB359" s="26"/>
      <c r="AC359" s="26"/>
    </row>
    <row r="360" ht="33.75" customHeight="1">
      <c r="A360" s="127" t="s">
        <v>630</v>
      </c>
      <c r="B360" s="77" t="s">
        <v>24</v>
      </c>
      <c r="C360" s="77" t="s">
        <v>595</v>
      </c>
      <c r="D360" s="70" t="s">
        <v>631</v>
      </c>
      <c r="E360" s="167" t="s">
        <v>632</v>
      </c>
      <c r="F360" s="118"/>
      <c r="G360" s="118" t="s">
        <v>168</v>
      </c>
      <c r="H360" s="119" t="s">
        <v>168</v>
      </c>
      <c r="I360" s="54"/>
      <c r="J360" s="118" t="s">
        <v>9</v>
      </c>
      <c r="K360" s="120" t="s">
        <v>9</v>
      </c>
      <c r="L360" s="51">
        <f>IF(COUNT(L361:N363)=0,"",SUM(L361:L363))</f>
        <v>1.25</v>
      </c>
      <c r="M360" s="51">
        <f t="shared" si="284"/>
        <v>1.875</v>
      </c>
      <c r="N360" s="51">
        <f>IF(COUNT(L361:N363)=0,"",SUM(N361:N363))</f>
        <v>2.5</v>
      </c>
      <c r="O360" s="51">
        <f>IF(COUNT(O361:O363)=0,"",SUM(O361:O363))</f>
        <v>1.875</v>
      </c>
      <c r="P360" s="52"/>
      <c r="Q360" s="51">
        <f t="shared" si="285"/>
        <v>1.875</v>
      </c>
      <c r="R360" s="53"/>
      <c r="S360" s="53"/>
      <c r="T360" s="54" t="s">
        <v>65</v>
      </c>
      <c r="U360" s="26"/>
      <c r="V360" s="26"/>
      <c r="W360" s="26"/>
      <c r="X360" s="26"/>
      <c r="Y360" s="26"/>
      <c r="Z360" s="26"/>
      <c r="AA360" s="26"/>
      <c r="AB360" s="26"/>
      <c r="AC360" s="26"/>
    </row>
    <row r="361" ht="33.75" customHeight="1">
      <c r="A361" s="78" t="s">
        <v>633</v>
      </c>
      <c r="B361" s="79" t="s">
        <v>24</v>
      </c>
      <c r="C361" s="79" t="s">
        <v>595</v>
      </c>
      <c r="D361" s="56" t="s">
        <v>631</v>
      </c>
      <c r="E361" s="94" t="str">
        <f t="shared" ref="E361:K361" si="294">E360</f>
        <v> Workshop 21 April: single-voice MVP with lightweight per-session dial. Selectable personality *types* deferred to later release — this is the minimal form.</v>
      </c>
      <c r="F361" s="94" t="str">
        <f t="shared" si="294"/>
        <v/>
      </c>
      <c r="G361" s="94" t="str">
        <f t="shared" si="294"/>
        <v>M</v>
      </c>
      <c r="H361" s="94" t="str">
        <f t="shared" si="294"/>
        <v>M</v>
      </c>
      <c r="I361" s="94" t="str">
        <f t="shared" si="294"/>
        <v/>
      </c>
      <c r="J361" s="94" t="str">
        <f t="shared" si="294"/>
        <v>MVP</v>
      </c>
      <c r="K361" s="199" t="str">
        <f t="shared" si="294"/>
        <v>MVP</v>
      </c>
      <c r="L361" s="180">
        <v>1.0</v>
      </c>
      <c r="M361" s="180">
        <f t="shared" ref="M361:M363" si="296">(N361+L361)/2</f>
        <v>1.5</v>
      </c>
      <c r="N361" s="180">
        <v>2.0</v>
      </c>
      <c r="O361" s="130">
        <f t="shared" ref="O361:O363" si="297">IF(COUNT(L361:N361)=0,"",(L361+4*M361+N361)/6)</f>
        <v>1.5</v>
      </c>
      <c r="P361" s="200"/>
      <c r="Q361" s="131">
        <f t="shared" ref="Q361:Q363" si="298">IF(O361="","",IF(P361="",O361,O361*(1+P361)))</f>
        <v>1.5</v>
      </c>
      <c r="R361" s="201"/>
      <c r="S361" s="201"/>
      <c r="T361" s="65" t="s">
        <v>31</v>
      </c>
      <c r="U361" s="26"/>
      <c r="V361" s="26"/>
      <c r="W361" s="26"/>
      <c r="X361" s="26"/>
      <c r="Y361" s="26"/>
      <c r="Z361" s="26"/>
      <c r="AA361" s="26"/>
      <c r="AB361" s="26"/>
      <c r="AC361" s="26"/>
    </row>
    <row r="362" ht="33.75" customHeight="1">
      <c r="A362" s="78" t="s">
        <v>634</v>
      </c>
      <c r="B362" s="79" t="s">
        <v>24</v>
      </c>
      <c r="C362" s="79" t="s">
        <v>595</v>
      </c>
      <c r="D362" s="56" t="s">
        <v>631</v>
      </c>
      <c r="E362" s="94" t="str">
        <f t="shared" ref="E362:K362" si="295">E361</f>
        <v> Workshop 21 April: single-voice MVP with lightweight per-session dial. Selectable personality *types* deferred to later release — this is the minimal form.</v>
      </c>
      <c r="F362" s="94" t="str">
        <f t="shared" si="295"/>
        <v/>
      </c>
      <c r="G362" s="94" t="str">
        <f t="shared" si="295"/>
        <v>M</v>
      </c>
      <c r="H362" s="94" t="str">
        <f t="shared" si="295"/>
        <v>M</v>
      </c>
      <c r="I362" s="94" t="str">
        <f t="shared" si="295"/>
        <v/>
      </c>
      <c r="J362" s="94" t="str">
        <f t="shared" si="295"/>
        <v>MVP</v>
      </c>
      <c r="K362" s="199" t="str">
        <f t="shared" si="295"/>
        <v>MVP</v>
      </c>
      <c r="L362" s="180">
        <v>0.0</v>
      </c>
      <c r="M362" s="180">
        <f t="shared" si="296"/>
        <v>0</v>
      </c>
      <c r="N362" s="180">
        <v>0.0</v>
      </c>
      <c r="O362" s="130">
        <f t="shared" si="297"/>
        <v>0</v>
      </c>
      <c r="P362" s="200"/>
      <c r="Q362" s="131">
        <f t="shared" si="298"/>
        <v>0</v>
      </c>
      <c r="R362" s="201"/>
      <c r="S362" s="201"/>
      <c r="T362" s="65" t="s">
        <v>32</v>
      </c>
      <c r="U362" s="26"/>
      <c r="V362" s="26"/>
      <c r="W362" s="26"/>
      <c r="X362" s="26"/>
      <c r="Y362" s="26"/>
      <c r="Z362" s="26"/>
      <c r="AA362" s="26"/>
      <c r="AB362" s="26"/>
      <c r="AC362" s="26"/>
    </row>
    <row r="363" ht="33.75" customHeight="1">
      <c r="A363" s="78" t="s">
        <v>635</v>
      </c>
      <c r="B363" s="79" t="s">
        <v>24</v>
      </c>
      <c r="C363" s="79" t="s">
        <v>595</v>
      </c>
      <c r="D363" s="56" t="s">
        <v>631</v>
      </c>
      <c r="E363" s="94" t="str">
        <f t="shared" ref="E363:K363" si="299">E362</f>
        <v> Workshop 21 April: single-voice MVP with lightweight per-session dial. Selectable personality *types* deferred to later release — this is the minimal form.</v>
      </c>
      <c r="F363" s="94" t="str">
        <f t="shared" si="299"/>
        <v/>
      </c>
      <c r="G363" s="94" t="str">
        <f t="shared" si="299"/>
        <v>M</v>
      </c>
      <c r="H363" s="94" t="str">
        <f t="shared" si="299"/>
        <v>M</v>
      </c>
      <c r="I363" s="94" t="str">
        <f t="shared" si="299"/>
        <v/>
      </c>
      <c r="J363" s="94" t="str">
        <f t="shared" si="299"/>
        <v>MVP</v>
      </c>
      <c r="K363" s="199" t="str">
        <f t="shared" si="299"/>
        <v>MVP</v>
      </c>
      <c r="L363" s="180">
        <v>0.25</v>
      </c>
      <c r="M363" s="180">
        <f t="shared" si="296"/>
        <v>0.375</v>
      </c>
      <c r="N363" s="180">
        <v>0.5</v>
      </c>
      <c r="O363" s="130">
        <f t="shared" si="297"/>
        <v>0.375</v>
      </c>
      <c r="P363" s="200"/>
      <c r="Q363" s="131">
        <f t="shared" si="298"/>
        <v>0.375</v>
      </c>
      <c r="R363" s="201"/>
      <c r="S363" s="201"/>
      <c r="T363" s="65" t="s">
        <v>70</v>
      </c>
      <c r="U363" s="26"/>
      <c r="V363" s="26"/>
      <c r="W363" s="26"/>
      <c r="X363" s="26"/>
      <c r="Y363" s="26"/>
      <c r="Z363" s="26"/>
      <c r="AA363" s="26"/>
      <c r="AB363" s="26"/>
      <c r="AC363" s="26"/>
    </row>
    <row r="364" ht="33.75" customHeight="1">
      <c r="A364" s="112" t="s">
        <v>636</v>
      </c>
      <c r="B364" s="38" t="s">
        <v>24</v>
      </c>
      <c r="C364" s="38" t="s">
        <v>637</v>
      </c>
      <c r="D364" s="38" t="s">
        <v>637</v>
      </c>
      <c r="E364" s="113" t="s">
        <v>638</v>
      </c>
      <c r="F364" s="114"/>
      <c r="G364" s="114"/>
      <c r="H364" s="123"/>
      <c r="I364" s="123"/>
      <c r="J364" s="114"/>
      <c r="K364" s="115"/>
      <c r="L364" s="42">
        <f>IF(COUNT(L365,L369,L373,L377,L381,L385)=0,"",SUM(L365,L369,L373,L377,L381,L385))</f>
        <v>9.5</v>
      </c>
      <c r="M364" s="42">
        <f t="shared" ref="M364:M432" si="301">(N364+L364)/2</f>
        <v>14.75</v>
      </c>
      <c r="N364" s="42">
        <f>IF(COUNT(N365,N369,N373,N377,N381,N385)=0,"",SUM(N365,N369,N373,N377,N381,N385))</f>
        <v>20</v>
      </c>
      <c r="O364" s="42">
        <f>IF(COUNT(O365,O369,O373,O377,O381,O385, O389)=0,"",SUM(O365,O369,O373,O377,O381,O385, O389))</f>
        <v>17</v>
      </c>
      <c r="P364" s="43"/>
      <c r="Q364" s="42">
        <f>IF(COUNT(Q365,Q369,Q373,Q377,Q381,Q385, Q389)=0,"",SUM(Q365,Q369,Q373,Q377,Q381,Q385, Q389))</f>
        <v>17</v>
      </c>
      <c r="R364" s="126"/>
      <c r="S364" s="126"/>
      <c r="T364" s="123" t="s">
        <v>62</v>
      </c>
      <c r="U364" s="179"/>
      <c r="V364" s="179"/>
      <c r="W364" s="179"/>
      <c r="X364" s="105">
        <f t="shared" ref="X364:AA364" si="300">L364</f>
        <v>9.5</v>
      </c>
      <c r="Y364" s="105">
        <f t="shared" si="300"/>
        <v>14.75</v>
      </c>
      <c r="Z364" s="105">
        <f t="shared" si="300"/>
        <v>20</v>
      </c>
      <c r="AA364" s="105">
        <f t="shared" si="300"/>
        <v>17</v>
      </c>
      <c r="AB364" s="179"/>
      <c r="AC364" s="105">
        <f>Q364</f>
        <v>17</v>
      </c>
    </row>
    <row r="365" ht="33.75" customHeight="1">
      <c r="A365" s="116" t="s">
        <v>639</v>
      </c>
      <c r="B365" s="77" t="s">
        <v>24</v>
      </c>
      <c r="C365" s="77" t="s">
        <v>637</v>
      </c>
      <c r="D365" s="77" t="s">
        <v>640</v>
      </c>
      <c r="E365" s="117" t="s">
        <v>641</v>
      </c>
      <c r="F365" s="118" t="s">
        <v>642</v>
      </c>
      <c r="G365" s="118" t="s">
        <v>168</v>
      </c>
      <c r="H365" s="119" t="s">
        <v>168</v>
      </c>
      <c r="I365" s="119"/>
      <c r="J365" s="118" t="s">
        <v>9</v>
      </c>
      <c r="K365" s="120" t="s">
        <v>9</v>
      </c>
      <c r="L365" s="51">
        <f>IF(COUNT(L366:N368)=0,"",SUM(L366:L368))</f>
        <v>0</v>
      </c>
      <c r="M365" s="51">
        <f t="shared" si="301"/>
        <v>0</v>
      </c>
      <c r="N365" s="51">
        <f>IF(COUNT(L366:N368)=0,"",SUM(N366:N368))</f>
        <v>0</v>
      </c>
      <c r="O365" s="51">
        <f>IF(COUNT(O366:O368)=0,"",SUM(O366:O368))</f>
        <v>0</v>
      </c>
      <c r="P365" s="52"/>
      <c r="Q365" s="202">
        <f t="shared" ref="Q365:Q392" si="302">IF(O365="","",IF(P365="",O365,O365*(1+P365)))</f>
        <v>0</v>
      </c>
      <c r="R365" s="163"/>
      <c r="S365" s="163"/>
      <c r="T365" s="119" t="s">
        <v>65</v>
      </c>
      <c r="U365" s="26"/>
      <c r="V365" s="26"/>
      <c r="W365" s="26"/>
      <c r="X365" s="26"/>
      <c r="Y365" s="26"/>
      <c r="Z365" s="26"/>
      <c r="AA365" s="26"/>
      <c r="AB365" s="26"/>
      <c r="AC365" s="26"/>
    </row>
    <row r="366" ht="33.75" customHeight="1">
      <c r="A366" s="78" t="s">
        <v>643</v>
      </c>
      <c r="B366" s="79" t="s">
        <v>24</v>
      </c>
      <c r="C366" s="79" t="s">
        <v>637</v>
      </c>
      <c r="D366" s="79" t="s">
        <v>640</v>
      </c>
      <c r="E366" s="94" t="s">
        <v>641</v>
      </c>
      <c r="F366" s="95" t="s">
        <v>642</v>
      </c>
      <c r="G366" s="95" t="s">
        <v>168</v>
      </c>
      <c r="H366" s="65" t="s">
        <v>168</v>
      </c>
      <c r="I366" s="65"/>
      <c r="J366" s="95" t="s">
        <v>9</v>
      </c>
      <c r="K366" s="121" t="s">
        <v>9</v>
      </c>
      <c r="L366" s="129">
        <v>0.0</v>
      </c>
      <c r="M366" s="129">
        <f t="shared" si="301"/>
        <v>0</v>
      </c>
      <c r="N366" s="129">
        <v>0.0</v>
      </c>
      <c r="O366" s="130">
        <f t="shared" ref="O366:O368" si="303">IF(COUNT(L366:N366)=0,"",(L366+4*M366+N366)/6)</f>
        <v>0</v>
      </c>
      <c r="P366" s="159"/>
      <c r="Q366" s="131">
        <f t="shared" si="302"/>
        <v>0</v>
      </c>
      <c r="R366" s="132"/>
      <c r="S366" s="132"/>
      <c r="T366" s="65" t="s">
        <v>31</v>
      </c>
      <c r="U366" s="26"/>
      <c r="V366" s="26"/>
      <c r="W366" s="26"/>
      <c r="X366" s="26"/>
      <c r="Y366" s="26"/>
      <c r="Z366" s="26"/>
      <c r="AA366" s="26"/>
      <c r="AB366" s="26"/>
      <c r="AC366" s="26"/>
    </row>
    <row r="367" ht="33.75" customHeight="1">
      <c r="A367" s="78" t="s">
        <v>644</v>
      </c>
      <c r="B367" s="79" t="s">
        <v>24</v>
      </c>
      <c r="C367" s="79" t="s">
        <v>637</v>
      </c>
      <c r="D367" s="79" t="s">
        <v>640</v>
      </c>
      <c r="E367" s="94" t="s">
        <v>641</v>
      </c>
      <c r="F367" s="95" t="s">
        <v>642</v>
      </c>
      <c r="G367" s="95" t="s">
        <v>168</v>
      </c>
      <c r="H367" s="65" t="s">
        <v>168</v>
      </c>
      <c r="I367" s="65"/>
      <c r="J367" s="95" t="s">
        <v>9</v>
      </c>
      <c r="K367" s="121" t="s">
        <v>9</v>
      </c>
      <c r="L367" s="129">
        <v>0.0</v>
      </c>
      <c r="M367" s="129">
        <f t="shared" si="301"/>
        <v>0</v>
      </c>
      <c r="N367" s="129">
        <v>0.0</v>
      </c>
      <c r="O367" s="130">
        <f t="shared" si="303"/>
        <v>0</v>
      </c>
      <c r="P367" s="159"/>
      <c r="Q367" s="131">
        <f t="shared" si="302"/>
        <v>0</v>
      </c>
      <c r="R367" s="132"/>
      <c r="S367" s="132"/>
      <c r="T367" s="65" t="s">
        <v>32</v>
      </c>
      <c r="U367" s="26"/>
      <c r="V367" s="26"/>
      <c r="W367" s="26"/>
      <c r="X367" s="26"/>
      <c r="Y367" s="26"/>
      <c r="Z367" s="26"/>
      <c r="AA367" s="26"/>
      <c r="AB367" s="26"/>
      <c r="AC367" s="26"/>
    </row>
    <row r="368" ht="33.75" customHeight="1">
      <c r="A368" s="78" t="s">
        <v>645</v>
      </c>
      <c r="B368" s="79" t="s">
        <v>24</v>
      </c>
      <c r="C368" s="79" t="s">
        <v>637</v>
      </c>
      <c r="D368" s="79" t="s">
        <v>640</v>
      </c>
      <c r="E368" s="94" t="s">
        <v>641</v>
      </c>
      <c r="F368" s="95" t="s">
        <v>642</v>
      </c>
      <c r="G368" s="95" t="s">
        <v>168</v>
      </c>
      <c r="H368" s="65" t="s">
        <v>168</v>
      </c>
      <c r="I368" s="65"/>
      <c r="J368" s="95" t="s">
        <v>9</v>
      </c>
      <c r="K368" s="121" t="s">
        <v>9</v>
      </c>
      <c r="L368" s="129">
        <v>0.0</v>
      </c>
      <c r="M368" s="129">
        <f t="shared" si="301"/>
        <v>0</v>
      </c>
      <c r="N368" s="129">
        <v>0.0</v>
      </c>
      <c r="O368" s="130">
        <f t="shared" si="303"/>
        <v>0</v>
      </c>
      <c r="P368" s="159"/>
      <c r="Q368" s="131">
        <f t="shared" si="302"/>
        <v>0</v>
      </c>
      <c r="R368" s="132"/>
      <c r="S368" s="132"/>
      <c r="T368" s="65" t="s">
        <v>70</v>
      </c>
      <c r="U368" s="26"/>
      <c r="V368" s="26"/>
      <c r="W368" s="26"/>
      <c r="X368" s="26"/>
      <c r="Y368" s="26"/>
      <c r="Z368" s="26"/>
      <c r="AA368" s="26"/>
      <c r="AB368" s="26"/>
      <c r="AC368" s="26"/>
    </row>
    <row r="369" ht="33.75" customHeight="1">
      <c r="A369" s="116" t="s">
        <v>646</v>
      </c>
      <c r="B369" s="77" t="s">
        <v>24</v>
      </c>
      <c r="C369" s="77" t="s">
        <v>637</v>
      </c>
      <c r="D369" s="77" t="s">
        <v>647</v>
      </c>
      <c r="E369" s="117" t="s">
        <v>648</v>
      </c>
      <c r="F369" s="118" t="s">
        <v>649</v>
      </c>
      <c r="G369" s="118" t="s">
        <v>200</v>
      </c>
      <c r="H369" s="119" t="s">
        <v>200</v>
      </c>
      <c r="I369" s="119"/>
      <c r="J369" s="118" t="s">
        <v>9</v>
      </c>
      <c r="K369" s="120" t="s">
        <v>9</v>
      </c>
      <c r="L369" s="51">
        <f>IF(COUNT(L370:N372)=0,"",SUM(L370:L372))</f>
        <v>1.5</v>
      </c>
      <c r="M369" s="51">
        <f t="shared" si="301"/>
        <v>2.25</v>
      </c>
      <c r="N369" s="51">
        <f>IF(COUNT(L370:N372)=0,"",SUM(N370:N372))</f>
        <v>3</v>
      </c>
      <c r="O369" s="51">
        <f>IF(COUNT(O370:O372)=0,"",SUM(O370:O372))</f>
        <v>2.25</v>
      </c>
      <c r="P369" s="52"/>
      <c r="Q369" s="202">
        <f t="shared" si="302"/>
        <v>2.25</v>
      </c>
      <c r="R369" s="163"/>
      <c r="S369" s="163"/>
      <c r="T369" s="119" t="s">
        <v>65</v>
      </c>
      <c r="U369" s="26"/>
      <c r="V369" s="26"/>
      <c r="W369" s="26"/>
      <c r="X369" s="26"/>
      <c r="Y369" s="26"/>
      <c r="Z369" s="26"/>
      <c r="AA369" s="26"/>
      <c r="AB369" s="26"/>
      <c r="AC369" s="26"/>
    </row>
    <row r="370" ht="33.75" customHeight="1">
      <c r="A370" s="78" t="s">
        <v>650</v>
      </c>
      <c r="B370" s="79" t="s">
        <v>24</v>
      </c>
      <c r="C370" s="79" t="s">
        <v>637</v>
      </c>
      <c r="D370" s="79" t="s">
        <v>647</v>
      </c>
      <c r="E370" s="94" t="s">
        <v>648</v>
      </c>
      <c r="F370" s="95" t="s">
        <v>649</v>
      </c>
      <c r="G370" s="95" t="s">
        <v>200</v>
      </c>
      <c r="H370" s="65" t="s">
        <v>200</v>
      </c>
      <c r="I370" s="65"/>
      <c r="J370" s="95" t="s">
        <v>9</v>
      </c>
      <c r="K370" s="121" t="s">
        <v>9</v>
      </c>
      <c r="L370" s="129">
        <v>0.0</v>
      </c>
      <c r="M370" s="129">
        <f t="shared" si="301"/>
        <v>0</v>
      </c>
      <c r="N370" s="129">
        <v>0.0</v>
      </c>
      <c r="O370" s="130">
        <f t="shared" ref="O370:O372" si="304">IF(COUNT(L370:N370)=0,"",(L370+4*M370+N370)/6)</f>
        <v>0</v>
      </c>
      <c r="P370" s="159"/>
      <c r="Q370" s="131">
        <f t="shared" si="302"/>
        <v>0</v>
      </c>
      <c r="R370" s="132"/>
      <c r="S370" s="132"/>
      <c r="T370" s="65" t="s">
        <v>31</v>
      </c>
      <c r="U370" s="26"/>
      <c r="V370" s="26"/>
      <c r="W370" s="26"/>
      <c r="X370" s="26"/>
      <c r="Y370" s="26"/>
      <c r="Z370" s="26"/>
      <c r="AA370" s="26"/>
      <c r="AB370" s="26"/>
      <c r="AC370" s="26"/>
    </row>
    <row r="371" ht="33.75" customHeight="1">
      <c r="A371" s="78" t="s">
        <v>651</v>
      </c>
      <c r="B371" s="79" t="s">
        <v>24</v>
      </c>
      <c r="C371" s="79" t="s">
        <v>637</v>
      </c>
      <c r="D371" s="79" t="s">
        <v>647</v>
      </c>
      <c r="E371" s="94" t="s">
        <v>648</v>
      </c>
      <c r="F371" s="95" t="s">
        <v>649</v>
      </c>
      <c r="G371" s="95" t="s">
        <v>200</v>
      </c>
      <c r="H371" s="65" t="s">
        <v>200</v>
      </c>
      <c r="I371" s="65"/>
      <c r="J371" s="95" t="s">
        <v>9</v>
      </c>
      <c r="K371" s="121" t="s">
        <v>9</v>
      </c>
      <c r="L371" s="129">
        <v>1.0</v>
      </c>
      <c r="M371" s="129">
        <f t="shared" si="301"/>
        <v>1.5</v>
      </c>
      <c r="N371" s="128">
        <v>2.0</v>
      </c>
      <c r="O371" s="130">
        <f t="shared" si="304"/>
        <v>1.5</v>
      </c>
      <c r="P371" s="159"/>
      <c r="Q371" s="131">
        <f t="shared" si="302"/>
        <v>1.5</v>
      </c>
      <c r="R371" s="132"/>
      <c r="S371" s="132"/>
      <c r="T371" s="65" t="s">
        <v>32</v>
      </c>
      <c r="U371" s="26"/>
      <c r="V371" s="26"/>
      <c r="W371" s="26"/>
      <c r="X371" s="26"/>
      <c r="Y371" s="26"/>
      <c r="Z371" s="26"/>
      <c r="AA371" s="26"/>
      <c r="AB371" s="26"/>
      <c r="AC371" s="26"/>
    </row>
    <row r="372" ht="33.75" customHeight="1">
      <c r="A372" s="78" t="s">
        <v>652</v>
      </c>
      <c r="B372" s="79" t="s">
        <v>24</v>
      </c>
      <c r="C372" s="79" t="s">
        <v>637</v>
      </c>
      <c r="D372" s="79" t="s">
        <v>647</v>
      </c>
      <c r="E372" s="94" t="s">
        <v>648</v>
      </c>
      <c r="F372" s="95" t="s">
        <v>649</v>
      </c>
      <c r="G372" s="95" t="s">
        <v>200</v>
      </c>
      <c r="H372" s="65" t="s">
        <v>200</v>
      </c>
      <c r="I372" s="65"/>
      <c r="J372" s="95" t="s">
        <v>9</v>
      </c>
      <c r="K372" s="121" t="s">
        <v>9</v>
      </c>
      <c r="L372" s="129">
        <v>0.5</v>
      </c>
      <c r="M372" s="129">
        <f t="shared" si="301"/>
        <v>0.75</v>
      </c>
      <c r="N372" s="129">
        <v>1.0</v>
      </c>
      <c r="O372" s="130">
        <f t="shared" si="304"/>
        <v>0.75</v>
      </c>
      <c r="P372" s="159"/>
      <c r="Q372" s="131">
        <f t="shared" si="302"/>
        <v>0.75</v>
      </c>
      <c r="R372" s="132"/>
      <c r="S372" s="132"/>
      <c r="T372" s="65" t="s">
        <v>70</v>
      </c>
      <c r="U372" s="26"/>
      <c r="V372" s="26"/>
      <c r="W372" s="26"/>
      <c r="X372" s="26"/>
      <c r="Y372" s="26"/>
      <c r="Z372" s="26"/>
      <c r="AA372" s="26"/>
      <c r="AB372" s="26"/>
      <c r="AC372" s="26"/>
    </row>
    <row r="373" ht="33.75" customHeight="1">
      <c r="A373" s="116" t="s">
        <v>653</v>
      </c>
      <c r="B373" s="77" t="s">
        <v>24</v>
      </c>
      <c r="C373" s="77" t="s">
        <v>637</v>
      </c>
      <c r="D373" s="77" t="s">
        <v>654</v>
      </c>
      <c r="E373" s="117" t="s">
        <v>655</v>
      </c>
      <c r="F373" s="118" t="s">
        <v>656</v>
      </c>
      <c r="G373" s="118" t="s">
        <v>200</v>
      </c>
      <c r="H373" s="119" t="s">
        <v>200</v>
      </c>
      <c r="I373" s="119"/>
      <c r="J373" s="118" t="s">
        <v>9</v>
      </c>
      <c r="K373" s="120" t="s">
        <v>9</v>
      </c>
      <c r="L373" s="51">
        <f>IF(COUNT(L374:N376)=0,"",SUM(L374:L376))</f>
        <v>2.25</v>
      </c>
      <c r="M373" s="51">
        <f t="shared" si="301"/>
        <v>3.5</v>
      </c>
      <c r="N373" s="51">
        <f>IF(COUNT(L374:N376)=0,"",SUM(N374:N376))</f>
        <v>4.75</v>
      </c>
      <c r="O373" s="51">
        <f>IF(COUNT(O374:O376)=0,"",SUM(O374:O376))</f>
        <v>3.5</v>
      </c>
      <c r="P373" s="52"/>
      <c r="Q373" s="202">
        <f t="shared" si="302"/>
        <v>3.5</v>
      </c>
      <c r="R373" s="163"/>
      <c r="S373" s="163"/>
      <c r="T373" s="119" t="s">
        <v>65</v>
      </c>
      <c r="U373" s="26"/>
      <c r="V373" s="26"/>
      <c r="W373" s="26"/>
      <c r="X373" s="26"/>
      <c r="Y373" s="26"/>
      <c r="Z373" s="26"/>
      <c r="AA373" s="26"/>
      <c r="AB373" s="26"/>
      <c r="AC373" s="26"/>
    </row>
    <row r="374" ht="33.75" customHeight="1">
      <c r="A374" s="78" t="s">
        <v>657</v>
      </c>
      <c r="B374" s="79" t="s">
        <v>24</v>
      </c>
      <c r="C374" s="79" t="s">
        <v>637</v>
      </c>
      <c r="D374" s="79" t="s">
        <v>654</v>
      </c>
      <c r="E374" s="94" t="s">
        <v>655</v>
      </c>
      <c r="F374" s="95" t="s">
        <v>656</v>
      </c>
      <c r="G374" s="95" t="s">
        <v>200</v>
      </c>
      <c r="H374" s="65" t="s">
        <v>200</v>
      </c>
      <c r="I374" s="65"/>
      <c r="J374" s="95" t="s">
        <v>9</v>
      </c>
      <c r="K374" s="121" t="s">
        <v>9</v>
      </c>
      <c r="L374" s="129">
        <v>0.0</v>
      </c>
      <c r="M374" s="129">
        <f t="shared" si="301"/>
        <v>0</v>
      </c>
      <c r="N374" s="129">
        <v>0.0</v>
      </c>
      <c r="O374" s="130">
        <f t="shared" ref="O374:O376" si="305">IF(COUNT(L374:N374)=0,"",(L374+4*M374+N374)/6)</f>
        <v>0</v>
      </c>
      <c r="P374" s="159"/>
      <c r="Q374" s="131">
        <f t="shared" si="302"/>
        <v>0</v>
      </c>
      <c r="R374" s="132"/>
      <c r="S374" s="132"/>
      <c r="T374" s="65" t="s">
        <v>31</v>
      </c>
      <c r="U374" s="26"/>
      <c r="V374" s="26"/>
      <c r="W374" s="26"/>
      <c r="X374" s="26"/>
      <c r="Y374" s="26"/>
      <c r="Z374" s="26"/>
      <c r="AA374" s="26"/>
      <c r="AB374" s="26"/>
      <c r="AC374" s="26"/>
    </row>
    <row r="375" ht="33.75" customHeight="1">
      <c r="A375" s="78" t="s">
        <v>658</v>
      </c>
      <c r="B375" s="79" t="s">
        <v>24</v>
      </c>
      <c r="C375" s="79" t="s">
        <v>637</v>
      </c>
      <c r="D375" s="79" t="s">
        <v>654</v>
      </c>
      <c r="E375" s="94" t="s">
        <v>655</v>
      </c>
      <c r="F375" s="95" t="s">
        <v>656</v>
      </c>
      <c r="G375" s="95" t="s">
        <v>200</v>
      </c>
      <c r="H375" s="65" t="s">
        <v>200</v>
      </c>
      <c r="I375" s="65"/>
      <c r="J375" s="95" t="s">
        <v>9</v>
      </c>
      <c r="K375" s="121" t="s">
        <v>9</v>
      </c>
      <c r="L375" s="128">
        <v>2.0</v>
      </c>
      <c r="M375" s="129">
        <f t="shared" si="301"/>
        <v>3</v>
      </c>
      <c r="N375" s="128">
        <v>4.0</v>
      </c>
      <c r="O375" s="130">
        <f t="shared" si="305"/>
        <v>3</v>
      </c>
      <c r="P375" s="159"/>
      <c r="Q375" s="131">
        <f t="shared" si="302"/>
        <v>3</v>
      </c>
      <c r="R375" s="132"/>
      <c r="S375" s="132"/>
      <c r="T375" s="65" t="s">
        <v>32</v>
      </c>
      <c r="U375" s="26"/>
      <c r="V375" s="26"/>
      <c r="W375" s="26"/>
      <c r="X375" s="26"/>
      <c r="Y375" s="26"/>
      <c r="Z375" s="26"/>
      <c r="AA375" s="26"/>
      <c r="AB375" s="26"/>
      <c r="AC375" s="26"/>
    </row>
    <row r="376" ht="33.75" customHeight="1">
      <c r="A376" s="78" t="s">
        <v>659</v>
      </c>
      <c r="B376" s="79" t="s">
        <v>24</v>
      </c>
      <c r="C376" s="79" t="s">
        <v>637</v>
      </c>
      <c r="D376" s="79" t="s">
        <v>654</v>
      </c>
      <c r="E376" s="94" t="s">
        <v>655</v>
      </c>
      <c r="F376" s="95" t="s">
        <v>656</v>
      </c>
      <c r="G376" s="95" t="s">
        <v>200</v>
      </c>
      <c r="H376" s="97" t="s">
        <v>200</v>
      </c>
      <c r="I376" s="65"/>
      <c r="J376" s="95" t="s">
        <v>9</v>
      </c>
      <c r="K376" s="121" t="s">
        <v>9</v>
      </c>
      <c r="L376" s="129">
        <v>0.25</v>
      </c>
      <c r="M376" s="129">
        <f t="shared" si="301"/>
        <v>0.5</v>
      </c>
      <c r="N376" s="129">
        <v>0.75</v>
      </c>
      <c r="O376" s="130">
        <f t="shared" si="305"/>
        <v>0.5</v>
      </c>
      <c r="P376" s="159"/>
      <c r="Q376" s="131">
        <f t="shared" si="302"/>
        <v>0.5</v>
      </c>
      <c r="R376" s="132"/>
      <c r="S376" s="132"/>
      <c r="T376" s="65" t="s">
        <v>70</v>
      </c>
      <c r="U376" s="26"/>
      <c r="V376" s="26"/>
      <c r="W376" s="26"/>
      <c r="X376" s="26"/>
      <c r="Y376" s="26"/>
      <c r="Z376" s="26"/>
      <c r="AA376" s="26"/>
      <c r="AB376" s="26"/>
      <c r="AC376" s="26"/>
    </row>
    <row r="377" ht="33.75" customHeight="1">
      <c r="A377" s="116" t="s">
        <v>660</v>
      </c>
      <c r="B377" s="77" t="s">
        <v>24</v>
      </c>
      <c r="C377" s="77" t="s">
        <v>637</v>
      </c>
      <c r="D377" s="77" t="s">
        <v>661</v>
      </c>
      <c r="E377" s="117" t="s">
        <v>662</v>
      </c>
      <c r="F377" s="118" t="s">
        <v>663</v>
      </c>
      <c r="G377" s="118" t="s">
        <v>200</v>
      </c>
      <c r="H377" s="119" t="s">
        <v>200</v>
      </c>
      <c r="I377" s="54"/>
      <c r="J377" s="118" t="s">
        <v>9</v>
      </c>
      <c r="K377" s="120" t="s">
        <v>9</v>
      </c>
      <c r="L377" s="51">
        <f>IF(COUNT(L378:N380)=0,"",SUM(L378:L380))</f>
        <v>2.5</v>
      </c>
      <c r="M377" s="51">
        <f t="shared" si="301"/>
        <v>3.75</v>
      </c>
      <c r="N377" s="51">
        <f>IF(COUNT(L378:N380)=0,"",SUM(N378:N380))</f>
        <v>5</v>
      </c>
      <c r="O377" s="51">
        <f>IF(COUNT(O378:O380)=0,"",SUM(O378:O380))</f>
        <v>3.75</v>
      </c>
      <c r="P377" s="52"/>
      <c r="Q377" s="51">
        <f t="shared" si="302"/>
        <v>3.75</v>
      </c>
      <c r="R377" s="53"/>
      <c r="S377" s="53"/>
      <c r="T377" s="54" t="s">
        <v>65</v>
      </c>
      <c r="U377" s="26"/>
      <c r="V377" s="26"/>
      <c r="W377" s="26"/>
      <c r="X377" s="26"/>
      <c r="Y377" s="26"/>
      <c r="Z377" s="26"/>
      <c r="AA377" s="26"/>
      <c r="AB377" s="26"/>
      <c r="AC377" s="26"/>
    </row>
    <row r="378" ht="33.75" customHeight="1">
      <c r="A378" s="78" t="s">
        <v>664</v>
      </c>
      <c r="B378" s="79" t="s">
        <v>24</v>
      </c>
      <c r="C378" s="79" t="s">
        <v>637</v>
      </c>
      <c r="D378" s="79" t="s">
        <v>661</v>
      </c>
      <c r="E378" s="94" t="s">
        <v>662</v>
      </c>
      <c r="F378" s="95" t="s">
        <v>663</v>
      </c>
      <c r="G378" s="95" t="s">
        <v>200</v>
      </c>
      <c r="H378" s="65" t="s">
        <v>200</v>
      </c>
      <c r="I378" s="65"/>
      <c r="J378" s="95" t="s">
        <v>9</v>
      </c>
      <c r="K378" s="121" t="s">
        <v>9</v>
      </c>
      <c r="L378" s="129">
        <v>0.0</v>
      </c>
      <c r="M378" s="129">
        <f t="shared" si="301"/>
        <v>0</v>
      </c>
      <c r="N378" s="129">
        <v>0.0</v>
      </c>
      <c r="O378" s="130">
        <f t="shared" ref="O378:O380" si="306">IF(COUNT(L378:N378)=0,"",(L378+4*M378+N378)/6)</f>
        <v>0</v>
      </c>
      <c r="P378" s="159"/>
      <c r="Q378" s="131">
        <f t="shared" si="302"/>
        <v>0</v>
      </c>
      <c r="R378" s="132"/>
      <c r="S378" s="132"/>
      <c r="T378" s="65" t="s">
        <v>31</v>
      </c>
      <c r="U378" s="26"/>
      <c r="V378" s="26"/>
      <c r="W378" s="26"/>
      <c r="X378" s="26"/>
      <c r="Y378" s="26"/>
      <c r="Z378" s="26"/>
      <c r="AA378" s="26"/>
      <c r="AB378" s="26"/>
      <c r="AC378" s="26"/>
    </row>
    <row r="379" ht="33.75" customHeight="1">
      <c r="A379" s="78" t="s">
        <v>665</v>
      </c>
      <c r="B379" s="79" t="s">
        <v>24</v>
      </c>
      <c r="C379" s="79" t="s">
        <v>637</v>
      </c>
      <c r="D379" s="79" t="s">
        <v>661</v>
      </c>
      <c r="E379" s="94" t="s">
        <v>662</v>
      </c>
      <c r="F379" s="95" t="s">
        <v>663</v>
      </c>
      <c r="G379" s="95" t="s">
        <v>200</v>
      </c>
      <c r="H379" s="97" t="s">
        <v>200</v>
      </c>
      <c r="I379" s="65"/>
      <c r="J379" s="95" t="s">
        <v>9</v>
      </c>
      <c r="K379" s="121" t="s">
        <v>9</v>
      </c>
      <c r="L379" s="128">
        <v>1.5</v>
      </c>
      <c r="M379" s="129">
        <f t="shared" si="301"/>
        <v>2.25</v>
      </c>
      <c r="N379" s="129">
        <v>3.0</v>
      </c>
      <c r="O379" s="130">
        <f t="shared" si="306"/>
        <v>2.25</v>
      </c>
      <c r="P379" s="159"/>
      <c r="Q379" s="131">
        <f t="shared" si="302"/>
        <v>2.25</v>
      </c>
      <c r="R379" s="132"/>
      <c r="S379" s="132"/>
      <c r="T379" s="65" t="s">
        <v>32</v>
      </c>
      <c r="U379" s="26"/>
      <c r="V379" s="26"/>
      <c r="W379" s="26"/>
      <c r="X379" s="26"/>
      <c r="Y379" s="26"/>
      <c r="Z379" s="26"/>
      <c r="AA379" s="26"/>
      <c r="AB379" s="26"/>
      <c r="AC379" s="26"/>
    </row>
    <row r="380" ht="33.75" customHeight="1">
      <c r="A380" s="78" t="s">
        <v>666</v>
      </c>
      <c r="B380" s="79" t="s">
        <v>24</v>
      </c>
      <c r="C380" s="79" t="s">
        <v>637</v>
      </c>
      <c r="D380" s="79" t="s">
        <v>661</v>
      </c>
      <c r="E380" s="94" t="s">
        <v>662</v>
      </c>
      <c r="F380" s="95" t="s">
        <v>663</v>
      </c>
      <c r="G380" s="95" t="s">
        <v>200</v>
      </c>
      <c r="H380" s="97" t="s">
        <v>200</v>
      </c>
      <c r="I380" s="65"/>
      <c r="J380" s="95" t="s">
        <v>9</v>
      </c>
      <c r="K380" s="121" t="s">
        <v>9</v>
      </c>
      <c r="L380" s="129">
        <v>1.0</v>
      </c>
      <c r="M380" s="129">
        <f t="shared" si="301"/>
        <v>1.5</v>
      </c>
      <c r="N380" s="129">
        <v>2.0</v>
      </c>
      <c r="O380" s="130">
        <f t="shared" si="306"/>
        <v>1.5</v>
      </c>
      <c r="P380" s="159"/>
      <c r="Q380" s="131">
        <f t="shared" si="302"/>
        <v>1.5</v>
      </c>
      <c r="R380" s="132"/>
      <c r="S380" s="132"/>
      <c r="T380" s="65" t="s">
        <v>70</v>
      </c>
      <c r="U380" s="26"/>
      <c r="V380" s="26"/>
      <c r="W380" s="26"/>
      <c r="X380" s="26"/>
      <c r="Y380" s="26"/>
      <c r="Z380" s="26"/>
      <c r="AA380" s="26"/>
      <c r="AB380" s="26"/>
      <c r="AC380" s="26"/>
    </row>
    <row r="381" ht="33.75" customHeight="1">
      <c r="A381" s="116" t="s">
        <v>667</v>
      </c>
      <c r="B381" s="77" t="s">
        <v>24</v>
      </c>
      <c r="C381" s="77" t="s">
        <v>637</v>
      </c>
      <c r="D381" s="77" t="s">
        <v>668</v>
      </c>
      <c r="E381" s="117" t="s">
        <v>669</v>
      </c>
      <c r="F381" s="118" t="s">
        <v>670</v>
      </c>
      <c r="G381" s="118" t="s">
        <v>168</v>
      </c>
      <c r="H381" s="119" t="s">
        <v>168</v>
      </c>
      <c r="I381" s="54"/>
      <c r="J381" s="118" t="s">
        <v>9</v>
      </c>
      <c r="K381" s="120" t="s">
        <v>9</v>
      </c>
      <c r="L381" s="51">
        <f>IF(COUNT(L382:N384)=0,"",SUM(L382:L384))</f>
        <v>1.75</v>
      </c>
      <c r="M381" s="51">
        <f t="shared" si="301"/>
        <v>3</v>
      </c>
      <c r="N381" s="51">
        <f>IF(COUNT(L382:N384)=0,"",SUM(N382:N384))</f>
        <v>4.25</v>
      </c>
      <c r="O381" s="51">
        <f>IF(COUNT(O382:O384)=0,"",SUM(O382:O384))</f>
        <v>3</v>
      </c>
      <c r="P381" s="52"/>
      <c r="Q381" s="51">
        <f t="shared" si="302"/>
        <v>3</v>
      </c>
      <c r="R381" s="53"/>
      <c r="S381" s="53"/>
      <c r="T381" s="54" t="s">
        <v>65</v>
      </c>
      <c r="U381" s="26"/>
      <c r="V381" s="26"/>
      <c r="W381" s="26"/>
      <c r="X381" s="26"/>
      <c r="Y381" s="26"/>
      <c r="Z381" s="26"/>
      <c r="AA381" s="26"/>
      <c r="AB381" s="26"/>
      <c r="AC381" s="26"/>
    </row>
    <row r="382" ht="33.75" customHeight="1">
      <c r="A382" s="78" t="s">
        <v>671</v>
      </c>
      <c r="B382" s="79" t="s">
        <v>24</v>
      </c>
      <c r="C382" s="79" t="s">
        <v>637</v>
      </c>
      <c r="D382" s="79" t="s">
        <v>668</v>
      </c>
      <c r="E382" s="94" t="s">
        <v>669</v>
      </c>
      <c r="F382" s="95" t="s">
        <v>670</v>
      </c>
      <c r="G382" s="95" t="s">
        <v>168</v>
      </c>
      <c r="H382" s="97" t="s">
        <v>168</v>
      </c>
      <c r="I382" s="65"/>
      <c r="J382" s="95" t="s">
        <v>9</v>
      </c>
      <c r="K382" s="121" t="s">
        <v>9</v>
      </c>
      <c r="L382" s="129">
        <v>0.5</v>
      </c>
      <c r="M382" s="129">
        <f t="shared" si="301"/>
        <v>0.75</v>
      </c>
      <c r="N382" s="129">
        <v>1.0</v>
      </c>
      <c r="O382" s="130">
        <f t="shared" ref="O382:O384" si="307">IF(COUNT(L382:N382)=0,"",(L382+4*M382+N382)/6)</f>
        <v>0.75</v>
      </c>
      <c r="P382" s="159"/>
      <c r="Q382" s="131">
        <f t="shared" si="302"/>
        <v>0.75</v>
      </c>
      <c r="R382" s="132"/>
      <c r="S382" s="132"/>
      <c r="T382" s="65" t="s">
        <v>31</v>
      </c>
      <c r="U382" s="26"/>
      <c r="V382" s="26"/>
      <c r="W382" s="26"/>
      <c r="X382" s="26"/>
      <c r="Y382" s="26"/>
      <c r="Z382" s="26"/>
      <c r="AA382" s="26"/>
      <c r="AB382" s="26"/>
      <c r="AC382" s="26"/>
    </row>
    <row r="383" ht="33.75" customHeight="1">
      <c r="A383" s="78" t="s">
        <v>672</v>
      </c>
      <c r="B383" s="79" t="s">
        <v>24</v>
      </c>
      <c r="C383" s="79" t="s">
        <v>637</v>
      </c>
      <c r="D383" s="79" t="s">
        <v>668</v>
      </c>
      <c r="E383" s="94" t="s">
        <v>669</v>
      </c>
      <c r="F383" s="95" t="s">
        <v>670</v>
      </c>
      <c r="G383" s="95" t="s">
        <v>168</v>
      </c>
      <c r="H383" s="65" t="s">
        <v>168</v>
      </c>
      <c r="I383" s="65"/>
      <c r="J383" s="95" t="s">
        <v>9</v>
      </c>
      <c r="K383" s="121" t="s">
        <v>9</v>
      </c>
      <c r="L383" s="129">
        <v>1.0</v>
      </c>
      <c r="M383" s="129">
        <f t="shared" si="301"/>
        <v>1.75</v>
      </c>
      <c r="N383" s="128">
        <v>2.5</v>
      </c>
      <c r="O383" s="130">
        <f t="shared" si="307"/>
        <v>1.75</v>
      </c>
      <c r="P383" s="159"/>
      <c r="Q383" s="131">
        <f t="shared" si="302"/>
        <v>1.75</v>
      </c>
      <c r="R383" s="132"/>
      <c r="S383" s="132"/>
      <c r="T383" s="65" t="s">
        <v>32</v>
      </c>
      <c r="U383" s="26"/>
      <c r="V383" s="26"/>
      <c r="W383" s="26"/>
      <c r="X383" s="26"/>
      <c r="Y383" s="26"/>
      <c r="Z383" s="26"/>
      <c r="AA383" s="26"/>
      <c r="AB383" s="26"/>
      <c r="AC383" s="26"/>
    </row>
    <row r="384" ht="33.75" customHeight="1">
      <c r="A384" s="78" t="s">
        <v>673</v>
      </c>
      <c r="B384" s="79" t="s">
        <v>24</v>
      </c>
      <c r="C384" s="79" t="s">
        <v>637</v>
      </c>
      <c r="D384" s="79" t="s">
        <v>668</v>
      </c>
      <c r="E384" s="94" t="s">
        <v>669</v>
      </c>
      <c r="F384" s="95" t="s">
        <v>670</v>
      </c>
      <c r="G384" s="95" t="s">
        <v>168</v>
      </c>
      <c r="H384" s="97" t="s">
        <v>168</v>
      </c>
      <c r="I384" s="65"/>
      <c r="J384" s="95" t="s">
        <v>9</v>
      </c>
      <c r="K384" s="121" t="s">
        <v>9</v>
      </c>
      <c r="L384" s="129">
        <v>0.25</v>
      </c>
      <c r="M384" s="129">
        <f t="shared" si="301"/>
        <v>0.5</v>
      </c>
      <c r="N384" s="129">
        <v>0.75</v>
      </c>
      <c r="O384" s="130">
        <f t="shared" si="307"/>
        <v>0.5</v>
      </c>
      <c r="P384" s="159"/>
      <c r="Q384" s="131">
        <f t="shared" si="302"/>
        <v>0.5</v>
      </c>
      <c r="R384" s="132"/>
      <c r="S384" s="132"/>
      <c r="T384" s="65" t="s">
        <v>70</v>
      </c>
      <c r="U384" s="26"/>
      <c r="V384" s="26"/>
      <c r="W384" s="26"/>
      <c r="X384" s="26"/>
      <c r="Y384" s="26"/>
      <c r="Z384" s="26"/>
      <c r="AA384" s="26"/>
      <c r="AB384" s="26"/>
      <c r="AC384" s="26"/>
    </row>
    <row r="385" ht="33.75" customHeight="1">
      <c r="A385" s="116" t="s">
        <v>674</v>
      </c>
      <c r="B385" s="77" t="s">
        <v>24</v>
      </c>
      <c r="C385" s="77" t="s">
        <v>637</v>
      </c>
      <c r="D385" s="77" t="s">
        <v>675</v>
      </c>
      <c r="E385" s="117" t="s">
        <v>676</v>
      </c>
      <c r="F385" s="118" t="s">
        <v>677</v>
      </c>
      <c r="G385" s="118" t="s">
        <v>200</v>
      </c>
      <c r="H385" s="119" t="s">
        <v>200</v>
      </c>
      <c r="I385" s="54"/>
      <c r="J385" s="118" t="s">
        <v>9</v>
      </c>
      <c r="K385" s="120" t="s">
        <v>9</v>
      </c>
      <c r="L385" s="51">
        <f>IF(COUNT(L386:N388)=0,"",SUM(L386:L388))</f>
        <v>1.5</v>
      </c>
      <c r="M385" s="51">
        <f t="shared" si="301"/>
        <v>2.25</v>
      </c>
      <c r="N385" s="51">
        <f>IF(COUNT(L386:N388)=0,"",SUM(N386:N388))</f>
        <v>3</v>
      </c>
      <c r="O385" s="51">
        <f>IF(COUNT(O386:O388)=0,"",SUM(O386:O388))</f>
        <v>2.25</v>
      </c>
      <c r="P385" s="52"/>
      <c r="Q385" s="51">
        <f t="shared" si="302"/>
        <v>2.25</v>
      </c>
      <c r="R385" s="53"/>
      <c r="S385" s="53"/>
      <c r="T385" s="54" t="s">
        <v>65</v>
      </c>
      <c r="U385" s="26"/>
      <c r="V385" s="26"/>
      <c r="W385" s="26"/>
      <c r="X385" s="26"/>
      <c r="Y385" s="26"/>
      <c r="Z385" s="26"/>
      <c r="AA385" s="26"/>
      <c r="AB385" s="26"/>
      <c r="AC385" s="26"/>
    </row>
    <row r="386" ht="33.75" customHeight="1">
      <c r="A386" s="78" t="s">
        <v>678</v>
      </c>
      <c r="B386" s="79" t="s">
        <v>24</v>
      </c>
      <c r="C386" s="79" t="s">
        <v>637</v>
      </c>
      <c r="D386" s="79" t="s">
        <v>675</v>
      </c>
      <c r="E386" s="94" t="s">
        <v>676</v>
      </c>
      <c r="F386" s="95" t="s">
        <v>677</v>
      </c>
      <c r="G386" s="95" t="s">
        <v>200</v>
      </c>
      <c r="H386" s="97" t="s">
        <v>200</v>
      </c>
      <c r="I386" s="65"/>
      <c r="J386" s="95" t="s">
        <v>9</v>
      </c>
      <c r="K386" s="121" t="s">
        <v>9</v>
      </c>
      <c r="L386" s="129">
        <v>0.0</v>
      </c>
      <c r="M386" s="129">
        <f t="shared" si="301"/>
        <v>0</v>
      </c>
      <c r="N386" s="129">
        <v>0.0</v>
      </c>
      <c r="O386" s="130">
        <f t="shared" ref="O386:O388" si="308">IF(COUNT(L386:N386)=0,"",(L386+4*M386+N386)/6)</f>
        <v>0</v>
      </c>
      <c r="P386" s="159"/>
      <c r="Q386" s="131">
        <f t="shared" si="302"/>
        <v>0</v>
      </c>
      <c r="R386" s="132"/>
      <c r="S386" s="132"/>
      <c r="T386" s="65" t="s">
        <v>31</v>
      </c>
      <c r="U386" s="26"/>
      <c r="V386" s="26"/>
      <c r="W386" s="26"/>
      <c r="X386" s="26"/>
      <c r="Y386" s="26"/>
      <c r="Z386" s="26"/>
      <c r="AA386" s="26"/>
      <c r="AB386" s="26"/>
      <c r="AC386" s="26"/>
    </row>
    <row r="387" ht="33.75" customHeight="1">
      <c r="A387" s="78" t="s">
        <v>679</v>
      </c>
      <c r="B387" s="79" t="s">
        <v>24</v>
      </c>
      <c r="C387" s="79" t="s">
        <v>637</v>
      </c>
      <c r="D387" s="79" t="s">
        <v>675</v>
      </c>
      <c r="E387" s="94" t="s">
        <v>676</v>
      </c>
      <c r="F387" s="95" t="s">
        <v>677</v>
      </c>
      <c r="G387" s="95" t="s">
        <v>200</v>
      </c>
      <c r="H387" s="97" t="s">
        <v>200</v>
      </c>
      <c r="I387" s="65"/>
      <c r="J387" s="95" t="s">
        <v>9</v>
      </c>
      <c r="K387" s="121" t="s">
        <v>9</v>
      </c>
      <c r="L387" s="129">
        <v>1.0</v>
      </c>
      <c r="M387" s="129">
        <f t="shared" si="301"/>
        <v>1.5</v>
      </c>
      <c r="N387" s="129">
        <v>2.0</v>
      </c>
      <c r="O387" s="130">
        <f t="shared" si="308"/>
        <v>1.5</v>
      </c>
      <c r="P387" s="159"/>
      <c r="Q387" s="131">
        <f t="shared" si="302"/>
        <v>1.5</v>
      </c>
      <c r="R387" s="132"/>
      <c r="S387" s="132"/>
      <c r="T387" s="65" t="s">
        <v>32</v>
      </c>
      <c r="U387" s="26"/>
      <c r="V387" s="26"/>
      <c r="W387" s="26"/>
      <c r="X387" s="26"/>
      <c r="Y387" s="26"/>
      <c r="Z387" s="26"/>
      <c r="AA387" s="26"/>
      <c r="AB387" s="26"/>
      <c r="AC387" s="26"/>
    </row>
    <row r="388" ht="33.75" customHeight="1">
      <c r="A388" s="78" t="s">
        <v>680</v>
      </c>
      <c r="B388" s="79" t="s">
        <v>24</v>
      </c>
      <c r="C388" s="79" t="s">
        <v>637</v>
      </c>
      <c r="D388" s="79" t="s">
        <v>675</v>
      </c>
      <c r="E388" s="94" t="s">
        <v>676</v>
      </c>
      <c r="F388" s="95" t="s">
        <v>677</v>
      </c>
      <c r="G388" s="95" t="s">
        <v>200</v>
      </c>
      <c r="H388" s="65" t="s">
        <v>200</v>
      </c>
      <c r="I388" s="65"/>
      <c r="J388" s="95" t="s">
        <v>9</v>
      </c>
      <c r="K388" s="121" t="s">
        <v>9</v>
      </c>
      <c r="L388" s="129">
        <v>0.5</v>
      </c>
      <c r="M388" s="129">
        <f t="shared" si="301"/>
        <v>0.75</v>
      </c>
      <c r="N388" s="129">
        <v>1.0</v>
      </c>
      <c r="O388" s="130">
        <f t="shared" si="308"/>
        <v>0.75</v>
      </c>
      <c r="P388" s="159"/>
      <c r="Q388" s="131">
        <f t="shared" si="302"/>
        <v>0.75</v>
      </c>
      <c r="R388" s="132"/>
      <c r="S388" s="132"/>
      <c r="T388" s="65" t="s">
        <v>70</v>
      </c>
      <c r="U388" s="26"/>
      <c r="V388" s="26"/>
      <c r="W388" s="26"/>
      <c r="X388" s="26"/>
      <c r="Y388" s="26"/>
      <c r="Z388" s="26"/>
      <c r="AA388" s="26"/>
      <c r="AB388" s="26"/>
      <c r="AC388" s="26"/>
    </row>
    <row r="389" ht="33.75" customHeight="1">
      <c r="A389" s="127" t="s">
        <v>681</v>
      </c>
      <c r="B389" s="77" t="s">
        <v>24</v>
      </c>
      <c r="C389" s="77" t="s">
        <v>637</v>
      </c>
      <c r="D389" s="77" t="s">
        <v>675</v>
      </c>
      <c r="E389" s="117" t="s">
        <v>676</v>
      </c>
      <c r="F389" s="118" t="s">
        <v>677</v>
      </c>
      <c r="G389" s="118" t="s">
        <v>200</v>
      </c>
      <c r="H389" s="119" t="s">
        <v>200</v>
      </c>
      <c r="I389" s="54"/>
      <c r="J389" s="118" t="s">
        <v>9</v>
      </c>
      <c r="K389" s="120" t="s">
        <v>9</v>
      </c>
      <c r="L389" s="51">
        <f>IF(COUNT(L390:N392)=0,"",SUM(L390:L392))</f>
        <v>1.5</v>
      </c>
      <c r="M389" s="51">
        <f t="shared" si="301"/>
        <v>2.25</v>
      </c>
      <c r="N389" s="51">
        <f>IF(COUNT(L390:N392)=0,"",SUM(N390:N392))</f>
        <v>3</v>
      </c>
      <c r="O389" s="51">
        <f>IF(COUNT(O390:O392)=0,"",SUM(O390:O392))</f>
        <v>2.25</v>
      </c>
      <c r="P389" s="52"/>
      <c r="Q389" s="51">
        <f t="shared" si="302"/>
        <v>2.25</v>
      </c>
      <c r="R389" s="53"/>
      <c r="S389" s="53"/>
      <c r="T389" s="54" t="s">
        <v>65</v>
      </c>
      <c r="U389" s="26"/>
      <c r="V389" s="26"/>
      <c r="W389" s="26"/>
      <c r="X389" s="26"/>
      <c r="Y389" s="26"/>
      <c r="Z389" s="26"/>
      <c r="AA389" s="26"/>
      <c r="AB389" s="26"/>
      <c r="AC389" s="26"/>
    </row>
    <row r="390" ht="33.75" customHeight="1">
      <c r="A390" s="55" t="s">
        <v>682</v>
      </c>
      <c r="B390" s="79" t="s">
        <v>24</v>
      </c>
      <c r="C390" s="79" t="s">
        <v>637</v>
      </c>
      <c r="D390" s="56" t="s">
        <v>683</v>
      </c>
      <c r="E390" s="94" t="s">
        <v>676</v>
      </c>
      <c r="F390" s="95" t="s">
        <v>677</v>
      </c>
      <c r="G390" s="95" t="s">
        <v>200</v>
      </c>
      <c r="H390" s="97" t="s">
        <v>200</v>
      </c>
      <c r="I390" s="65"/>
      <c r="J390" s="95" t="s">
        <v>9</v>
      </c>
      <c r="K390" s="121" t="s">
        <v>9</v>
      </c>
      <c r="L390" s="129">
        <v>0.0</v>
      </c>
      <c r="M390" s="129">
        <f t="shared" si="301"/>
        <v>0</v>
      </c>
      <c r="N390" s="129">
        <v>0.0</v>
      </c>
      <c r="O390" s="130">
        <f t="shared" ref="O390:O392" si="309">IF(COUNT(L390:N390)=0,"",(L390+4*M390+N390)/6)</f>
        <v>0</v>
      </c>
      <c r="P390" s="159"/>
      <c r="Q390" s="131">
        <f t="shared" si="302"/>
        <v>0</v>
      </c>
      <c r="R390" s="132"/>
      <c r="S390" s="132"/>
      <c r="T390" s="65" t="s">
        <v>31</v>
      </c>
      <c r="U390" s="26"/>
      <c r="V390" s="26"/>
      <c r="W390" s="26"/>
      <c r="X390" s="26"/>
      <c r="Y390" s="26"/>
      <c r="Z390" s="26"/>
      <c r="AA390" s="26"/>
      <c r="AB390" s="26"/>
      <c r="AC390" s="26"/>
    </row>
    <row r="391" ht="33.75" customHeight="1">
      <c r="A391" s="66" t="s">
        <v>684</v>
      </c>
      <c r="B391" s="79" t="s">
        <v>24</v>
      </c>
      <c r="C391" s="79" t="s">
        <v>637</v>
      </c>
      <c r="D391" s="56" t="s">
        <v>683</v>
      </c>
      <c r="E391" s="94" t="s">
        <v>676</v>
      </c>
      <c r="F391" s="95" t="s">
        <v>677</v>
      </c>
      <c r="G391" s="95" t="s">
        <v>200</v>
      </c>
      <c r="H391" s="97" t="s">
        <v>200</v>
      </c>
      <c r="I391" s="65"/>
      <c r="J391" s="95" t="s">
        <v>9</v>
      </c>
      <c r="K391" s="121" t="s">
        <v>9</v>
      </c>
      <c r="L391" s="129">
        <v>1.0</v>
      </c>
      <c r="M391" s="129">
        <f t="shared" si="301"/>
        <v>1.5</v>
      </c>
      <c r="N391" s="129">
        <v>2.0</v>
      </c>
      <c r="O391" s="130">
        <f t="shared" si="309"/>
        <v>1.5</v>
      </c>
      <c r="P391" s="159"/>
      <c r="Q391" s="131">
        <f t="shared" si="302"/>
        <v>1.5</v>
      </c>
      <c r="R391" s="132"/>
      <c r="S391" s="132"/>
      <c r="T391" s="65" t="s">
        <v>32</v>
      </c>
      <c r="U391" s="26"/>
      <c r="V391" s="26"/>
      <c r="W391" s="26"/>
      <c r="X391" s="26"/>
      <c r="Y391" s="26"/>
      <c r="Z391" s="26"/>
      <c r="AA391" s="26"/>
      <c r="AB391" s="26"/>
      <c r="AC391" s="26"/>
    </row>
    <row r="392" ht="33.75" customHeight="1">
      <c r="A392" s="203" t="s">
        <v>685</v>
      </c>
      <c r="B392" s="79" t="s">
        <v>24</v>
      </c>
      <c r="C392" s="79" t="s">
        <v>637</v>
      </c>
      <c r="D392" s="56" t="s">
        <v>683</v>
      </c>
      <c r="E392" s="94" t="s">
        <v>676</v>
      </c>
      <c r="F392" s="95" t="s">
        <v>677</v>
      </c>
      <c r="G392" s="95" t="s">
        <v>200</v>
      </c>
      <c r="H392" s="65" t="s">
        <v>200</v>
      </c>
      <c r="I392" s="65"/>
      <c r="J392" s="95" t="s">
        <v>9</v>
      </c>
      <c r="K392" s="121" t="s">
        <v>9</v>
      </c>
      <c r="L392" s="129">
        <v>0.5</v>
      </c>
      <c r="M392" s="129">
        <f t="shared" si="301"/>
        <v>0.75</v>
      </c>
      <c r="N392" s="129">
        <v>1.0</v>
      </c>
      <c r="O392" s="130">
        <f t="shared" si="309"/>
        <v>0.75</v>
      </c>
      <c r="P392" s="159"/>
      <c r="Q392" s="131">
        <f t="shared" si="302"/>
        <v>0.75</v>
      </c>
      <c r="R392" s="132"/>
      <c r="S392" s="132"/>
      <c r="T392" s="65" t="s">
        <v>70</v>
      </c>
      <c r="U392" s="26"/>
      <c r="V392" s="26"/>
      <c r="W392" s="26"/>
      <c r="X392" s="26"/>
      <c r="Y392" s="26"/>
      <c r="Z392" s="26"/>
      <c r="AA392" s="26"/>
      <c r="AB392" s="26"/>
      <c r="AC392" s="26"/>
    </row>
    <row r="393" ht="33.75" customHeight="1">
      <c r="A393" s="112" t="s">
        <v>686</v>
      </c>
      <c r="B393" s="38" t="s">
        <v>24</v>
      </c>
      <c r="C393" s="38" t="s">
        <v>687</v>
      </c>
      <c r="D393" s="38" t="s">
        <v>687</v>
      </c>
      <c r="E393" s="113" t="s">
        <v>688</v>
      </c>
      <c r="F393" s="114"/>
      <c r="G393" s="114"/>
      <c r="H393" s="123"/>
      <c r="I393" s="45"/>
      <c r="J393" s="114"/>
      <c r="K393" s="115"/>
      <c r="L393" s="42">
        <f>IF(COUNT(L394,L398,L402)=0,"",SUM(L394,L398,L402))</f>
        <v>3.75</v>
      </c>
      <c r="M393" s="42">
        <f t="shared" si="301"/>
        <v>4.875</v>
      </c>
      <c r="N393" s="42">
        <f t="shared" ref="N393:O393" si="310">IF(COUNT(N394,N398,N402)=0,"",SUM(N394,N398,N402))</f>
        <v>6</v>
      </c>
      <c r="O393" s="42">
        <f t="shared" si="310"/>
        <v>4.875</v>
      </c>
      <c r="P393" s="43"/>
      <c r="Q393" s="42">
        <f>IF(COUNT(Q394,Q398,Q402)=0,"",SUM(Q394,Q398,Q402))</f>
        <v>4.875</v>
      </c>
      <c r="R393" s="44"/>
      <c r="S393" s="44"/>
      <c r="T393" s="45" t="s">
        <v>62</v>
      </c>
      <c r="U393" s="179"/>
      <c r="V393" s="179"/>
      <c r="W393" s="179"/>
      <c r="X393" s="105">
        <f t="shared" ref="X393:AA393" si="311">L393</f>
        <v>3.75</v>
      </c>
      <c r="Y393" s="105">
        <f t="shared" si="311"/>
        <v>4.875</v>
      </c>
      <c r="Z393" s="105">
        <f t="shared" si="311"/>
        <v>6</v>
      </c>
      <c r="AA393" s="105">
        <f t="shared" si="311"/>
        <v>4.875</v>
      </c>
      <c r="AB393" s="179"/>
      <c r="AC393" s="105">
        <f>Q393</f>
        <v>4.875</v>
      </c>
    </row>
    <row r="394" ht="33.75" customHeight="1">
      <c r="A394" s="116" t="s">
        <v>689</v>
      </c>
      <c r="B394" s="77" t="s">
        <v>24</v>
      </c>
      <c r="C394" s="77" t="s">
        <v>687</v>
      </c>
      <c r="D394" s="77" t="s">
        <v>690</v>
      </c>
      <c r="E394" s="117" t="s">
        <v>691</v>
      </c>
      <c r="F394" s="118" t="s">
        <v>646</v>
      </c>
      <c r="G394" s="118" t="s">
        <v>168</v>
      </c>
      <c r="H394" s="119" t="s">
        <v>168</v>
      </c>
      <c r="I394" s="54"/>
      <c r="J394" s="118" t="s">
        <v>9</v>
      </c>
      <c r="K394" s="120" t="s">
        <v>9</v>
      </c>
      <c r="L394" s="51">
        <f>IF(COUNT(L395:N397)=0,"",SUM(L395:L397))</f>
        <v>0</v>
      </c>
      <c r="M394" s="51">
        <f t="shared" si="301"/>
        <v>0</v>
      </c>
      <c r="N394" s="51">
        <f>IF(COUNT(L395:N397)=0,"",SUM(N395:N397))</f>
        <v>0</v>
      </c>
      <c r="O394" s="51">
        <f>IF(COUNT(O395:O397)=0,"",SUM(O395:O397))</f>
        <v>0</v>
      </c>
      <c r="P394" s="52"/>
      <c r="Q394" s="51">
        <f t="shared" ref="Q394:Q405" si="312">IF(O394="","",IF(P394="",O394,O394*(1+P394)))</f>
        <v>0</v>
      </c>
      <c r="R394" s="53"/>
      <c r="S394" s="53"/>
      <c r="T394" s="54" t="s">
        <v>65</v>
      </c>
      <c r="U394" s="179"/>
      <c r="V394" s="179"/>
      <c r="W394" s="179"/>
      <c r="X394" s="105"/>
      <c r="Y394" s="105"/>
      <c r="Z394" s="105"/>
      <c r="AA394" s="105"/>
      <c r="AB394" s="179"/>
      <c r="AC394" s="105"/>
    </row>
    <row r="395" ht="33.75" customHeight="1">
      <c r="A395" s="78" t="s">
        <v>692</v>
      </c>
      <c r="B395" s="79" t="s">
        <v>24</v>
      </c>
      <c r="C395" s="79" t="s">
        <v>687</v>
      </c>
      <c r="D395" s="79" t="s">
        <v>690</v>
      </c>
      <c r="E395" s="94" t="s">
        <v>691</v>
      </c>
      <c r="F395" s="95" t="s">
        <v>646</v>
      </c>
      <c r="G395" s="95" t="s">
        <v>168</v>
      </c>
      <c r="H395" s="97" t="s">
        <v>168</v>
      </c>
      <c r="I395" s="65"/>
      <c r="J395" s="95" t="s">
        <v>9</v>
      </c>
      <c r="K395" s="121" t="s">
        <v>9</v>
      </c>
      <c r="L395" s="129">
        <v>0.0</v>
      </c>
      <c r="M395" s="129">
        <f t="shared" si="301"/>
        <v>0</v>
      </c>
      <c r="N395" s="129">
        <v>0.0</v>
      </c>
      <c r="O395" s="130">
        <f t="shared" ref="O395:O397" si="313">IF(COUNT(L395:N395)=0,"",(L395+4*M395+N395)/6)</f>
        <v>0</v>
      </c>
      <c r="P395" s="159"/>
      <c r="Q395" s="131">
        <f t="shared" si="312"/>
        <v>0</v>
      </c>
      <c r="R395" s="132"/>
      <c r="S395" s="132"/>
      <c r="T395" s="65" t="s">
        <v>31</v>
      </c>
      <c r="U395" s="26"/>
      <c r="V395" s="26"/>
      <c r="W395" s="26"/>
      <c r="X395" s="26"/>
      <c r="Y395" s="26"/>
      <c r="Z395" s="26"/>
      <c r="AA395" s="26"/>
      <c r="AB395" s="26"/>
      <c r="AC395" s="26"/>
    </row>
    <row r="396" ht="33.75" customHeight="1">
      <c r="A396" s="78" t="s">
        <v>693</v>
      </c>
      <c r="B396" s="79" t="s">
        <v>24</v>
      </c>
      <c r="C396" s="79" t="s">
        <v>687</v>
      </c>
      <c r="D396" s="79" t="s">
        <v>690</v>
      </c>
      <c r="E396" s="94" t="s">
        <v>691</v>
      </c>
      <c r="F396" s="95" t="s">
        <v>646</v>
      </c>
      <c r="G396" s="95" t="s">
        <v>168</v>
      </c>
      <c r="H396" s="65" t="s">
        <v>168</v>
      </c>
      <c r="I396" s="65"/>
      <c r="J396" s="95" t="s">
        <v>9</v>
      </c>
      <c r="K396" s="121" t="s">
        <v>9</v>
      </c>
      <c r="L396" s="129">
        <v>0.0</v>
      </c>
      <c r="M396" s="129">
        <f t="shared" si="301"/>
        <v>0</v>
      </c>
      <c r="N396" s="129">
        <v>0.0</v>
      </c>
      <c r="O396" s="130">
        <f t="shared" si="313"/>
        <v>0</v>
      </c>
      <c r="P396" s="159"/>
      <c r="Q396" s="131">
        <f t="shared" si="312"/>
        <v>0</v>
      </c>
      <c r="R396" s="132"/>
      <c r="S396" s="132"/>
      <c r="T396" s="65" t="s">
        <v>32</v>
      </c>
      <c r="U396" s="26"/>
      <c r="V396" s="26"/>
      <c r="W396" s="26"/>
      <c r="X396" s="26"/>
      <c r="Y396" s="26"/>
      <c r="Z396" s="26"/>
      <c r="AA396" s="26"/>
      <c r="AB396" s="26"/>
      <c r="AC396" s="26"/>
    </row>
    <row r="397" ht="33.75" customHeight="1">
      <c r="A397" s="78" t="s">
        <v>694</v>
      </c>
      <c r="B397" s="79" t="s">
        <v>24</v>
      </c>
      <c r="C397" s="79" t="s">
        <v>687</v>
      </c>
      <c r="D397" s="79" t="s">
        <v>690</v>
      </c>
      <c r="E397" s="94" t="s">
        <v>691</v>
      </c>
      <c r="F397" s="95" t="s">
        <v>646</v>
      </c>
      <c r="G397" s="95" t="s">
        <v>168</v>
      </c>
      <c r="H397" s="97" t="s">
        <v>168</v>
      </c>
      <c r="I397" s="65"/>
      <c r="J397" s="95" t="s">
        <v>9</v>
      </c>
      <c r="K397" s="121" t="s">
        <v>9</v>
      </c>
      <c r="L397" s="129">
        <v>0.0</v>
      </c>
      <c r="M397" s="129">
        <f t="shared" si="301"/>
        <v>0</v>
      </c>
      <c r="N397" s="129">
        <v>0.0</v>
      </c>
      <c r="O397" s="130">
        <f t="shared" si="313"/>
        <v>0</v>
      </c>
      <c r="P397" s="159"/>
      <c r="Q397" s="131">
        <f t="shared" si="312"/>
        <v>0</v>
      </c>
      <c r="R397" s="132"/>
      <c r="S397" s="132"/>
      <c r="T397" s="65" t="s">
        <v>70</v>
      </c>
      <c r="U397" s="26"/>
      <c r="V397" s="26"/>
      <c r="W397" s="26"/>
      <c r="X397" s="26"/>
      <c r="Y397" s="26"/>
      <c r="Z397" s="26"/>
      <c r="AA397" s="26"/>
      <c r="AB397" s="26"/>
      <c r="AC397" s="26"/>
    </row>
    <row r="398" ht="33.75" customHeight="1">
      <c r="A398" s="116" t="s">
        <v>695</v>
      </c>
      <c r="B398" s="77" t="s">
        <v>24</v>
      </c>
      <c r="C398" s="77" t="s">
        <v>687</v>
      </c>
      <c r="D398" s="77" t="s">
        <v>696</v>
      </c>
      <c r="E398" s="117" t="s">
        <v>697</v>
      </c>
      <c r="F398" s="118" t="s">
        <v>698</v>
      </c>
      <c r="G398" s="118" t="s">
        <v>200</v>
      </c>
      <c r="H398" s="119" t="s">
        <v>200</v>
      </c>
      <c r="I398" s="54"/>
      <c r="J398" s="118" t="s">
        <v>9</v>
      </c>
      <c r="K398" s="120" t="s">
        <v>9</v>
      </c>
      <c r="L398" s="51">
        <f>IF(COUNT(L399:N401)=0,"",SUM(L399:L401))</f>
        <v>2.5</v>
      </c>
      <c r="M398" s="51">
        <f t="shared" si="301"/>
        <v>3</v>
      </c>
      <c r="N398" s="51">
        <f>IF(COUNT(L399:N401)=0,"",SUM(N399:N401))</f>
        <v>3.5</v>
      </c>
      <c r="O398" s="51">
        <f>IF(COUNT(O399:O401)=0,"",SUM(O399:O401))</f>
        <v>3</v>
      </c>
      <c r="P398" s="52"/>
      <c r="Q398" s="51">
        <f t="shared" si="312"/>
        <v>3</v>
      </c>
      <c r="R398" s="53"/>
      <c r="S398" s="53"/>
      <c r="T398" s="54" t="s">
        <v>65</v>
      </c>
      <c r="U398" s="179"/>
      <c r="V398" s="179"/>
      <c r="W398" s="179"/>
      <c r="X398" s="105"/>
      <c r="Y398" s="105"/>
      <c r="Z398" s="105"/>
      <c r="AA398" s="105"/>
      <c r="AB398" s="179"/>
      <c r="AC398" s="105"/>
    </row>
    <row r="399" ht="33.75" customHeight="1">
      <c r="A399" s="78" t="s">
        <v>699</v>
      </c>
      <c r="B399" s="79" t="s">
        <v>24</v>
      </c>
      <c r="C399" s="79" t="s">
        <v>687</v>
      </c>
      <c r="D399" s="79" t="s">
        <v>696</v>
      </c>
      <c r="E399" s="94" t="s">
        <v>697</v>
      </c>
      <c r="F399" s="95" t="s">
        <v>698</v>
      </c>
      <c r="G399" s="95" t="s">
        <v>200</v>
      </c>
      <c r="H399" s="97" t="s">
        <v>200</v>
      </c>
      <c r="I399" s="65"/>
      <c r="J399" s="95" t="s">
        <v>9</v>
      </c>
      <c r="K399" s="121" t="s">
        <v>9</v>
      </c>
      <c r="L399" s="129">
        <v>2.0</v>
      </c>
      <c r="M399" s="129">
        <f t="shared" si="301"/>
        <v>2.25</v>
      </c>
      <c r="N399" s="128">
        <v>2.5</v>
      </c>
      <c r="O399" s="130">
        <f t="shared" ref="O399:O401" si="314">IF(COUNT(L399:N399)=0,"",(L399+4*M399+N399)/6)</f>
        <v>2.25</v>
      </c>
      <c r="P399" s="159"/>
      <c r="Q399" s="131">
        <f t="shared" si="312"/>
        <v>2.25</v>
      </c>
      <c r="R399" s="132"/>
      <c r="S399" s="132"/>
      <c r="T399" s="65" t="s">
        <v>31</v>
      </c>
      <c r="U399" s="26"/>
      <c r="V399" s="26"/>
      <c r="W399" s="26"/>
      <c r="X399" s="26"/>
      <c r="Y399" s="26"/>
      <c r="Z399" s="26"/>
      <c r="AA399" s="26"/>
      <c r="AB399" s="26"/>
      <c r="AC399" s="26"/>
    </row>
    <row r="400" ht="33.75" customHeight="1">
      <c r="A400" s="78" t="s">
        <v>700</v>
      </c>
      <c r="B400" s="79" t="s">
        <v>24</v>
      </c>
      <c r="C400" s="79" t="s">
        <v>687</v>
      </c>
      <c r="D400" s="79" t="s">
        <v>696</v>
      </c>
      <c r="E400" s="94" t="s">
        <v>697</v>
      </c>
      <c r="F400" s="95" t="s">
        <v>698</v>
      </c>
      <c r="G400" s="95" t="s">
        <v>200</v>
      </c>
      <c r="H400" s="97" t="s">
        <v>200</v>
      </c>
      <c r="I400" s="65"/>
      <c r="J400" s="95" t="s">
        <v>9</v>
      </c>
      <c r="K400" s="121" t="s">
        <v>9</v>
      </c>
      <c r="L400" s="129">
        <v>0.0</v>
      </c>
      <c r="M400" s="129">
        <f t="shared" si="301"/>
        <v>0</v>
      </c>
      <c r="N400" s="129">
        <v>0.0</v>
      </c>
      <c r="O400" s="130">
        <f t="shared" si="314"/>
        <v>0</v>
      </c>
      <c r="P400" s="159"/>
      <c r="Q400" s="131">
        <f t="shared" si="312"/>
        <v>0</v>
      </c>
      <c r="R400" s="132"/>
      <c r="S400" s="132"/>
      <c r="T400" s="65" t="s">
        <v>32</v>
      </c>
      <c r="U400" s="26"/>
      <c r="V400" s="26"/>
      <c r="W400" s="26"/>
      <c r="X400" s="26"/>
      <c r="Y400" s="26"/>
      <c r="Z400" s="26"/>
      <c r="AA400" s="26"/>
      <c r="AB400" s="26"/>
      <c r="AC400" s="26"/>
    </row>
    <row r="401" ht="33.75" customHeight="1">
      <c r="A401" s="78" t="s">
        <v>701</v>
      </c>
      <c r="B401" s="79" t="s">
        <v>24</v>
      </c>
      <c r="C401" s="79" t="s">
        <v>687</v>
      </c>
      <c r="D401" s="79" t="s">
        <v>696</v>
      </c>
      <c r="E401" s="94" t="s">
        <v>697</v>
      </c>
      <c r="F401" s="95" t="s">
        <v>698</v>
      </c>
      <c r="G401" s="95" t="s">
        <v>200</v>
      </c>
      <c r="H401" s="97" t="s">
        <v>200</v>
      </c>
      <c r="I401" s="65"/>
      <c r="J401" s="95" t="s">
        <v>9</v>
      </c>
      <c r="K401" s="121" t="s">
        <v>9</v>
      </c>
      <c r="L401" s="129">
        <v>0.5</v>
      </c>
      <c r="M401" s="129">
        <f t="shared" si="301"/>
        <v>0.75</v>
      </c>
      <c r="N401" s="129">
        <v>1.0</v>
      </c>
      <c r="O401" s="130">
        <f t="shared" si="314"/>
        <v>0.75</v>
      </c>
      <c r="P401" s="159"/>
      <c r="Q401" s="131">
        <f t="shared" si="312"/>
        <v>0.75</v>
      </c>
      <c r="R401" s="132"/>
      <c r="S401" s="132"/>
      <c r="T401" s="65" t="s">
        <v>70</v>
      </c>
      <c r="U401" s="26"/>
      <c r="V401" s="26"/>
      <c r="W401" s="26"/>
      <c r="X401" s="26"/>
      <c r="Y401" s="26"/>
      <c r="Z401" s="26"/>
      <c r="AA401" s="26"/>
      <c r="AB401" s="26"/>
      <c r="AC401" s="26"/>
    </row>
    <row r="402" ht="33.75" customHeight="1">
      <c r="A402" s="116" t="s">
        <v>702</v>
      </c>
      <c r="B402" s="77" t="s">
        <v>24</v>
      </c>
      <c r="C402" s="77" t="s">
        <v>687</v>
      </c>
      <c r="D402" s="77" t="s">
        <v>703</v>
      </c>
      <c r="E402" s="117" t="s">
        <v>704</v>
      </c>
      <c r="F402" s="118" t="s">
        <v>705</v>
      </c>
      <c r="G402" s="118" t="s">
        <v>168</v>
      </c>
      <c r="H402" s="54" t="s">
        <v>168</v>
      </c>
      <c r="I402" s="54"/>
      <c r="J402" s="118" t="s">
        <v>12</v>
      </c>
      <c r="K402" s="120" t="s">
        <v>12</v>
      </c>
      <c r="L402" s="51">
        <f>IF(COUNT(L403:N405)=0,"",SUM(L403:L405))</f>
        <v>1.25</v>
      </c>
      <c r="M402" s="51">
        <f t="shared" si="301"/>
        <v>1.875</v>
      </c>
      <c r="N402" s="51">
        <f>IF(COUNT(L403:N405)=0,"",SUM(N403:N405))</f>
        <v>2.5</v>
      </c>
      <c r="O402" s="51">
        <f>IF(COUNT(O403:O405)=0,"",SUM(O403:O405))</f>
        <v>1.875</v>
      </c>
      <c r="P402" s="52"/>
      <c r="Q402" s="51">
        <f t="shared" si="312"/>
        <v>1.875</v>
      </c>
      <c r="R402" s="53"/>
      <c r="S402" s="53"/>
      <c r="T402" s="54" t="s">
        <v>65</v>
      </c>
      <c r="U402" s="179"/>
      <c r="V402" s="179"/>
      <c r="W402" s="179"/>
      <c r="X402" s="105"/>
      <c r="Y402" s="105"/>
      <c r="Z402" s="105"/>
      <c r="AA402" s="105"/>
      <c r="AB402" s="179"/>
      <c r="AC402" s="105"/>
    </row>
    <row r="403" ht="33.75" customHeight="1">
      <c r="A403" s="78" t="s">
        <v>706</v>
      </c>
      <c r="B403" s="79" t="s">
        <v>24</v>
      </c>
      <c r="C403" s="79" t="s">
        <v>687</v>
      </c>
      <c r="D403" s="79" t="s">
        <v>703</v>
      </c>
      <c r="E403" s="94" t="s">
        <v>704</v>
      </c>
      <c r="F403" s="95" t="s">
        <v>705</v>
      </c>
      <c r="G403" s="95" t="s">
        <v>168</v>
      </c>
      <c r="H403" s="97" t="s">
        <v>168</v>
      </c>
      <c r="I403" s="65"/>
      <c r="J403" s="95" t="s">
        <v>12</v>
      </c>
      <c r="K403" s="121" t="s">
        <v>12</v>
      </c>
      <c r="L403" s="129">
        <v>1.0</v>
      </c>
      <c r="M403" s="129">
        <f t="shared" si="301"/>
        <v>1.5</v>
      </c>
      <c r="N403" s="129">
        <v>2.0</v>
      </c>
      <c r="O403" s="130">
        <f t="shared" ref="O403:O405" si="315">IF(COUNT(L403:N403)=0,"",(L403+4*M403+N403)/6)</f>
        <v>1.5</v>
      </c>
      <c r="P403" s="159"/>
      <c r="Q403" s="131">
        <f t="shared" si="312"/>
        <v>1.5</v>
      </c>
      <c r="R403" s="132"/>
      <c r="S403" s="132"/>
      <c r="T403" s="65" t="s">
        <v>31</v>
      </c>
      <c r="U403" s="26"/>
      <c r="V403" s="26"/>
      <c r="W403" s="26"/>
      <c r="X403" s="26"/>
      <c r="Y403" s="26"/>
      <c r="Z403" s="26"/>
      <c r="AA403" s="26"/>
      <c r="AB403" s="26"/>
      <c r="AC403" s="26"/>
    </row>
    <row r="404" ht="33.75" customHeight="1">
      <c r="A404" s="78" t="s">
        <v>707</v>
      </c>
      <c r="B404" s="79" t="s">
        <v>24</v>
      </c>
      <c r="C404" s="79" t="s">
        <v>687</v>
      </c>
      <c r="D404" s="79" t="s">
        <v>703</v>
      </c>
      <c r="E404" s="94" t="s">
        <v>704</v>
      </c>
      <c r="F404" s="95" t="s">
        <v>705</v>
      </c>
      <c r="G404" s="95" t="s">
        <v>168</v>
      </c>
      <c r="H404" s="97" t="s">
        <v>168</v>
      </c>
      <c r="I404" s="65"/>
      <c r="J404" s="95" t="s">
        <v>12</v>
      </c>
      <c r="K404" s="121" t="s">
        <v>12</v>
      </c>
      <c r="L404" s="129">
        <v>0.0</v>
      </c>
      <c r="M404" s="129">
        <f t="shared" si="301"/>
        <v>0</v>
      </c>
      <c r="N404" s="129">
        <v>0.0</v>
      </c>
      <c r="O404" s="130">
        <f t="shared" si="315"/>
        <v>0</v>
      </c>
      <c r="P404" s="159"/>
      <c r="Q404" s="131">
        <f t="shared" si="312"/>
        <v>0</v>
      </c>
      <c r="R404" s="132"/>
      <c r="S404" s="132"/>
      <c r="T404" s="65" t="s">
        <v>32</v>
      </c>
      <c r="U404" s="26"/>
      <c r="V404" s="26"/>
      <c r="W404" s="26"/>
      <c r="X404" s="26"/>
      <c r="Y404" s="26"/>
      <c r="Z404" s="26"/>
      <c r="AA404" s="26"/>
      <c r="AB404" s="26"/>
      <c r="AC404" s="26"/>
    </row>
    <row r="405" ht="33.75" customHeight="1">
      <c r="A405" s="78" t="s">
        <v>708</v>
      </c>
      <c r="B405" s="79" t="s">
        <v>24</v>
      </c>
      <c r="C405" s="79" t="s">
        <v>687</v>
      </c>
      <c r="D405" s="79" t="s">
        <v>703</v>
      </c>
      <c r="E405" s="94" t="s">
        <v>704</v>
      </c>
      <c r="F405" s="95" t="s">
        <v>705</v>
      </c>
      <c r="G405" s="95" t="s">
        <v>168</v>
      </c>
      <c r="H405" s="97" t="s">
        <v>168</v>
      </c>
      <c r="I405" s="65"/>
      <c r="J405" s="95" t="s">
        <v>12</v>
      </c>
      <c r="K405" s="121" t="s">
        <v>12</v>
      </c>
      <c r="L405" s="129">
        <v>0.25</v>
      </c>
      <c r="M405" s="129">
        <f t="shared" si="301"/>
        <v>0.375</v>
      </c>
      <c r="N405" s="129">
        <v>0.5</v>
      </c>
      <c r="O405" s="130">
        <f t="shared" si="315"/>
        <v>0.375</v>
      </c>
      <c r="P405" s="159"/>
      <c r="Q405" s="131">
        <f t="shared" si="312"/>
        <v>0.375</v>
      </c>
      <c r="R405" s="132"/>
      <c r="S405" s="132"/>
      <c r="T405" s="65" t="s">
        <v>70</v>
      </c>
      <c r="U405" s="26"/>
      <c r="V405" s="26"/>
      <c r="W405" s="26"/>
      <c r="X405" s="26"/>
      <c r="Y405" s="26"/>
      <c r="Z405" s="26"/>
      <c r="AA405" s="26"/>
      <c r="AB405" s="26"/>
      <c r="AC405" s="26"/>
    </row>
    <row r="406" ht="33.75" customHeight="1">
      <c r="A406" s="112" t="s">
        <v>709</v>
      </c>
      <c r="B406" s="38" t="s">
        <v>24</v>
      </c>
      <c r="C406" s="38" t="s">
        <v>710</v>
      </c>
      <c r="D406" s="38" t="s">
        <v>710</v>
      </c>
      <c r="E406" s="113" t="s">
        <v>711</v>
      </c>
      <c r="F406" s="114"/>
      <c r="G406" s="114"/>
      <c r="H406" s="123"/>
      <c r="I406" s="123"/>
      <c r="J406" s="114"/>
      <c r="K406" s="115"/>
      <c r="L406" s="42">
        <f>IF(COUNT(L407,L411,L415,L419,L423, L427, L431)=0,"",SUM(L407,L411,L415,L419,L423, L427, L431))</f>
        <v>8.75</v>
      </c>
      <c r="M406" s="42">
        <f t="shared" si="301"/>
        <v>12.75</v>
      </c>
      <c r="N406" s="42">
        <f t="shared" ref="N406:O406" si="316">IF(COUNT(N407,N411,N415,N419,N423, N427, N431)=0,"",SUM(N407,N411,N415,N419,N423, N427, N431))</f>
        <v>16.75</v>
      </c>
      <c r="O406" s="42">
        <f t="shared" si="316"/>
        <v>12.75</v>
      </c>
      <c r="P406" s="43"/>
      <c r="Q406" s="42">
        <f>IF(COUNT(Q407,Q411,Q415,Q419,Q423, Q427, Q431)=0,"",SUM(Q407,Q411,Q415,Q419,Q423, Q427, Q431))</f>
        <v>12.75</v>
      </c>
      <c r="R406" s="126"/>
      <c r="S406" s="126"/>
      <c r="T406" s="123" t="s">
        <v>62</v>
      </c>
      <c r="U406" s="179"/>
      <c r="V406" s="179"/>
      <c r="W406" s="179"/>
      <c r="X406" s="105">
        <f t="shared" ref="X406:AA406" si="317">L406</f>
        <v>8.75</v>
      </c>
      <c r="Y406" s="105">
        <f t="shared" si="317"/>
        <v>12.75</v>
      </c>
      <c r="Z406" s="105">
        <f t="shared" si="317"/>
        <v>16.75</v>
      </c>
      <c r="AA406" s="105">
        <f t="shared" si="317"/>
        <v>12.75</v>
      </c>
      <c r="AB406" s="179"/>
      <c r="AC406" s="105">
        <f>Q406</f>
        <v>12.75</v>
      </c>
    </row>
    <row r="407" ht="33.75" customHeight="1">
      <c r="A407" s="116" t="s">
        <v>712</v>
      </c>
      <c r="B407" s="77" t="s">
        <v>24</v>
      </c>
      <c r="C407" s="77" t="s">
        <v>710</v>
      </c>
      <c r="D407" s="77" t="s">
        <v>713</v>
      </c>
      <c r="E407" s="117" t="s">
        <v>714</v>
      </c>
      <c r="F407" s="118" t="s">
        <v>715</v>
      </c>
      <c r="G407" s="118" t="s">
        <v>200</v>
      </c>
      <c r="H407" s="54" t="s">
        <v>200</v>
      </c>
      <c r="I407" s="54"/>
      <c r="J407" s="118" t="s">
        <v>9</v>
      </c>
      <c r="K407" s="120" t="s">
        <v>9</v>
      </c>
      <c r="L407" s="51">
        <f>IF(COUNT(L408:N410)=0,"",SUM(L408:L410))</f>
        <v>1.75</v>
      </c>
      <c r="M407" s="51">
        <f t="shared" si="301"/>
        <v>2.875</v>
      </c>
      <c r="N407" s="51">
        <f>IF(COUNT(L408:N410)=0,"",SUM(N408:N410))</f>
        <v>4</v>
      </c>
      <c r="O407" s="51">
        <f>IF(COUNT(O408:O410)=0,"",SUM(O408:O410))</f>
        <v>2.875</v>
      </c>
      <c r="P407" s="52"/>
      <c r="Q407" s="51">
        <f t="shared" ref="Q407:Q434" si="318">IF(O407="","",IF(P407="",O407,O407*(1+P407)))</f>
        <v>2.875</v>
      </c>
      <c r="R407" s="53"/>
      <c r="S407" s="53"/>
      <c r="T407" s="54" t="s">
        <v>65</v>
      </c>
      <c r="U407" s="179"/>
      <c r="V407" s="179"/>
      <c r="W407" s="179"/>
      <c r="X407" s="105"/>
      <c r="Y407" s="105"/>
      <c r="Z407" s="105"/>
      <c r="AA407" s="105"/>
      <c r="AB407" s="179"/>
      <c r="AC407" s="105"/>
    </row>
    <row r="408" ht="33.75" customHeight="1">
      <c r="A408" s="78" t="s">
        <v>716</v>
      </c>
      <c r="B408" s="79" t="s">
        <v>24</v>
      </c>
      <c r="C408" s="79" t="s">
        <v>710</v>
      </c>
      <c r="D408" s="79" t="s">
        <v>713</v>
      </c>
      <c r="E408" s="94" t="s">
        <v>714</v>
      </c>
      <c r="F408" s="95" t="s">
        <v>715</v>
      </c>
      <c r="G408" s="95" t="s">
        <v>200</v>
      </c>
      <c r="H408" s="97" t="s">
        <v>200</v>
      </c>
      <c r="I408" s="65"/>
      <c r="J408" s="95" t="s">
        <v>9</v>
      </c>
      <c r="K408" s="121" t="s">
        <v>9</v>
      </c>
      <c r="L408" s="129">
        <v>0.5</v>
      </c>
      <c r="M408" s="129">
        <f t="shared" si="301"/>
        <v>1</v>
      </c>
      <c r="N408" s="129">
        <v>1.5</v>
      </c>
      <c r="O408" s="130">
        <f t="shared" ref="O408:O410" si="319">IF(COUNT(L408:N408)=0,"",(L408+4*M408+N408)/6)</f>
        <v>1</v>
      </c>
      <c r="P408" s="159"/>
      <c r="Q408" s="131">
        <f t="shared" si="318"/>
        <v>1</v>
      </c>
      <c r="R408" s="132"/>
      <c r="S408" s="132"/>
      <c r="T408" s="65" t="s">
        <v>31</v>
      </c>
      <c r="U408" s="26"/>
      <c r="V408" s="26"/>
      <c r="W408" s="26"/>
      <c r="X408" s="26"/>
      <c r="Y408" s="26"/>
      <c r="Z408" s="26"/>
      <c r="AA408" s="26"/>
      <c r="AB408" s="26"/>
      <c r="AC408" s="26"/>
    </row>
    <row r="409" ht="33.75" customHeight="1">
      <c r="A409" s="78" t="s">
        <v>717</v>
      </c>
      <c r="B409" s="79" t="s">
        <v>24</v>
      </c>
      <c r="C409" s="79" t="s">
        <v>710</v>
      </c>
      <c r="D409" s="79" t="s">
        <v>713</v>
      </c>
      <c r="E409" s="94" t="s">
        <v>714</v>
      </c>
      <c r="F409" s="95" t="s">
        <v>715</v>
      </c>
      <c r="G409" s="95" t="s">
        <v>200</v>
      </c>
      <c r="H409" s="97" t="s">
        <v>200</v>
      </c>
      <c r="I409" s="65"/>
      <c r="J409" s="95" t="s">
        <v>9</v>
      </c>
      <c r="K409" s="121" t="s">
        <v>9</v>
      </c>
      <c r="L409" s="129">
        <v>1.0</v>
      </c>
      <c r="M409" s="129">
        <f t="shared" si="301"/>
        <v>1.5</v>
      </c>
      <c r="N409" s="129">
        <v>2.0</v>
      </c>
      <c r="O409" s="130">
        <f t="shared" si="319"/>
        <v>1.5</v>
      </c>
      <c r="P409" s="159"/>
      <c r="Q409" s="131">
        <f t="shared" si="318"/>
        <v>1.5</v>
      </c>
      <c r="R409" s="132"/>
      <c r="S409" s="132"/>
      <c r="T409" s="65" t="s">
        <v>32</v>
      </c>
      <c r="U409" s="26"/>
      <c r="V409" s="26"/>
      <c r="W409" s="26"/>
      <c r="X409" s="26"/>
      <c r="Y409" s="26"/>
      <c r="Z409" s="26"/>
      <c r="AA409" s="26"/>
      <c r="AB409" s="26"/>
      <c r="AC409" s="26"/>
    </row>
    <row r="410" ht="33.75" customHeight="1">
      <c r="A410" s="78" t="s">
        <v>718</v>
      </c>
      <c r="B410" s="79" t="s">
        <v>24</v>
      </c>
      <c r="C410" s="79" t="s">
        <v>710</v>
      </c>
      <c r="D410" s="79" t="s">
        <v>713</v>
      </c>
      <c r="E410" s="94" t="s">
        <v>714</v>
      </c>
      <c r="F410" s="95" t="s">
        <v>715</v>
      </c>
      <c r="G410" s="95" t="s">
        <v>200</v>
      </c>
      <c r="H410" s="97" t="s">
        <v>200</v>
      </c>
      <c r="I410" s="65"/>
      <c r="J410" s="95" t="s">
        <v>9</v>
      </c>
      <c r="K410" s="121" t="s">
        <v>9</v>
      </c>
      <c r="L410" s="129">
        <v>0.25</v>
      </c>
      <c r="M410" s="129">
        <f t="shared" si="301"/>
        <v>0.375</v>
      </c>
      <c r="N410" s="129">
        <v>0.5</v>
      </c>
      <c r="O410" s="130">
        <f t="shared" si="319"/>
        <v>0.375</v>
      </c>
      <c r="P410" s="159"/>
      <c r="Q410" s="131">
        <f t="shared" si="318"/>
        <v>0.375</v>
      </c>
      <c r="R410" s="132"/>
      <c r="S410" s="132"/>
      <c r="T410" s="65" t="s">
        <v>70</v>
      </c>
      <c r="U410" s="26"/>
      <c r="V410" s="26"/>
      <c r="W410" s="26"/>
      <c r="X410" s="26"/>
      <c r="Y410" s="26"/>
      <c r="Z410" s="26"/>
      <c r="AA410" s="26"/>
      <c r="AB410" s="26"/>
      <c r="AC410" s="26"/>
    </row>
    <row r="411" ht="33.75" customHeight="1">
      <c r="A411" s="116" t="s">
        <v>719</v>
      </c>
      <c r="B411" s="77" t="s">
        <v>24</v>
      </c>
      <c r="C411" s="77" t="s">
        <v>710</v>
      </c>
      <c r="D411" s="77" t="s">
        <v>720</v>
      </c>
      <c r="E411" s="117" t="s">
        <v>721</v>
      </c>
      <c r="F411" s="118" t="s">
        <v>712</v>
      </c>
      <c r="G411" s="118" t="s">
        <v>200</v>
      </c>
      <c r="H411" s="54" t="s">
        <v>200</v>
      </c>
      <c r="I411" s="54"/>
      <c r="J411" s="118" t="s">
        <v>9</v>
      </c>
      <c r="K411" s="120" t="s">
        <v>9</v>
      </c>
      <c r="L411" s="51">
        <f>IF(COUNT(L412:N414)=0,"",SUM(L412:L414))</f>
        <v>0.75</v>
      </c>
      <c r="M411" s="51">
        <f t="shared" si="301"/>
        <v>1</v>
      </c>
      <c r="N411" s="51">
        <f>IF(COUNT(L412:N414)=0,"",SUM(N412:N414))</f>
        <v>1.25</v>
      </c>
      <c r="O411" s="51">
        <f>IF(COUNT(O412:O414)=0,"",SUM(O412:O414))</f>
        <v>1</v>
      </c>
      <c r="P411" s="52"/>
      <c r="Q411" s="51">
        <f t="shared" si="318"/>
        <v>1</v>
      </c>
      <c r="R411" s="53"/>
      <c r="S411" s="53"/>
      <c r="T411" s="54" t="s">
        <v>65</v>
      </c>
      <c r="U411" s="179"/>
      <c r="V411" s="179"/>
      <c r="W411" s="179"/>
      <c r="X411" s="105"/>
      <c r="Y411" s="105"/>
      <c r="Z411" s="105"/>
      <c r="AA411" s="105"/>
      <c r="AB411" s="179"/>
      <c r="AC411" s="105"/>
    </row>
    <row r="412" ht="33.75" customHeight="1">
      <c r="A412" s="78" t="s">
        <v>722</v>
      </c>
      <c r="B412" s="79" t="s">
        <v>24</v>
      </c>
      <c r="C412" s="79" t="s">
        <v>710</v>
      </c>
      <c r="D412" s="79" t="s">
        <v>720</v>
      </c>
      <c r="E412" s="94" t="s">
        <v>721</v>
      </c>
      <c r="F412" s="95" t="s">
        <v>712</v>
      </c>
      <c r="G412" s="95" t="s">
        <v>200</v>
      </c>
      <c r="H412" s="97" t="s">
        <v>200</v>
      </c>
      <c r="I412" s="65"/>
      <c r="J412" s="95" t="s">
        <v>9</v>
      </c>
      <c r="K412" s="121" t="s">
        <v>9</v>
      </c>
      <c r="L412" s="129">
        <v>0.0</v>
      </c>
      <c r="M412" s="129">
        <f t="shared" si="301"/>
        <v>0</v>
      </c>
      <c r="N412" s="129">
        <v>0.0</v>
      </c>
      <c r="O412" s="130">
        <f t="shared" ref="O412:O414" si="320">IF(COUNT(L412:N412)=0,"",(L412+4*M412+N412)/6)</f>
        <v>0</v>
      </c>
      <c r="P412" s="159"/>
      <c r="Q412" s="131">
        <f t="shared" si="318"/>
        <v>0</v>
      </c>
      <c r="R412" s="132"/>
      <c r="S412" s="132"/>
      <c r="T412" s="65" t="s">
        <v>31</v>
      </c>
      <c r="U412" s="26"/>
      <c r="V412" s="26"/>
      <c r="W412" s="26"/>
      <c r="X412" s="26"/>
      <c r="Y412" s="26"/>
      <c r="Z412" s="26"/>
      <c r="AA412" s="26"/>
      <c r="AB412" s="26"/>
      <c r="AC412" s="26"/>
    </row>
    <row r="413" ht="33.75" customHeight="1">
      <c r="A413" s="78" t="s">
        <v>723</v>
      </c>
      <c r="B413" s="79" t="s">
        <v>24</v>
      </c>
      <c r="C413" s="79" t="s">
        <v>710</v>
      </c>
      <c r="D413" s="79" t="s">
        <v>720</v>
      </c>
      <c r="E413" s="94" t="s">
        <v>721</v>
      </c>
      <c r="F413" s="95" t="s">
        <v>712</v>
      </c>
      <c r="G413" s="95" t="s">
        <v>200</v>
      </c>
      <c r="H413" s="97" t="s">
        <v>200</v>
      </c>
      <c r="I413" s="65"/>
      <c r="J413" s="95" t="s">
        <v>9</v>
      </c>
      <c r="K413" s="121" t="s">
        <v>9</v>
      </c>
      <c r="L413" s="129">
        <v>0.5</v>
      </c>
      <c r="M413" s="129">
        <f t="shared" si="301"/>
        <v>0.625</v>
      </c>
      <c r="N413" s="128">
        <v>0.75</v>
      </c>
      <c r="O413" s="130">
        <f t="shared" si="320"/>
        <v>0.625</v>
      </c>
      <c r="P413" s="159"/>
      <c r="Q413" s="131">
        <f t="shared" si="318"/>
        <v>0.625</v>
      </c>
      <c r="R413" s="132"/>
      <c r="S413" s="132"/>
      <c r="T413" s="65" t="s">
        <v>32</v>
      </c>
      <c r="U413" s="26"/>
      <c r="V413" s="26"/>
      <c r="W413" s="26"/>
      <c r="X413" s="26"/>
      <c r="Y413" s="26"/>
      <c r="Z413" s="26"/>
      <c r="AA413" s="26"/>
      <c r="AB413" s="26"/>
      <c r="AC413" s="26"/>
    </row>
    <row r="414" ht="33.75" customHeight="1">
      <c r="A414" s="78" t="s">
        <v>724</v>
      </c>
      <c r="B414" s="79" t="s">
        <v>24</v>
      </c>
      <c r="C414" s="79" t="s">
        <v>710</v>
      </c>
      <c r="D414" s="79" t="s">
        <v>720</v>
      </c>
      <c r="E414" s="94" t="s">
        <v>721</v>
      </c>
      <c r="F414" s="95" t="s">
        <v>712</v>
      </c>
      <c r="G414" s="95" t="s">
        <v>200</v>
      </c>
      <c r="H414" s="97" t="s">
        <v>200</v>
      </c>
      <c r="I414" s="65"/>
      <c r="J414" s="95" t="s">
        <v>9</v>
      </c>
      <c r="K414" s="121" t="s">
        <v>9</v>
      </c>
      <c r="L414" s="129">
        <v>0.25</v>
      </c>
      <c r="M414" s="129">
        <f t="shared" si="301"/>
        <v>0.375</v>
      </c>
      <c r="N414" s="129">
        <v>0.5</v>
      </c>
      <c r="O414" s="130">
        <f t="shared" si="320"/>
        <v>0.375</v>
      </c>
      <c r="P414" s="159"/>
      <c r="Q414" s="131">
        <f t="shared" si="318"/>
        <v>0.375</v>
      </c>
      <c r="R414" s="132"/>
      <c r="S414" s="132"/>
      <c r="T414" s="65" t="s">
        <v>70</v>
      </c>
      <c r="U414" s="26"/>
      <c r="V414" s="26"/>
      <c r="W414" s="26"/>
      <c r="X414" s="26"/>
      <c r="Y414" s="26"/>
      <c r="Z414" s="26"/>
      <c r="AA414" s="26"/>
      <c r="AB414" s="26"/>
      <c r="AC414" s="26"/>
    </row>
    <row r="415" ht="33.75" customHeight="1">
      <c r="A415" s="116" t="s">
        <v>725</v>
      </c>
      <c r="B415" s="77" t="s">
        <v>24</v>
      </c>
      <c r="C415" s="77" t="s">
        <v>710</v>
      </c>
      <c r="D415" s="77" t="s">
        <v>726</v>
      </c>
      <c r="E415" s="117" t="s">
        <v>727</v>
      </c>
      <c r="F415" s="118" t="s">
        <v>712</v>
      </c>
      <c r="G415" s="118" t="s">
        <v>168</v>
      </c>
      <c r="H415" s="119" t="s">
        <v>168</v>
      </c>
      <c r="I415" s="54"/>
      <c r="J415" s="118" t="s">
        <v>9</v>
      </c>
      <c r="K415" s="120" t="s">
        <v>9</v>
      </c>
      <c r="L415" s="51">
        <f>IF(COUNT(L416:N418)=0,"",SUM(L416:L418))</f>
        <v>2.5</v>
      </c>
      <c r="M415" s="51">
        <f t="shared" si="301"/>
        <v>3.625</v>
      </c>
      <c r="N415" s="51">
        <f>IF(COUNT(L416:N418)=0,"",SUM(N416:N418))</f>
        <v>4.75</v>
      </c>
      <c r="O415" s="51">
        <f>IF(COUNT(O416:O418)=0,"",SUM(O416:O418))</f>
        <v>3.625</v>
      </c>
      <c r="P415" s="52"/>
      <c r="Q415" s="51">
        <f t="shared" si="318"/>
        <v>3.625</v>
      </c>
      <c r="R415" s="53"/>
      <c r="S415" s="53"/>
      <c r="T415" s="54" t="s">
        <v>65</v>
      </c>
      <c r="U415" s="179"/>
      <c r="V415" s="179"/>
      <c r="W415" s="179"/>
      <c r="X415" s="105"/>
      <c r="Y415" s="105"/>
      <c r="Z415" s="105"/>
      <c r="AA415" s="105"/>
      <c r="AB415" s="179"/>
      <c r="AC415" s="105"/>
    </row>
    <row r="416" ht="33.75" customHeight="1">
      <c r="A416" s="78" t="s">
        <v>728</v>
      </c>
      <c r="B416" s="79" t="s">
        <v>24</v>
      </c>
      <c r="C416" s="79" t="s">
        <v>710</v>
      </c>
      <c r="D416" s="79" t="s">
        <v>726</v>
      </c>
      <c r="E416" s="94" t="s">
        <v>727</v>
      </c>
      <c r="F416" s="95" t="s">
        <v>712</v>
      </c>
      <c r="G416" s="95" t="s">
        <v>168</v>
      </c>
      <c r="H416" s="97" t="s">
        <v>168</v>
      </c>
      <c r="I416" s="65"/>
      <c r="J416" s="95" t="s">
        <v>9</v>
      </c>
      <c r="K416" s="121" t="s">
        <v>9</v>
      </c>
      <c r="L416" s="129">
        <v>1.0</v>
      </c>
      <c r="M416" s="129">
        <f t="shared" si="301"/>
        <v>1.5</v>
      </c>
      <c r="N416" s="128">
        <v>2.0</v>
      </c>
      <c r="O416" s="130">
        <f t="shared" ref="O416:O418" si="321">IF(COUNT(L416:N416)=0,"",(L416+4*M416+N416)/6)</f>
        <v>1.5</v>
      </c>
      <c r="P416" s="159"/>
      <c r="Q416" s="131">
        <f t="shared" si="318"/>
        <v>1.5</v>
      </c>
      <c r="R416" s="132"/>
      <c r="S416" s="132"/>
      <c r="T416" s="65" t="s">
        <v>31</v>
      </c>
      <c r="U416" s="26"/>
      <c r="V416" s="26"/>
      <c r="W416" s="26"/>
      <c r="X416" s="26"/>
      <c r="Y416" s="26"/>
      <c r="Z416" s="26"/>
      <c r="AA416" s="26"/>
      <c r="AB416" s="26"/>
      <c r="AC416" s="26"/>
    </row>
    <row r="417" ht="33.75" customHeight="1">
      <c r="A417" s="78" t="s">
        <v>729</v>
      </c>
      <c r="B417" s="79" t="s">
        <v>24</v>
      </c>
      <c r="C417" s="79" t="s">
        <v>710</v>
      </c>
      <c r="D417" s="79" t="s">
        <v>726</v>
      </c>
      <c r="E417" s="94" t="s">
        <v>727</v>
      </c>
      <c r="F417" s="95" t="s">
        <v>712</v>
      </c>
      <c r="G417" s="95" t="s">
        <v>168</v>
      </c>
      <c r="H417" s="65" t="s">
        <v>168</v>
      </c>
      <c r="I417" s="65"/>
      <c r="J417" s="95" t="s">
        <v>9</v>
      </c>
      <c r="K417" s="121" t="s">
        <v>9</v>
      </c>
      <c r="L417" s="129">
        <v>1.0</v>
      </c>
      <c r="M417" s="129">
        <f t="shared" si="301"/>
        <v>1.375</v>
      </c>
      <c r="N417" s="128">
        <v>1.75</v>
      </c>
      <c r="O417" s="130">
        <f t="shared" si="321"/>
        <v>1.375</v>
      </c>
      <c r="P417" s="159"/>
      <c r="Q417" s="131">
        <f t="shared" si="318"/>
        <v>1.375</v>
      </c>
      <c r="R417" s="132"/>
      <c r="S417" s="132"/>
      <c r="T417" s="65" t="s">
        <v>32</v>
      </c>
      <c r="U417" s="26"/>
      <c r="V417" s="26"/>
      <c r="W417" s="26"/>
      <c r="X417" s="26"/>
      <c r="Y417" s="26"/>
      <c r="Z417" s="26"/>
      <c r="AA417" s="26"/>
      <c r="AB417" s="26"/>
      <c r="AC417" s="26"/>
    </row>
    <row r="418" ht="33.75" customHeight="1">
      <c r="A418" s="78" t="s">
        <v>730</v>
      </c>
      <c r="B418" s="79" t="s">
        <v>24</v>
      </c>
      <c r="C418" s="79" t="s">
        <v>710</v>
      </c>
      <c r="D418" s="79" t="s">
        <v>726</v>
      </c>
      <c r="E418" s="94" t="s">
        <v>727</v>
      </c>
      <c r="F418" s="95" t="s">
        <v>712</v>
      </c>
      <c r="G418" s="95" t="s">
        <v>168</v>
      </c>
      <c r="H418" s="65" t="s">
        <v>168</v>
      </c>
      <c r="I418" s="65"/>
      <c r="J418" s="95" t="s">
        <v>9</v>
      </c>
      <c r="K418" s="121" t="s">
        <v>9</v>
      </c>
      <c r="L418" s="129">
        <v>0.5</v>
      </c>
      <c r="M418" s="129">
        <f t="shared" si="301"/>
        <v>0.75</v>
      </c>
      <c r="N418" s="129">
        <v>1.0</v>
      </c>
      <c r="O418" s="130">
        <f t="shared" si="321"/>
        <v>0.75</v>
      </c>
      <c r="P418" s="159"/>
      <c r="Q418" s="131">
        <f t="shared" si="318"/>
        <v>0.75</v>
      </c>
      <c r="R418" s="132"/>
      <c r="S418" s="132"/>
      <c r="T418" s="65" t="s">
        <v>70</v>
      </c>
      <c r="U418" s="26"/>
      <c r="V418" s="26"/>
      <c r="W418" s="26"/>
      <c r="X418" s="26"/>
      <c r="Y418" s="26"/>
      <c r="Z418" s="26"/>
      <c r="AA418" s="26"/>
      <c r="AB418" s="26"/>
      <c r="AC418" s="26"/>
    </row>
    <row r="419" ht="33.75" customHeight="1">
      <c r="A419" s="116" t="s">
        <v>731</v>
      </c>
      <c r="B419" s="77" t="s">
        <v>24</v>
      </c>
      <c r="C419" s="77" t="s">
        <v>710</v>
      </c>
      <c r="D419" s="77" t="s">
        <v>732</v>
      </c>
      <c r="E419" s="117" t="s">
        <v>733</v>
      </c>
      <c r="F419" s="118" t="s">
        <v>734</v>
      </c>
      <c r="G419" s="118" t="s">
        <v>200</v>
      </c>
      <c r="H419" s="119" t="s">
        <v>200</v>
      </c>
      <c r="I419" s="54"/>
      <c r="J419" s="118" t="s">
        <v>9</v>
      </c>
      <c r="K419" s="120" t="s">
        <v>9</v>
      </c>
      <c r="L419" s="51">
        <f>IF(COUNT(L420:N422)=0,"",SUM(L420:L422))</f>
        <v>2.25</v>
      </c>
      <c r="M419" s="51">
        <f t="shared" si="301"/>
        <v>3.25</v>
      </c>
      <c r="N419" s="51">
        <f>IF(COUNT(L420:N422)=0,"",SUM(N420:N422))</f>
        <v>4.25</v>
      </c>
      <c r="O419" s="51">
        <f>IF(COUNT(O420:O422)=0,"",SUM(O420:O422))</f>
        <v>3.25</v>
      </c>
      <c r="P419" s="52"/>
      <c r="Q419" s="51">
        <f t="shared" si="318"/>
        <v>3.25</v>
      </c>
      <c r="R419" s="53"/>
      <c r="S419" s="53"/>
      <c r="T419" s="54" t="s">
        <v>65</v>
      </c>
      <c r="U419" s="179"/>
      <c r="V419" s="179"/>
      <c r="W419" s="179"/>
      <c r="X419" s="105"/>
      <c r="Y419" s="105"/>
      <c r="Z419" s="105"/>
      <c r="AA419" s="105"/>
      <c r="AB419" s="179"/>
      <c r="AC419" s="105"/>
    </row>
    <row r="420" ht="33.75" customHeight="1">
      <c r="A420" s="78" t="s">
        <v>735</v>
      </c>
      <c r="B420" s="79" t="s">
        <v>24</v>
      </c>
      <c r="C420" s="79" t="s">
        <v>710</v>
      </c>
      <c r="D420" s="79" t="s">
        <v>732</v>
      </c>
      <c r="E420" s="94" t="s">
        <v>733</v>
      </c>
      <c r="F420" s="95" t="s">
        <v>734</v>
      </c>
      <c r="G420" s="95" t="s">
        <v>200</v>
      </c>
      <c r="H420" s="97" t="s">
        <v>200</v>
      </c>
      <c r="I420" s="65"/>
      <c r="J420" s="95" t="s">
        <v>9</v>
      </c>
      <c r="K420" s="121" t="s">
        <v>9</v>
      </c>
      <c r="L420" s="129">
        <v>1.0</v>
      </c>
      <c r="M420" s="129">
        <f t="shared" si="301"/>
        <v>1.25</v>
      </c>
      <c r="N420" s="128">
        <v>1.5</v>
      </c>
      <c r="O420" s="130">
        <f t="shared" ref="O420:O422" si="322">IF(COUNT(L420:N420)=0,"",(L420+4*M420+N420)/6)</f>
        <v>1.25</v>
      </c>
      <c r="P420" s="159"/>
      <c r="Q420" s="131">
        <f t="shared" si="318"/>
        <v>1.25</v>
      </c>
      <c r="R420" s="132"/>
      <c r="S420" s="132"/>
      <c r="T420" s="65" t="s">
        <v>31</v>
      </c>
      <c r="U420" s="26"/>
      <c r="V420" s="26"/>
      <c r="W420" s="26"/>
      <c r="X420" s="26"/>
      <c r="Y420" s="26"/>
      <c r="Z420" s="26"/>
      <c r="AA420" s="26"/>
      <c r="AB420" s="26"/>
      <c r="AC420" s="26"/>
    </row>
    <row r="421" ht="33.75" customHeight="1">
      <c r="A421" s="78" t="s">
        <v>736</v>
      </c>
      <c r="B421" s="79" t="s">
        <v>24</v>
      </c>
      <c r="C421" s="79" t="s">
        <v>710</v>
      </c>
      <c r="D421" s="79" t="s">
        <v>732</v>
      </c>
      <c r="E421" s="94" t="s">
        <v>733</v>
      </c>
      <c r="F421" s="95" t="s">
        <v>734</v>
      </c>
      <c r="G421" s="95" t="s">
        <v>200</v>
      </c>
      <c r="H421" s="97" t="s">
        <v>200</v>
      </c>
      <c r="I421" s="65"/>
      <c r="J421" s="95" t="s">
        <v>9</v>
      </c>
      <c r="K421" s="121" t="s">
        <v>9</v>
      </c>
      <c r="L421" s="129">
        <v>1.0</v>
      </c>
      <c r="M421" s="129">
        <f t="shared" si="301"/>
        <v>1.5</v>
      </c>
      <c r="N421" s="129">
        <v>2.0</v>
      </c>
      <c r="O421" s="130">
        <f t="shared" si="322"/>
        <v>1.5</v>
      </c>
      <c r="P421" s="159"/>
      <c r="Q421" s="131">
        <f t="shared" si="318"/>
        <v>1.5</v>
      </c>
      <c r="R421" s="132"/>
      <c r="S421" s="132"/>
      <c r="T421" s="65" t="s">
        <v>32</v>
      </c>
      <c r="U421" s="26"/>
      <c r="V421" s="26"/>
      <c r="W421" s="26"/>
      <c r="X421" s="26"/>
      <c r="Y421" s="26"/>
      <c r="Z421" s="26"/>
      <c r="AA421" s="26"/>
      <c r="AB421" s="26"/>
      <c r="AC421" s="26"/>
    </row>
    <row r="422" ht="33.75" customHeight="1">
      <c r="A422" s="78" t="s">
        <v>737</v>
      </c>
      <c r="B422" s="79" t="s">
        <v>24</v>
      </c>
      <c r="C422" s="79" t="s">
        <v>710</v>
      </c>
      <c r="D422" s="79" t="s">
        <v>732</v>
      </c>
      <c r="E422" s="94" t="s">
        <v>733</v>
      </c>
      <c r="F422" s="95" t="s">
        <v>734</v>
      </c>
      <c r="G422" s="95" t="s">
        <v>200</v>
      </c>
      <c r="H422" s="97" t="s">
        <v>200</v>
      </c>
      <c r="I422" s="65"/>
      <c r="J422" s="95" t="s">
        <v>9</v>
      </c>
      <c r="K422" s="121" t="s">
        <v>9</v>
      </c>
      <c r="L422" s="129">
        <v>0.25</v>
      </c>
      <c r="M422" s="129">
        <f t="shared" si="301"/>
        <v>0.5</v>
      </c>
      <c r="N422" s="128">
        <v>0.75</v>
      </c>
      <c r="O422" s="130">
        <f t="shared" si="322"/>
        <v>0.5</v>
      </c>
      <c r="P422" s="159"/>
      <c r="Q422" s="131">
        <f t="shared" si="318"/>
        <v>0.5</v>
      </c>
      <c r="R422" s="132"/>
      <c r="S422" s="132"/>
      <c r="T422" s="65" t="s">
        <v>70</v>
      </c>
      <c r="U422" s="26"/>
      <c r="V422" s="26"/>
      <c r="W422" s="26"/>
      <c r="X422" s="26"/>
      <c r="Y422" s="26"/>
      <c r="Z422" s="26"/>
      <c r="AA422" s="26"/>
      <c r="AB422" s="26"/>
      <c r="AC422" s="26"/>
    </row>
    <row r="423" ht="33.75" customHeight="1">
      <c r="A423" s="134" t="s">
        <v>738</v>
      </c>
      <c r="B423" s="135" t="s">
        <v>24</v>
      </c>
      <c r="C423" s="135" t="s">
        <v>710</v>
      </c>
      <c r="D423" s="135" t="s">
        <v>739</v>
      </c>
      <c r="E423" s="136" t="s">
        <v>740</v>
      </c>
      <c r="F423" s="137" t="s">
        <v>731</v>
      </c>
      <c r="G423" s="137" t="s">
        <v>534</v>
      </c>
      <c r="H423" s="100" t="s">
        <v>534</v>
      </c>
      <c r="I423" s="100"/>
      <c r="J423" s="137" t="s">
        <v>12</v>
      </c>
      <c r="K423" s="138" t="s">
        <v>12</v>
      </c>
      <c r="L423" s="192">
        <f>IF(COUNT(L424:N426)=0,"",SUM(L424:L426))</f>
        <v>0</v>
      </c>
      <c r="M423" s="192">
        <f t="shared" si="301"/>
        <v>0</v>
      </c>
      <c r="N423" s="192">
        <f>IF(COUNT(L424:N426)=0,"",SUM(N424:N426))</f>
        <v>0</v>
      </c>
      <c r="O423" s="192">
        <f>IF(COUNT(O424:O426)=0,"",SUM(O424:O426))</f>
        <v>0</v>
      </c>
      <c r="P423" s="193"/>
      <c r="Q423" s="194">
        <f t="shared" si="318"/>
        <v>0</v>
      </c>
      <c r="R423" s="104"/>
      <c r="S423" s="104"/>
      <c r="T423" s="100" t="s">
        <v>65</v>
      </c>
      <c r="U423" s="26"/>
      <c r="V423" s="26"/>
      <c r="W423" s="26"/>
      <c r="X423" s="26"/>
      <c r="Y423" s="26"/>
      <c r="Z423" s="26"/>
      <c r="AA423" s="26"/>
      <c r="AB423" s="26"/>
      <c r="AC423" s="26"/>
    </row>
    <row r="424" ht="33.75" customHeight="1">
      <c r="A424" s="142" t="s">
        <v>741</v>
      </c>
      <c r="B424" s="143" t="s">
        <v>24</v>
      </c>
      <c r="C424" s="143" t="s">
        <v>710</v>
      </c>
      <c r="D424" s="143" t="s">
        <v>739</v>
      </c>
      <c r="E424" s="144" t="s">
        <v>740</v>
      </c>
      <c r="F424" s="145" t="s">
        <v>731</v>
      </c>
      <c r="G424" s="145" t="s">
        <v>534</v>
      </c>
      <c r="H424" s="106" t="s">
        <v>534</v>
      </c>
      <c r="I424" s="106"/>
      <c r="J424" s="145" t="s">
        <v>12</v>
      </c>
      <c r="K424" s="146" t="s">
        <v>12</v>
      </c>
      <c r="L424" s="109"/>
      <c r="M424" s="109">
        <f t="shared" si="301"/>
        <v>0</v>
      </c>
      <c r="N424" s="109"/>
      <c r="O424" s="147">
        <f t="shared" ref="O424:O426" si="323">IF(COUNT(L424:N424)=0,"",(L424+4*M424+N424)/6)</f>
        <v>0</v>
      </c>
      <c r="P424" s="110"/>
      <c r="Q424" s="148">
        <f t="shared" si="318"/>
        <v>0</v>
      </c>
      <c r="R424" s="111"/>
      <c r="S424" s="111"/>
      <c r="T424" s="106" t="s">
        <v>31</v>
      </c>
      <c r="U424" s="26"/>
      <c r="V424" s="26"/>
      <c r="W424" s="26"/>
      <c r="X424" s="26"/>
      <c r="Y424" s="26"/>
      <c r="Z424" s="26"/>
      <c r="AA424" s="26"/>
      <c r="AB424" s="26"/>
      <c r="AC424" s="26"/>
    </row>
    <row r="425" ht="33.75" customHeight="1">
      <c r="A425" s="142" t="s">
        <v>742</v>
      </c>
      <c r="B425" s="143" t="s">
        <v>24</v>
      </c>
      <c r="C425" s="143" t="s">
        <v>710</v>
      </c>
      <c r="D425" s="143" t="s">
        <v>739</v>
      </c>
      <c r="E425" s="144" t="s">
        <v>740</v>
      </c>
      <c r="F425" s="145" t="s">
        <v>731</v>
      </c>
      <c r="G425" s="145" t="s">
        <v>534</v>
      </c>
      <c r="H425" s="108" t="s">
        <v>534</v>
      </c>
      <c r="I425" s="108"/>
      <c r="J425" s="145" t="s">
        <v>12</v>
      </c>
      <c r="K425" s="146" t="s">
        <v>12</v>
      </c>
      <c r="L425" s="149"/>
      <c r="M425" s="109">
        <f t="shared" si="301"/>
        <v>0</v>
      </c>
      <c r="N425" s="149"/>
      <c r="O425" s="147">
        <f t="shared" si="323"/>
        <v>0</v>
      </c>
      <c r="P425" s="110"/>
      <c r="Q425" s="148">
        <f t="shared" si="318"/>
        <v>0</v>
      </c>
      <c r="R425" s="150"/>
      <c r="S425" s="150"/>
      <c r="T425" s="108" t="s">
        <v>32</v>
      </c>
      <c r="U425" s="26"/>
      <c r="V425" s="26"/>
      <c r="W425" s="26"/>
      <c r="X425" s="26"/>
      <c r="Y425" s="26"/>
      <c r="Z425" s="26"/>
      <c r="AA425" s="26"/>
      <c r="AB425" s="26"/>
      <c r="AC425" s="26"/>
    </row>
    <row r="426" ht="33.75" customHeight="1">
      <c r="A426" s="142" t="s">
        <v>743</v>
      </c>
      <c r="B426" s="143" t="s">
        <v>24</v>
      </c>
      <c r="C426" s="143" t="s">
        <v>710</v>
      </c>
      <c r="D426" s="143" t="s">
        <v>739</v>
      </c>
      <c r="E426" s="144" t="s">
        <v>740</v>
      </c>
      <c r="F426" s="145" t="s">
        <v>731</v>
      </c>
      <c r="G426" s="145" t="s">
        <v>534</v>
      </c>
      <c r="H426" s="108" t="s">
        <v>534</v>
      </c>
      <c r="I426" s="108"/>
      <c r="J426" s="145" t="s">
        <v>12</v>
      </c>
      <c r="K426" s="146" t="s">
        <v>12</v>
      </c>
      <c r="L426" s="149"/>
      <c r="M426" s="109">
        <f t="shared" si="301"/>
        <v>0</v>
      </c>
      <c r="N426" s="149"/>
      <c r="O426" s="147">
        <f t="shared" si="323"/>
        <v>0</v>
      </c>
      <c r="P426" s="110"/>
      <c r="Q426" s="148">
        <f t="shared" si="318"/>
        <v>0</v>
      </c>
      <c r="R426" s="150"/>
      <c r="S426" s="150"/>
      <c r="T426" s="108" t="s">
        <v>70</v>
      </c>
      <c r="U426" s="26"/>
      <c r="V426" s="26"/>
      <c r="W426" s="26"/>
      <c r="X426" s="26"/>
      <c r="Y426" s="26"/>
      <c r="Z426" s="26"/>
      <c r="AA426" s="26"/>
      <c r="AB426" s="26"/>
      <c r="AC426" s="26"/>
    </row>
    <row r="427" ht="33.75" customHeight="1">
      <c r="A427" s="127" t="s">
        <v>744</v>
      </c>
      <c r="B427" s="77" t="s">
        <v>24</v>
      </c>
      <c r="C427" s="77" t="s">
        <v>710</v>
      </c>
      <c r="D427" s="70" t="s">
        <v>745</v>
      </c>
      <c r="E427" s="167" t="s">
        <v>746</v>
      </c>
      <c r="F427" s="166" t="s">
        <v>715</v>
      </c>
      <c r="G427" s="166" t="s">
        <v>200</v>
      </c>
      <c r="H427" s="54"/>
      <c r="I427" s="54"/>
      <c r="J427" s="120" t="s">
        <v>9</v>
      </c>
      <c r="K427" s="120" t="s">
        <v>9</v>
      </c>
      <c r="L427" s="51">
        <f>IF(COUNT(L428:N430)=0,"",SUM(L428:L430))</f>
        <v>1.5</v>
      </c>
      <c r="M427" s="51">
        <f t="shared" si="301"/>
        <v>2</v>
      </c>
      <c r="N427" s="51">
        <f>IF(COUNT(L428:N430)=0,"",SUM(N428:N430))</f>
        <v>2.5</v>
      </c>
      <c r="O427" s="51">
        <f>IF(COUNT(O428:O430)=0,"",SUM(O428:O430))</f>
        <v>2</v>
      </c>
      <c r="P427" s="52"/>
      <c r="Q427" s="51">
        <f t="shared" si="318"/>
        <v>2</v>
      </c>
      <c r="R427" s="53"/>
      <c r="S427" s="53"/>
      <c r="T427" s="54" t="s">
        <v>65</v>
      </c>
      <c r="U427" s="179"/>
      <c r="V427" s="179"/>
      <c r="W427" s="179"/>
      <c r="X427" s="105"/>
      <c r="Y427" s="105"/>
      <c r="Z427" s="105"/>
      <c r="AA427" s="105"/>
      <c r="AB427" s="179"/>
      <c r="AC427" s="105"/>
    </row>
    <row r="428" ht="33.75" customHeight="1">
      <c r="A428" s="78" t="s">
        <v>747</v>
      </c>
      <c r="B428" s="79" t="str">
        <f t="shared" ref="B428:J428" si="324">B427</f>
        <v>AI Coaching &amp; Personality</v>
      </c>
      <c r="C428" s="79" t="str">
        <f t="shared" si="324"/>
        <v>Proactive Coaching</v>
      </c>
      <c r="D428" s="79" t="str">
        <f t="shared" si="324"/>
        <v>Weekly coaching session framework — system-scheduled, comprehensive coaching engagement modelled on an in-person financial advisor session</v>
      </c>
      <c r="E428" s="79" t="str">
        <f t="shared" si="324"/>
        <v>20 April workshop — the weekly cadence and advisor-session format are the defining product choice here. Users cannot self-initiate; scheduled weekly with user notification. Entry flow takes the user from a notification into the session UI</v>
      </c>
      <c r="F428" s="79" t="str">
        <f t="shared" si="324"/>
        <v>4.2.3, Epic 9</v>
      </c>
      <c r="G428" s="79" t="str">
        <f t="shared" si="324"/>
        <v>L</v>
      </c>
      <c r="H428" s="79" t="str">
        <f t="shared" si="324"/>
        <v/>
      </c>
      <c r="I428" s="79" t="str">
        <f t="shared" si="324"/>
        <v/>
      </c>
      <c r="J428" s="204" t="str">
        <f t="shared" si="324"/>
        <v>MVP</v>
      </c>
      <c r="K428" s="121" t="s">
        <v>9</v>
      </c>
      <c r="L428" s="129">
        <v>0.0</v>
      </c>
      <c r="M428" s="129">
        <f t="shared" si="301"/>
        <v>0</v>
      </c>
      <c r="N428" s="129">
        <v>0.0</v>
      </c>
      <c r="O428" s="130">
        <f t="shared" ref="O428:O430" si="326">IF(COUNT(L428:N428)=0,"",(L428+4*M428+N428)/6)</f>
        <v>0</v>
      </c>
      <c r="P428" s="159"/>
      <c r="Q428" s="131">
        <f t="shared" si="318"/>
        <v>0</v>
      </c>
      <c r="R428" s="132"/>
      <c r="S428" s="132"/>
      <c r="T428" s="65" t="s">
        <v>31</v>
      </c>
      <c r="U428" s="26"/>
      <c r="V428" s="26"/>
      <c r="W428" s="26"/>
      <c r="X428" s="26"/>
      <c r="Y428" s="26"/>
      <c r="Z428" s="26"/>
      <c r="AA428" s="26"/>
      <c r="AB428" s="26"/>
      <c r="AC428" s="26"/>
    </row>
    <row r="429" ht="33.75" customHeight="1">
      <c r="A429" s="78" t="s">
        <v>748</v>
      </c>
      <c r="B429" s="79" t="str">
        <f t="shared" ref="B429:J429" si="325">B428</f>
        <v>AI Coaching &amp; Personality</v>
      </c>
      <c r="C429" s="79" t="str">
        <f t="shared" si="325"/>
        <v>Proactive Coaching</v>
      </c>
      <c r="D429" s="79" t="str">
        <f t="shared" si="325"/>
        <v>Weekly coaching session framework — system-scheduled, comprehensive coaching engagement modelled on an in-person financial advisor session</v>
      </c>
      <c r="E429" s="79" t="str">
        <f t="shared" si="325"/>
        <v>20 April workshop — the weekly cadence and advisor-session format are the defining product choice here. Users cannot self-initiate; scheduled weekly with user notification. Entry flow takes the user from a notification into the session UI</v>
      </c>
      <c r="F429" s="79" t="str">
        <f t="shared" si="325"/>
        <v>4.2.3, Epic 9</v>
      </c>
      <c r="G429" s="79" t="str">
        <f t="shared" si="325"/>
        <v>L</v>
      </c>
      <c r="H429" s="79" t="str">
        <f t="shared" si="325"/>
        <v/>
      </c>
      <c r="I429" s="79" t="str">
        <f t="shared" si="325"/>
        <v/>
      </c>
      <c r="J429" s="204" t="str">
        <f t="shared" si="325"/>
        <v>MVP</v>
      </c>
      <c r="K429" s="121" t="s">
        <v>9</v>
      </c>
      <c r="L429" s="128">
        <v>1.0</v>
      </c>
      <c r="M429" s="129">
        <f t="shared" si="301"/>
        <v>1.25</v>
      </c>
      <c r="N429" s="128">
        <v>1.5</v>
      </c>
      <c r="O429" s="130">
        <f t="shared" si="326"/>
        <v>1.25</v>
      </c>
      <c r="P429" s="159"/>
      <c r="Q429" s="131">
        <f t="shared" si="318"/>
        <v>1.25</v>
      </c>
      <c r="R429" s="132"/>
      <c r="S429" s="132"/>
      <c r="T429" s="65" t="s">
        <v>32</v>
      </c>
      <c r="U429" s="26"/>
      <c r="V429" s="26"/>
      <c r="W429" s="26"/>
      <c r="X429" s="26"/>
      <c r="Y429" s="26"/>
      <c r="Z429" s="26"/>
      <c r="AA429" s="26"/>
      <c r="AB429" s="26"/>
      <c r="AC429" s="26"/>
    </row>
    <row r="430" ht="33.75" customHeight="1">
      <c r="A430" s="78" t="s">
        <v>749</v>
      </c>
      <c r="B430" s="79" t="str">
        <f t="shared" ref="B430:J430" si="327">B429</f>
        <v>AI Coaching &amp; Personality</v>
      </c>
      <c r="C430" s="79" t="str">
        <f t="shared" si="327"/>
        <v>Proactive Coaching</v>
      </c>
      <c r="D430" s="79" t="str">
        <f t="shared" si="327"/>
        <v>Weekly coaching session framework — system-scheduled, comprehensive coaching engagement modelled on an in-person financial advisor session</v>
      </c>
      <c r="E430" s="79" t="str">
        <f t="shared" si="327"/>
        <v>20 April workshop — the weekly cadence and advisor-session format are the defining product choice here. Users cannot self-initiate; scheduled weekly with user notification. Entry flow takes the user from a notification into the session UI</v>
      </c>
      <c r="F430" s="79" t="str">
        <f t="shared" si="327"/>
        <v>4.2.3, Epic 9</v>
      </c>
      <c r="G430" s="79" t="str">
        <f t="shared" si="327"/>
        <v>L</v>
      </c>
      <c r="H430" s="79" t="str">
        <f t="shared" si="327"/>
        <v/>
      </c>
      <c r="I430" s="79" t="str">
        <f t="shared" si="327"/>
        <v/>
      </c>
      <c r="J430" s="204" t="str">
        <f t="shared" si="327"/>
        <v>MVP</v>
      </c>
      <c r="K430" s="121" t="s">
        <v>9</v>
      </c>
      <c r="L430" s="128">
        <v>0.5</v>
      </c>
      <c r="M430" s="129">
        <f t="shared" si="301"/>
        <v>0.75</v>
      </c>
      <c r="N430" s="128">
        <v>1.0</v>
      </c>
      <c r="O430" s="130">
        <f t="shared" si="326"/>
        <v>0.75</v>
      </c>
      <c r="P430" s="159"/>
      <c r="Q430" s="131">
        <f t="shared" si="318"/>
        <v>0.75</v>
      </c>
      <c r="R430" s="132"/>
      <c r="S430" s="132"/>
      <c r="T430" s="65" t="s">
        <v>70</v>
      </c>
      <c r="U430" s="26"/>
      <c r="V430" s="26"/>
      <c r="W430" s="26"/>
      <c r="X430" s="26"/>
      <c r="Y430" s="26"/>
      <c r="Z430" s="26"/>
      <c r="AA430" s="26"/>
      <c r="AB430" s="26"/>
      <c r="AC430" s="26"/>
    </row>
    <row r="431" ht="33.75" customHeight="1">
      <c r="A431" s="127" t="s">
        <v>750</v>
      </c>
      <c r="B431" s="77" t="s">
        <v>24</v>
      </c>
      <c r="C431" s="77" t="s">
        <v>710</v>
      </c>
      <c r="D431" s="70" t="s">
        <v>751</v>
      </c>
      <c r="E431" s="167" t="s">
        <v>752</v>
      </c>
      <c r="F431" s="166" t="s">
        <v>753</v>
      </c>
      <c r="G431" s="166" t="s">
        <v>200</v>
      </c>
      <c r="H431" s="54"/>
      <c r="I431" s="54"/>
      <c r="J431" s="166" t="s">
        <v>9</v>
      </c>
      <c r="K431" s="120" t="s">
        <v>9</v>
      </c>
      <c r="L431" s="51">
        <f>IF(COUNT(L432:N434)=0,"",SUM(L432:L434))</f>
        <v>0</v>
      </c>
      <c r="M431" s="51">
        <f t="shared" si="301"/>
        <v>0</v>
      </c>
      <c r="N431" s="51">
        <f>IF(COUNT(L432:N434)=0,"",SUM(N432:N434))</f>
        <v>0</v>
      </c>
      <c r="O431" s="51">
        <f>IF(COUNT(O432:O434)=0,"",SUM(O432:O434))</f>
        <v>0</v>
      </c>
      <c r="P431" s="52"/>
      <c r="Q431" s="51">
        <f t="shared" si="318"/>
        <v>0</v>
      </c>
      <c r="R431" s="53"/>
      <c r="S431" s="53"/>
      <c r="T431" s="54" t="s">
        <v>65</v>
      </c>
      <c r="U431" s="179"/>
      <c r="V431" s="179"/>
      <c r="W431" s="179"/>
      <c r="X431" s="105"/>
      <c r="Y431" s="105"/>
      <c r="Z431" s="105"/>
      <c r="AA431" s="105"/>
      <c r="AB431" s="179"/>
      <c r="AC431" s="105"/>
    </row>
    <row r="432" ht="33.75" customHeight="1">
      <c r="A432" s="78" t="s">
        <v>754</v>
      </c>
      <c r="B432" s="79" t="str">
        <f t="shared" ref="B432:J432" si="328">B431</f>
        <v>AI Coaching &amp; Personality</v>
      </c>
      <c r="C432" s="79" t="str">
        <f t="shared" si="328"/>
        <v>Proactive Coaching</v>
      </c>
      <c r="D432" s="79" t="str">
        <f t="shared" si="328"/>
        <v>Weekly session content orchestration — for each user's weekly session, curate what's covered (progress review, themes from the week, flagged changes, trade-offs)</v>
      </c>
      <c r="E432" s="79" t="str">
        <f t="shared" si="328"/>
        <v>Distinct layer from the framework — this decides *what* a given user's session contains, drawing on their data, goals, and FHS movement. Content quality is the felt-value of the session.</v>
      </c>
      <c r="F432" s="79" t="str">
        <f t="shared" si="328"/>
        <v>4.4.6, 4.2.3, Epic 5, Epic 6, Epic 7</v>
      </c>
      <c r="G432" s="79" t="str">
        <f t="shared" si="328"/>
        <v>L</v>
      </c>
      <c r="H432" s="79" t="str">
        <f t="shared" si="328"/>
        <v/>
      </c>
      <c r="I432" s="79" t="str">
        <f t="shared" si="328"/>
        <v/>
      </c>
      <c r="J432" s="79" t="str">
        <f t="shared" si="328"/>
        <v>MVP</v>
      </c>
      <c r="K432" s="121" t="s">
        <v>9</v>
      </c>
      <c r="L432" s="129">
        <v>0.0</v>
      </c>
      <c r="M432" s="129">
        <f t="shared" si="301"/>
        <v>0</v>
      </c>
      <c r="N432" s="129">
        <v>0.0</v>
      </c>
      <c r="O432" s="130">
        <f t="shared" ref="O432:O433" si="330">IF(COUNT(L432:N432)=0,"",(L432+4*M432+N432)/6)</f>
        <v>0</v>
      </c>
      <c r="P432" s="159"/>
      <c r="Q432" s="131">
        <f t="shared" si="318"/>
        <v>0</v>
      </c>
      <c r="R432" s="132"/>
      <c r="S432" s="132"/>
      <c r="T432" s="65" t="s">
        <v>31</v>
      </c>
      <c r="U432" s="26"/>
      <c r="V432" s="26"/>
      <c r="W432" s="26"/>
      <c r="X432" s="26"/>
      <c r="Y432" s="26"/>
      <c r="Z432" s="26"/>
      <c r="AA432" s="26"/>
      <c r="AB432" s="26"/>
      <c r="AC432" s="26"/>
    </row>
    <row r="433" ht="33.75" customHeight="1">
      <c r="A433" s="78" t="s">
        <v>755</v>
      </c>
      <c r="B433" s="79" t="str">
        <f t="shared" ref="B433:J433" si="329">B432</f>
        <v>AI Coaching &amp; Personality</v>
      </c>
      <c r="C433" s="79" t="str">
        <f t="shared" si="329"/>
        <v>Proactive Coaching</v>
      </c>
      <c r="D433" s="79" t="str">
        <f t="shared" si="329"/>
        <v>Weekly session content orchestration — for each user's weekly session, curate what's covered (progress review, themes from the week, flagged changes, trade-offs)</v>
      </c>
      <c r="E433" s="79" t="str">
        <f t="shared" si="329"/>
        <v>Distinct layer from the framework — this decides *what* a given user's session contains, drawing on their data, goals, and FHS movement. Content quality is the felt-value of the session.</v>
      </c>
      <c r="F433" s="79" t="str">
        <f t="shared" si="329"/>
        <v>4.4.6, 4.2.3, Epic 5, Epic 6, Epic 7</v>
      </c>
      <c r="G433" s="79" t="str">
        <f t="shared" si="329"/>
        <v>L</v>
      </c>
      <c r="H433" s="79" t="str">
        <f t="shared" si="329"/>
        <v/>
      </c>
      <c r="I433" s="79" t="str">
        <f t="shared" si="329"/>
        <v/>
      </c>
      <c r="J433" s="79" t="str">
        <f t="shared" si="329"/>
        <v>MVP</v>
      </c>
      <c r="K433" s="121" t="s">
        <v>9</v>
      </c>
      <c r="L433" s="129">
        <v>0.0</v>
      </c>
      <c r="M433" s="128">
        <v>0.0</v>
      </c>
      <c r="N433" s="128">
        <v>0.0</v>
      </c>
      <c r="O433" s="130">
        <f t="shared" si="330"/>
        <v>0</v>
      </c>
      <c r="P433" s="159"/>
      <c r="Q433" s="131">
        <f t="shared" si="318"/>
        <v>0</v>
      </c>
      <c r="R433" s="132"/>
      <c r="S433" s="132"/>
      <c r="T433" s="65" t="s">
        <v>32</v>
      </c>
      <c r="U433" s="26"/>
      <c r="V433" s="26"/>
      <c r="W433" s="26"/>
      <c r="X433" s="26"/>
      <c r="Y433" s="26"/>
      <c r="Z433" s="26"/>
      <c r="AA433" s="26"/>
      <c r="AB433" s="26"/>
      <c r="AC433" s="26"/>
    </row>
    <row r="434" ht="33.75" customHeight="1">
      <c r="A434" s="78" t="s">
        <v>756</v>
      </c>
      <c r="B434" s="79" t="str">
        <f t="shared" ref="B434:J434" si="331">B433</f>
        <v>AI Coaching &amp; Personality</v>
      </c>
      <c r="C434" s="79" t="str">
        <f t="shared" si="331"/>
        <v>Proactive Coaching</v>
      </c>
      <c r="D434" s="79" t="str">
        <f t="shared" si="331"/>
        <v>Weekly session content orchestration — for each user's weekly session, curate what's covered (progress review, themes from the week, flagged changes, trade-offs)</v>
      </c>
      <c r="E434" s="79" t="str">
        <f t="shared" si="331"/>
        <v>Distinct layer from the framework — this decides *what* a given user's session contains, drawing on their data, goals, and FHS movement. Content quality is the felt-value of the session.</v>
      </c>
      <c r="F434" s="79" t="str">
        <f t="shared" si="331"/>
        <v>4.4.6, 4.2.3, Epic 5, Epic 6, Epic 7</v>
      </c>
      <c r="G434" s="79" t="str">
        <f t="shared" si="331"/>
        <v>L</v>
      </c>
      <c r="H434" s="79" t="str">
        <f t="shared" si="331"/>
        <v/>
      </c>
      <c r="I434" s="79" t="str">
        <f t="shared" si="331"/>
        <v/>
      </c>
      <c r="J434" s="79" t="str">
        <f t="shared" si="331"/>
        <v>MVP</v>
      </c>
      <c r="K434" s="121" t="s">
        <v>9</v>
      </c>
      <c r="L434" s="129">
        <v>0.0</v>
      </c>
      <c r="M434" s="128">
        <v>0.0</v>
      </c>
      <c r="N434" s="128">
        <v>0.0</v>
      </c>
      <c r="O434" s="205">
        <v>0.0</v>
      </c>
      <c r="P434" s="159"/>
      <c r="Q434" s="131">
        <f t="shared" si="318"/>
        <v>0</v>
      </c>
      <c r="R434" s="132"/>
      <c r="S434" s="132"/>
      <c r="T434" s="65" t="s">
        <v>70</v>
      </c>
      <c r="U434" s="26"/>
      <c r="V434" s="26"/>
      <c r="W434" s="26"/>
      <c r="X434" s="26"/>
      <c r="Y434" s="26"/>
      <c r="Z434" s="26"/>
      <c r="AA434" s="26"/>
      <c r="AB434" s="26"/>
      <c r="AC434" s="26"/>
    </row>
    <row r="435" ht="42.75" customHeight="1">
      <c r="A435" s="134" t="s">
        <v>757</v>
      </c>
      <c r="B435" s="135" t="s">
        <v>24</v>
      </c>
      <c r="C435" s="135" t="s">
        <v>710</v>
      </c>
      <c r="D435" s="135" t="s">
        <v>758</v>
      </c>
      <c r="E435" s="136"/>
      <c r="F435" s="137"/>
      <c r="G435" s="137"/>
      <c r="H435" s="100"/>
      <c r="I435" s="100"/>
      <c r="J435" s="137"/>
      <c r="K435" s="138"/>
      <c r="L435" s="192"/>
      <c r="M435" s="192"/>
      <c r="N435" s="192"/>
      <c r="O435" s="192"/>
      <c r="P435" s="193"/>
      <c r="Q435" s="194"/>
      <c r="R435" s="104"/>
      <c r="S435" s="104"/>
      <c r="T435" s="100"/>
      <c r="U435" s="26"/>
      <c r="V435" s="26"/>
      <c r="W435" s="26"/>
      <c r="X435" s="26"/>
      <c r="Y435" s="26"/>
      <c r="Z435" s="26"/>
      <c r="AA435" s="26"/>
      <c r="AB435" s="26"/>
      <c r="AC435" s="26"/>
    </row>
    <row r="436" ht="44.25" customHeight="1">
      <c r="A436" s="206" t="s">
        <v>759</v>
      </c>
      <c r="B436" s="143" t="str">
        <f t="shared" ref="B436:D436" si="332">B435</f>
        <v>AI Coaching &amp; Personality</v>
      </c>
      <c r="C436" s="143" t="str">
        <f t="shared" si="332"/>
        <v>Proactive Coaching</v>
      </c>
      <c r="D436" s="143" t="str">
        <f t="shared" si="332"/>
        <v>Monthly review card on dashboard — month-over-month trends, monthly financial highlights, recalibration</v>
      </c>
      <c r="E436" s="144"/>
      <c r="F436" s="145"/>
      <c r="G436" s="145"/>
      <c r="H436" s="106"/>
      <c r="I436" s="106"/>
      <c r="J436" s="145"/>
      <c r="K436" s="146"/>
      <c r="L436" s="109"/>
      <c r="M436" s="109"/>
      <c r="N436" s="109"/>
      <c r="O436" s="147"/>
      <c r="P436" s="110"/>
      <c r="Q436" s="148"/>
      <c r="R436" s="111"/>
      <c r="S436" s="111"/>
      <c r="T436" s="106"/>
      <c r="U436" s="26"/>
      <c r="V436" s="26"/>
      <c r="W436" s="26"/>
      <c r="X436" s="26"/>
      <c r="Y436" s="26"/>
      <c r="Z436" s="26"/>
      <c r="AA436" s="26"/>
      <c r="AB436" s="26"/>
      <c r="AC436" s="26"/>
    </row>
    <row r="437" ht="41.25" customHeight="1">
      <c r="A437" s="207" t="s">
        <v>760</v>
      </c>
      <c r="B437" s="143" t="str">
        <f t="shared" ref="B437:D437" si="333">B436</f>
        <v>AI Coaching &amp; Personality</v>
      </c>
      <c r="C437" s="143" t="str">
        <f t="shared" si="333"/>
        <v>Proactive Coaching</v>
      </c>
      <c r="D437" s="143" t="str">
        <f t="shared" si="333"/>
        <v>Monthly review card on dashboard — month-over-month trends, monthly financial highlights, recalibration</v>
      </c>
      <c r="E437" s="144"/>
      <c r="F437" s="145"/>
      <c r="G437" s="145"/>
      <c r="H437" s="108"/>
      <c r="I437" s="108"/>
      <c r="J437" s="145"/>
      <c r="K437" s="146"/>
      <c r="L437" s="149"/>
      <c r="M437" s="109"/>
      <c r="N437" s="149"/>
      <c r="O437" s="147"/>
      <c r="P437" s="110"/>
      <c r="Q437" s="148"/>
      <c r="R437" s="150"/>
      <c r="S437" s="150"/>
      <c r="T437" s="108"/>
      <c r="U437" s="26"/>
      <c r="V437" s="26"/>
      <c r="W437" s="26"/>
      <c r="X437" s="26"/>
      <c r="Y437" s="26"/>
      <c r="Z437" s="26"/>
      <c r="AA437" s="26"/>
      <c r="AB437" s="26"/>
      <c r="AC437" s="26"/>
    </row>
    <row r="438" ht="50.25" customHeight="1">
      <c r="A438" s="207" t="s">
        <v>761</v>
      </c>
      <c r="B438" s="143" t="str">
        <f t="shared" ref="B438:D438" si="334">B437</f>
        <v>AI Coaching &amp; Personality</v>
      </c>
      <c r="C438" s="143" t="str">
        <f t="shared" si="334"/>
        <v>Proactive Coaching</v>
      </c>
      <c r="D438" s="143" t="str">
        <f t="shared" si="334"/>
        <v>Monthly review card on dashboard — month-over-month trends, monthly financial highlights, recalibration</v>
      </c>
      <c r="E438" s="144"/>
      <c r="F438" s="145"/>
      <c r="G438" s="145"/>
      <c r="H438" s="108"/>
      <c r="I438" s="108"/>
      <c r="J438" s="145"/>
      <c r="K438" s="146"/>
      <c r="L438" s="149"/>
      <c r="M438" s="109"/>
      <c r="N438" s="149"/>
      <c r="O438" s="147"/>
      <c r="P438" s="110"/>
      <c r="Q438" s="148"/>
      <c r="R438" s="150"/>
      <c r="S438" s="150"/>
      <c r="T438" s="108"/>
      <c r="U438" s="26"/>
      <c r="V438" s="26"/>
      <c r="W438" s="26"/>
      <c r="X438" s="26"/>
      <c r="Y438" s="26"/>
      <c r="Z438" s="26"/>
      <c r="AA438" s="26"/>
      <c r="AB438" s="26"/>
      <c r="AC438" s="26"/>
    </row>
    <row r="439" ht="33.75" customHeight="1">
      <c r="A439" s="134" t="s">
        <v>762</v>
      </c>
      <c r="B439" s="135" t="s">
        <v>24</v>
      </c>
      <c r="C439" s="135" t="s">
        <v>710</v>
      </c>
      <c r="D439" s="135" t="s">
        <v>763</v>
      </c>
      <c r="E439" s="136"/>
      <c r="F439" s="137"/>
      <c r="G439" s="137"/>
      <c r="H439" s="100"/>
      <c r="I439" s="100"/>
      <c r="J439" s="137"/>
      <c r="K439" s="138"/>
      <c r="L439" s="192"/>
      <c r="M439" s="192"/>
      <c r="N439" s="192"/>
      <c r="O439" s="192"/>
      <c r="P439" s="193"/>
      <c r="Q439" s="194"/>
      <c r="R439" s="104"/>
      <c r="S439" s="104"/>
      <c r="T439" s="100"/>
      <c r="U439" s="26"/>
      <c r="V439" s="26"/>
      <c r="W439" s="26"/>
      <c r="X439" s="26"/>
      <c r="Y439" s="26"/>
      <c r="Z439" s="26"/>
      <c r="AA439" s="26"/>
      <c r="AB439" s="26"/>
      <c r="AC439" s="26"/>
    </row>
    <row r="440" ht="33.75" customHeight="1">
      <c r="A440" s="206" t="s">
        <v>764</v>
      </c>
      <c r="B440" s="143" t="str">
        <f t="shared" ref="B440:D440" si="335">B439</f>
        <v>AI Coaching &amp; Personality</v>
      </c>
      <c r="C440" s="143" t="str">
        <f t="shared" si="335"/>
        <v>Proactive Coaching</v>
      </c>
      <c r="D440" s="143" t="str">
        <f t="shared" si="335"/>
        <v>Yearly review card on dashboard — year-over-year retrospective, annual narrative, next-year goal setting</v>
      </c>
      <c r="E440" s="144"/>
      <c r="F440" s="145"/>
      <c r="G440" s="145"/>
      <c r="H440" s="106"/>
      <c r="I440" s="106"/>
      <c r="J440" s="145"/>
      <c r="K440" s="146"/>
      <c r="L440" s="109"/>
      <c r="M440" s="109"/>
      <c r="N440" s="109"/>
      <c r="O440" s="147"/>
      <c r="P440" s="110"/>
      <c r="Q440" s="148"/>
      <c r="R440" s="111"/>
      <c r="S440" s="111"/>
      <c r="T440" s="106"/>
      <c r="U440" s="26"/>
      <c r="V440" s="26"/>
      <c r="W440" s="26"/>
      <c r="X440" s="26"/>
      <c r="Y440" s="26"/>
      <c r="Z440" s="26"/>
      <c r="AA440" s="26"/>
      <c r="AB440" s="26"/>
      <c r="AC440" s="26"/>
    </row>
    <row r="441" ht="33.75" customHeight="1">
      <c r="A441" s="207" t="s">
        <v>765</v>
      </c>
      <c r="B441" s="143" t="str">
        <f t="shared" ref="B441:D441" si="336">B440</f>
        <v>AI Coaching &amp; Personality</v>
      </c>
      <c r="C441" s="143" t="str">
        <f t="shared" si="336"/>
        <v>Proactive Coaching</v>
      </c>
      <c r="D441" s="143" t="str">
        <f t="shared" si="336"/>
        <v>Yearly review card on dashboard — year-over-year retrospective, annual narrative, next-year goal setting</v>
      </c>
      <c r="E441" s="144"/>
      <c r="F441" s="145"/>
      <c r="G441" s="145"/>
      <c r="H441" s="108"/>
      <c r="I441" s="108"/>
      <c r="J441" s="145"/>
      <c r="K441" s="146"/>
      <c r="L441" s="149"/>
      <c r="M441" s="109"/>
      <c r="N441" s="149"/>
      <c r="O441" s="147"/>
      <c r="P441" s="110"/>
      <c r="Q441" s="148"/>
      <c r="R441" s="150"/>
      <c r="S441" s="150"/>
      <c r="T441" s="108"/>
      <c r="U441" s="26"/>
      <c r="V441" s="26"/>
      <c r="W441" s="26"/>
      <c r="X441" s="26"/>
      <c r="Y441" s="26"/>
      <c r="Z441" s="26"/>
      <c r="AA441" s="26"/>
      <c r="AB441" s="26"/>
      <c r="AC441" s="26"/>
    </row>
    <row r="442" ht="33.75" customHeight="1">
      <c r="A442" s="207" t="s">
        <v>766</v>
      </c>
      <c r="B442" s="143" t="str">
        <f t="shared" ref="B442:D442" si="337">B441</f>
        <v>AI Coaching &amp; Personality</v>
      </c>
      <c r="C442" s="143" t="str">
        <f t="shared" si="337"/>
        <v>Proactive Coaching</v>
      </c>
      <c r="D442" s="143" t="str">
        <f t="shared" si="337"/>
        <v>Yearly review card on dashboard — year-over-year retrospective, annual narrative, next-year goal setting</v>
      </c>
      <c r="E442" s="144"/>
      <c r="F442" s="145"/>
      <c r="G442" s="145"/>
      <c r="H442" s="108"/>
      <c r="I442" s="108"/>
      <c r="J442" s="145"/>
      <c r="K442" s="146"/>
      <c r="L442" s="149"/>
      <c r="M442" s="109"/>
      <c r="N442" s="149"/>
      <c r="O442" s="147"/>
      <c r="P442" s="110"/>
      <c r="Q442" s="148"/>
      <c r="R442" s="150"/>
      <c r="S442" s="150"/>
      <c r="T442" s="108"/>
      <c r="U442" s="26"/>
      <c r="V442" s="26"/>
      <c r="W442" s="26"/>
      <c r="X442" s="26"/>
      <c r="Y442" s="26"/>
      <c r="Z442" s="26"/>
      <c r="AA442" s="26"/>
      <c r="AB442" s="26"/>
      <c r="AC442" s="26"/>
    </row>
    <row r="443" ht="33.75" customHeight="1">
      <c r="A443" s="38" t="s">
        <v>767</v>
      </c>
      <c r="B443" s="38" t="s">
        <v>24</v>
      </c>
      <c r="C443" s="38" t="s">
        <v>768</v>
      </c>
      <c r="D443" s="38" t="s">
        <v>768</v>
      </c>
      <c r="E443" s="113" t="s">
        <v>769</v>
      </c>
      <c r="F443" s="114"/>
      <c r="G443" s="114"/>
      <c r="H443" s="123"/>
      <c r="I443" s="45"/>
      <c r="J443" s="114"/>
      <c r="K443" s="115"/>
      <c r="L443" s="42">
        <f>IF(COUNT(L444,L448,L452,L456)=0,"",SUM(L444,L448,L452,L456))</f>
        <v>7.5</v>
      </c>
      <c r="M443" s="42">
        <f t="shared" ref="M443:M489" si="340">(N443+L443)/2</f>
        <v>10.625</v>
      </c>
      <c r="N443" s="42">
        <f t="shared" ref="N443:O443" si="338">IF(COUNT(N444,N448,N452,N456)=0,"",SUM(N444,N448,N452,N456))</f>
        <v>13.75</v>
      </c>
      <c r="O443" s="42">
        <f t="shared" si="338"/>
        <v>10.625</v>
      </c>
      <c r="P443" s="43"/>
      <c r="Q443" s="42">
        <f>IF(COUNT(Q444,Q448,Q452,Q456)=0,"",SUM(Q444,Q448,Q452,Q456))</f>
        <v>10.625</v>
      </c>
      <c r="R443" s="44"/>
      <c r="S443" s="44"/>
      <c r="T443" s="45" t="s">
        <v>62</v>
      </c>
      <c r="U443" s="179"/>
      <c r="V443" s="179"/>
      <c r="W443" s="179"/>
      <c r="X443" s="105">
        <f t="shared" ref="X443:AA443" si="339">L443</f>
        <v>7.5</v>
      </c>
      <c r="Y443" s="105">
        <f t="shared" si="339"/>
        <v>10.625</v>
      </c>
      <c r="Z443" s="105">
        <f t="shared" si="339"/>
        <v>13.75</v>
      </c>
      <c r="AA443" s="105">
        <f t="shared" si="339"/>
        <v>10.625</v>
      </c>
      <c r="AB443" s="179"/>
      <c r="AC443" s="105">
        <f>Q443</f>
        <v>10.625</v>
      </c>
    </row>
    <row r="444" ht="33.75" customHeight="1">
      <c r="A444" s="116" t="s">
        <v>770</v>
      </c>
      <c r="B444" s="77" t="s">
        <v>24</v>
      </c>
      <c r="C444" s="77" t="s">
        <v>768</v>
      </c>
      <c r="D444" s="77" t="s">
        <v>771</v>
      </c>
      <c r="E444" s="117" t="s">
        <v>772</v>
      </c>
      <c r="F444" s="118" t="s">
        <v>653</v>
      </c>
      <c r="G444" s="118" t="s">
        <v>200</v>
      </c>
      <c r="H444" s="119" t="s">
        <v>200</v>
      </c>
      <c r="I444" s="54"/>
      <c r="J444" s="118" t="s">
        <v>9</v>
      </c>
      <c r="K444" s="120" t="s">
        <v>9</v>
      </c>
      <c r="L444" s="51">
        <f>IF(COUNT(L445:N447)=0,"",SUM(L445:L447))</f>
        <v>3</v>
      </c>
      <c r="M444" s="51">
        <f t="shared" si="340"/>
        <v>4</v>
      </c>
      <c r="N444" s="51">
        <f>IF(COUNT(L445:N447)=0,"",SUM(N445:N447))</f>
        <v>5</v>
      </c>
      <c r="O444" s="51">
        <f>IF(COUNT(O445:O447)=0,"",SUM(O445:O447))</f>
        <v>4</v>
      </c>
      <c r="P444" s="52"/>
      <c r="Q444" s="51">
        <f t="shared" ref="Q444:Q459" si="341">IF(O444="","",IF(P444="",O444,O444*(1+P444)))</f>
        <v>4</v>
      </c>
      <c r="R444" s="53"/>
      <c r="S444" s="53"/>
      <c r="T444" s="54" t="s">
        <v>65</v>
      </c>
      <c r="U444" s="179"/>
      <c r="V444" s="179"/>
      <c r="W444" s="179"/>
      <c r="X444" s="105"/>
      <c r="Y444" s="105"/>
      <c r="Z444" s="105"/>
      <c r="AA444" s="105"/>
      <c r="AB444" s="179"/>
      <c r="AC444" s="105"/>
    </row>
    <row r="445" ht="33.75" customHeight="1">
      <c r="A445" s="78" t="s">
        <v>773</v>
      </c>
      <c r="B445" s="79" t="s">
        <v>24</v>
      </c>
      <c r="C445" s="79" t="s">
        <v>768</v>
      </c>
      <c r="D445" s="79" t="s">
        <v>771</v>
      </c>
      <c r="E445" s="94" t="s">
        <v>772</v>
      </c>
      <c r="F445" s="95" t="s">
        <v>653</v>
      </c>
      <c r="G445" s="95" t="s">
        <v>200</v>
      </c>
      <c r="H445" s="97" t="s">
        <v>200</v>
      </c>
      <c r="I445" s="65"/>
      <c r="J445" s="95" t="s">
        <v>9</v>
      </c>
      <c r="K445" s="121" t="s">
        <v>9</v>
      </c>
      <c r="L445" s="129">
        <v>0.0</v>
      </c>
      <c r="M445" s="129">
        <f t="shared" si="340"/>
        <v>0</v>
      </c>
      <c r="N445" s="129">
        <v>0.0</v>
      </c>
      <c r="O445" s="130">
        <f t="shared" ref="O445:O447" si="342">IF(COUNT(L445:N445)=0,"",(L445+4*M445+N445)/6)</f>
        <v>0</v>
      </c>
      <c r="P445" s="159"/>
      <c r="Q445" s="131">
        <f t="shared" si="341"/>
        <v>0</v>
      </c>
      <c r="R445" s="132"/>
      <c r="S445" s="132"/>
      <c r="T445" s="65" t="s">
        <v>31</v>
      </c>
      <c r="U445" s="26"/>
      <c r="V445" s="26"/>
      <c r="W445" s="26"/>
      <c r="X445" s="26"/>
      <c r="Y445" s="26"/>
      <c r="Z445" s="26"/>
      <c r="AA445" s="26"/>
      <c r="AB445" s="26"/>
      <c r="AC445" s="26"/>
    </row>
    <row r="446" ht="33.75" customHeight="1">
      <c r="A446" s="78" t="s">
        <v>774</v>
      </c>
      <c r="B446" s="79" t="s">
        <v>24</v>
      </c>
      <c r="C446" s="79" t="s">
        <v>768</v>
      </c>
      <c r="D446" s="79" t="s">
        <v>771</v>
      </c>
      <c r="E446" s="94" t="s">
        <v>772</v>
      </c>
      <c r="F446" s="95" t="s">
        <v>653</v>
      </c>
      <c r="G446" s="95" t="s">
        <v>200</v>
      </c>
      <c r="H446" s="97" t="s">
        <v>200</v>
      </c>
      <c r="I446" s="65"/>
      <c r="J446" s="95" t="s">
        <v>9</v>
      </c>
      <c r="K446" s="121" t="s">
        <v>9</v>
      </c>
      <c r="L446" s="128">
        <v>2.0</v>
      </c>
      <c r="M446" s="129">
        <f t="shared" si="340"/>
        <v>2.5</v>
      </c>
      <c r="N446" s="128">
        <v>3.0</v>
      </c>
      <c r="O446" s="130">
        <f t="shared" si="342"/>
        <v>2.5</v>
      </c>
      <c r="P446" s="159"/>
      <c r="Q446" s="131">
        <f t="shared" si="341"/>
        <v>2.5</v>
      </c>
      <c r="R446" s="132"/>
      <c r="S446" s="132"/>
      <c r="T446" s="65" t="s">
        <v>32</v>
      </c>
      <c r="U446" s="26"/>
      <c r="V446" s="26"/>
      <c r="W446" s="26"/>
      <c r="X446" s="26"/>
      <c r="Y446" s="26"/>
      <c r="Z446" s="26"/>
      <c r="AA446" s="26"/>
      <c r="AB446" s="26"/>
      <c r="AC446" s="26"/>
    </row>
    <row r="447" ht="33.75" customHeight="1">
      <c r="A447" s="78" t="s">
        <v>775</v>
      </c>
      <c r="B447" s="79" t="s">
        <v>24</v>
      </c>
      <c r="C447" s="79" t="s">
        <v>768</v>
      </c>
      <c r="D447" s="79" t="s">
        <v>771</v>
      </c>
      <c r="E447" s="94" t="s">
        <v>772</v>
      </c>
      <c r="F447" s="95" t="s">
        <v>653</v>
      </c>
      <c r="G447" s="95" t="s">
        <v>200</v>
      </c>
      <c r="H447" s="65" t="s">
        <v>200</v>
      </c>
      <c r="I447" s="65"/>
      <c r="J447" s="95" t="s">
        <v>9</v>
      </c>
      <c r="K447" s="121" t="s">
        <v>9</v>
      </c>
      <c r="L447" s="129">
        <v>1.0</v>
      </c>
      <c r="M447" s="129">
        <f t="shared" si="340"/>
        <v>1.5</v>
      </c>
      <c r="N447" s="129">
        <v>2.0</v>
      </c>
      <c r="O447" s="130">
        <f t="shared" si="342"/>
        <v>1.5</v>
      </c>
      <c r="P447" s="159"/>
      <c r="Q447" s="131">
        <f t="shared" si="341"/>
        <v>1.5</v>
      </c>
      <c r="R447" s="132"/>
      <c r="S447" s="132"/>
      <c r="T447" s="65" t="s">
        <v>70</v>
      </c>
      <c r="U447" s="26"/>
      <c r="V447" s="26"/>
      <c r="W447" s="26"/>
      <c r="X447" s="26"/>
      <c r="Y447" s="26"/>
      <c r="Z447" s="26"/>
      <c r="AA447" s="26"/>
      <c r="AB447" s="26"/>
      <c r="AC447" s="26"/>
    </row>
    <row r="448" ht="33.75" customHeight="1">
      <c r="A448" s="116" t="s">
        <v>776</v>
      </c>
      <c r="B448" s="77" t="s">
        <v>24</v>
      </c>
      <c r="C448" s="77" t="s">
        <v>768</v>
      </c>
      <c r="D448" s="77" t="s">
        <v>777</v>
      </c>
      <c r="E448" s="117" t="s">
        <v>778</v>
      </c>
      <c r="F448" s="118" t="s">
        <v>770</v>
      </c>
      <c r="G448" s="118" t="s">
        <v>168</v>
      </c>
      <c r="H448" s="119" t="s">
        <v>168</v>
      </c>
      <c r="I448" s="54"/>
      <c r="J448" s="118" t="s">
        <v>9</v>
      </c>
      <c r="K448" s="120" t="s">
        <v>9</v>
      </c>
      <c r="L448" s="51">
        <f>IF(COUNT(L449:N451)=0,"",SUM(L449:L451))</f>
        <v>1.25</v>
      </c>
      <c r="M448" s="51">
        <f t="shared" si="340"/>
        <v>1.75</v>
      </c>
      <c r="N448" s="51">
        <f>IF(COUNT(L449:N451)=0,"",SUM(N449:N451))</f>
        <v>2.25</v>
      </c>
      <c r="O448" s="51">
        <f>IF(COUNT(O449:O451)=0,"",SUM(O449:O451))</f>
        <v>1.75</v>
      </c>
      <c r="P448" s="52"/>
      <c r="Q448" s="51">
        <f t="shared" si="341"/>
        <v>1.75</v>
      </c>
      <c r="R448" s="53"/>
      <c r="S448" s="53"/>
      <c r="T448" s="54" t="s">
        <v>65</v>
      </c>
      <c r="U448" s="179"/>
      <c r="V448" s="179"/>
      <c r="W448" s="179"/>
      <c r="X448" s="105"/>
      <c r="Y448" s="105"/>
      <c r="Z448" s="105"/>
      <c r="AA448" s="105"/>
      <c r="AB448" s="179"/>
      <c r="AC448" s="105"/>
    </row>
    <row r="449" ht="33.75" customHeight="1">
      <c r="A449" s="78" t="s">
        <v>779</v>
      </c>
      <c r="B449" s="79" t="s">
        <v>24</v>
      </c>
      <c r="C449" s="79" t="s">
        <v>768</v>
      </c>
      <c r="D449" s="79" t="s">
        <v>777</v>
      </c>
      <c r="E449" s="94" t="s">
        <v>778</v>
      </c>
      <c r="F449" s="95" t="s">
        <v>770</v>
      </c>
      <c r="G449" s="95" t="s">
        <v>168</v>
      </c>
      <c r="H449" s="97" t="s">
        <v>168</v>
      </c>
      <c r="I449" s="65"/>
      <c r="J449" s="95" t="s">
        <v>9</v>
      </c>
      <c r="K449" s="121" t="s">
        <v>9</v>
      </c>
      <c r="L449" s="129">
        <v>0.25</v>
      </c>
      <c r="M449" s="129">
        <f t="shared" si="340"/>
        <v>0.375</v>
      </c>
      <c r="N449" s="129">
        <v>0.5</v>
      </c>
      <c r="O449" s="130">
        <f t="shared" ref="O449:O451" si="343">IF(COUNT(L449:N449)=0,"",(L449+4*M449+N449)/6)</f>
        <v>0.375</v>
      </c>
      <c r="P449" s="159"/>
      <c r="Q449" s="131">
        <f t="shared" si="341"/>
        <v>0.375</v>
      </c>
      <c r="R449" s="132"/>
      <c r="S449" s="132"/>
      <c r="T449" s="65" t="s">
        <v>31</v>
      </c>
      <c r="U449" s="26"/>
      <c r="V449" s="26"/>
      <c r="W449" s="26"/>
      <c r="X449" s="26"/>
      <c r="Y449" s="26"/>
      <c r="Z449" s="26"/>
      <c r="AA449" s="26"/>
      <c r="AB449" s="26"/>
      <c r="AC449" s="26"/>
    </row>
    <row r="450" ht="33.75" customHeight="1">
      <c r="A450" s="78" t="s">
        <v>780</v>
      </c>
      <c r="B450" s="79" t="s">
        <v>24</v>
      </c>
      <c r="C450" s="79" t="s">
        <v>768</v>
      </c>
      <c r="D450" s="79" t="s">
        <v>777</v>
      </c>
      <c r="E450" s="94" t="s">
        <v>778</v>
      </c>
      <c r="F450" s="95" t="s">
        <v>770</v>
      </c>
      <c r="G450" s="95" t="s">
        <v>168</v>
      </c>
      <c r="H450" s="97" t="s">
        <v>168</v>
      </c>
      <c r="I450" s="65"/>
      <c r="J450" s="95" t="s">
        <v>9</v>
      </c>
      <c r="K450" s="121" t="s">
        <v>9</v>
      </c>
      <c r="L450" s="129">
        <v>0.5</v>
      </c>
      <c r="M450" s="129">
        <f t="shared" si="340"/>
        <v>0.75</v>
      </c>
      <c r="N450" s="129">
        <v>1.0</v>
      </c>
      <c r="O450" s="130">
        <f t="shared" si="343"/>
        <v>0.75</v>
      </c>
      <c r="P450" s="159"/>
      <c r="Q450" s="131">
        <f t="shared" si="341"/>
        <v>0.75</v>
      </c>
      <c r="R450" s="132"/>
      <c r="S450" s="132"/>
      <c r="T450" s="65" t="s">
        <v>32</v>
      </c>
      <c r="U450" s="26"/>
      <c r="V450" s="26"/>
      <c r="W450" s="26"/>
      <c r="X450" s="26"/>
      <c r="Y450" s="26"/>
      <c r="Z450" s="26"/>
      <c r="AA450" s="26"/>
      <c r="AB450" s="26"/>
      <c r="AC450" s="26"/>
    </row>
    <row r="451" ht="33.75" customHeight="1">
      <c r="A451" s="78" t="s">
        <v>781</v>
      </c>
      <c r="B451" s="79" t="s">
        <v>24</v>
      </c>
      <c r="C451" s="79" t="s">
        <v>768</v>
      </c>
      <c r="D451" s="79" t="s">
        <v>777</v>
      </c>
      <c r="E451" s="94" t="s">
        <v>778</v>
      </c>
      <c r="F451" s="95" t="s">
        <v>770</v>
      </c>
      <c r="G451" s="95" t="s">
        <v>168</v>
      </c>
      <c r="H451" s="97" t="s">
        <v>168</v>
      </c>
      <c r="I451" s="65"/>
      <c r="J451" s="95" t="s">
        <v>9</v>
      </c>
      <c r="K451" s="121" t="s">
        <v>9</v>
      </c>
      <c r="L451" s="129">
        <v>0.5</v>
      </c>
      <c r="M451" s="129">
        <f t="shared" si="340"/>
        <v>0.625</v>
      </c>
      <c r="N451" s="128">
        <v>0.75</v>
      </c>
      <c r="O451" s="130">
        <f t="shared" si="343"/>
        <v>0.625</v>
      </c>
      <c r="P451" s="159"/>
      <c r="Q451" s="131">
        <f t="shared" si="341"/>
        <v>0.625</v>
      </c>
      <c r="R451" s="132"/>
      <c r="S451" s="132"/>
      <c r="T451" s="65" t="s">
        <v>70</v>
      </c>
      <c r="U451" s="26"/>
      <c r="V451" s="26"/>
      <c r="W451" s="26"/>
      <c r="X451" s="26"/>
      <c r="Y451" s="26"/>
      <c r="Z451" s="26"/>
      <c r="AA451" s="26"/>
      <c r="AB451" s="26"/>
      <c r="AC451" s="26"/>
    </row>
    <row r="452" ht="33.75" customHeight="1">
      <c r="A452" s="116" t="s">
        <v>782</v>
      </c>
      <c r="B452" s="77" t="s">
        <v>24</v>
      </c>
      <c r="C452" s="77" t="s">
        <v>768</v>
      </c>
      <c r="D452" s="77" t="s">
        <v>783</v>
      </c>
      <c r="E452" s="117" t="s">
        <v>784</v>
      </c>
      <c r="F452" s="118" t="s">
        <v>785</v>
      </c>
      <c r="G452" s="118" t="s">
        <v>200</v>
      </c>
      <c r="H452" s="119" t="s">
        <v>200</v>
      </c>
      <c r="I452" s="54"/>
      <c r="J452" s="118" t="s">
        <v>9</v>
      </c>
      <c r="K452" s="120" t="s">
        <v>9</v>
      </c>
      <c r="L452" s="51">
        <f>IF(COUNT(L453:N455)=0,"",SUM(L453:L455))</f>
        <v>2</v>
      </c>
      <c r="M452" s="51">
        <f t="shared" si="340"/>
        <v>3</v>
      </c>
      <c r="N452" s="51">
        <f>IF(COUNT(L453:N455)=0,"",SUM(N453:N455))</f>
        <v>4</v>
      </c>
      <c r="O452" s="51">
        <f>IF(COUNT(O453:O455)=0,"",SUM(O453:O455))</f>
        <v>3</v>
      </c>
      <c r="P452" s="52"/>
      <c r="Q452" s="51">
        <f t="shared" si="341"/>
        <v>3</v>
      </c>
      <c r="R452" s="53"/>
      <c r="S452" s="53"/>
      <c r="T452" s="54" t="s">
        <v>65</v>
      </c>
      <c r="U452" s="179"/>
      <c r="V452" s="179"/>
      <c r="W452" s="179"/>
      <c r="X452" s="105"/>
      <c r="Y452" s="105"/>
      <c r="Z452" s="105"/>
      <c r="AA452" s="105"/>
      <c r="AB452" s="179"/>
      <c r="AC452" s="105"/>
    </row>
    <row r="453" ht="33.75" customHeight="1">
      <c r="A453" s="78" t="s">
        <v>786</v>
      </c>
      <c r="B453" s="79" t="s">
        <v>24</v>
      </c>
      <c r="C453" s="79" t="s">
        <v>768</v>
      </c>
      <c r="D453" s="79" t="s">
        <v>783</v>
      </c>
      <c r="E453" s="94" t="s">
        <v>784</v>
      </c>
      <c r="F453" s="95" t="s">
        <v>785</v>
      </c>
      <c r="G453" s="95" t="s">
        <v>200</v>
      </c>
      <c r="H453" s="65" t="s">
        <v>200</v>
      </c>
      <c r="I453" s="65"/>
      <c r="J453" s="95" t="s">
        <v>9</v>
      </c>
      <c r="K453" s="121" t="s">
        <v>9</v>
      </c>
      <c r="L453" s="129">
        <v>0.0</v>
      </c>
      <c r="M453" s="129">
        <f t="shared" si="340"/>
        <v>0</v>
      </c>
      <c r="N453" s="129">
        <v>0.0</v>
      </c>
      <c r="O453" s="130">
        <f t="shared" ref="O453:O455" si="344">IF(COUNT(L453:N453)=0,"",(L453+4*M453+N453)/6)</f>
        <v>0</v>
      </c>
      <c r="P453" s="159"/>
      <c r="Q453" s="131">
        <f t="shared" si="341"/>
        <v>0</v>
      </c>
      <c r="R453" s="132"/>
      <c r="S453" s="132"/>
      <c r="T453" s="65" t="s">
        <v>31</v>
      </c>
      <c r="U453" s="26"/>
      <c r="V453" s="26"/>
      <c r="W453" s="26"/>
      <c r="X453" s="26"/>
      <c r="Y453" s="26"/>
      <c r="Z453" s="26"/>
      <c r="AA453" s="26"/>
      <c r="AB453" s="26"/>
      <c r="AC453" s="26"/>
    </row>
    <row r="454" ht="33.75" customHeight="1">
      <c r="A454" s="78" t="s">
        <v>787</v>
      </c>
      <c r="B454" s="79" t="s">
        <v>24</v>
      </c>
      <c r="C454" s="79" t="s">
        <v>768</v>
      </c>
      <c r="D454" s="79" t="s">
        <v>783</v>
      </c>
      <c r="E454" s="94" t="s">
        <v>784</v>
      </c>
      <c r="F454" s="95" t="s">
        <v>785</v>
      </c>
      <c r="G454" s="95" t="s">
        <v>200</v>
      </c>
      <c r="H454" s="97" t="s">
        <v>200</v>
      </c>
      <c r="I454" s="65"/>
      <c r="J454" s="95" t="s">
        <v>9</v>
      </c>
      <c r="K454" s="121" t="s">
        <v>9</v>
      </c>
      <c r="L454" s="129">
        <v>1.0</v>
      </c>
      <c r="M454" s="129">
        <f t="shared" si="340"/>
        <v>1.5</v>
      </c>
      <c r="N454" s="129">
        <v>2.0</v>
      </c>
      <c r="O454" s="130">
        <f t="shared" si="344"/>
        <v>1.5</v>
      </c>
      <c r="P454" s="159"/>
      <c r="Q454" s="131">
        <f t="shared" si="341"/>
        <v>1.5</v>
      </c>
      <c r="R454" s="132"/>
      <c r="S454" s="132"/>
      <c r="T454" s="65" t="s">
        <v>32</v>
      </c>
      <c r="U454" s="26"/>
      <c r="V454" s="26"/>
      <c r="W454" s="26"/>
      <c r="X454" s="26"/>
      <c r="Y454" s="26"/>
      <c r="Z454" s="26"/>
      <c r="AA454" s="26"/>
      <c r="AB454" s="26"/>
      <c r="AC454" s="26"/>
    </row>
    <row r="455" ht="33.75" customHeight="1">
      <c r="A455" s="78" t="s">
        <v>788</v>
      </c>
      <c r="B455" s="79" t="s">
        <v>24</v>
      </c>
      <c r="C455" s="79" t="s">
        <v>768</v>
      </c>
      <c r="D455" s="79" t="s">
        <v>783</v>
      </c>
      <c r="E455" s="94" t="s">
        <v>784</v>
      </c>
      <c r="F455" s="95" t="s">
        <v>785</v>
      </c>
      <c r="G455" s="95" t="s">
        <v>200</v>
      </c>
      <c r="H455" s="97" t="s">
        <v>200</v>
      </c>
      <c r="I455" s="65"/>
      <c r="J455" s="95" t="s">
        <v>9</v>
      </c>
      <c r="K455" s="121" t="s">
        <v>9</v>
      </c>
      <c r="L455" s="129">
        <v>1.0</v>
      </c>
      <c r="M455" s="129">
        <f t="shared" si="340"/>
        <v>1.5</v>
      </c>
      <c r="N455" s="129">
        <v>2.0</v>
      </c>
      <c r="O455" s="130">
        <f t="shared" si="344"/>
        <v>1.5</v>
      </c>
      <c r="P455" s="159"/>
      <c r="Q455" s="131">
        <f t="shared" si="341"/>
        <v>1.5</v>
      </c>
      <c r="R455" s="132"/>
      <c r="S455" s="132"/>
      <c r="T455" s="65" t="s">
        <v>70</v>
      </c>
      <c r="U455" s="26"/>
      <c r="V455" s="26"/>
      <c r="W455" s="26"/>
      <c r="X455" s="26"/>
      <c r="Y455" s="26"/>
      <c r="Z455" s="26"/>
      <c r="AA455" s="26"/>
      <c r="AB455" s="26"/>
      <c r="AC455" s="26"/>
    </row>
    <row r="456" ht="33.75" customHeight="1">
      <c r="A456" s="116" t="s">
        <v>789</v>
      </c>
      <c r="B456" s="77" t="s">
        <v>24</v>
      </c>
      <c r="C456" s="77" t="s">
        <v>768</v>
      </c>
      <c r="D456" s="77" t="s">
        <v>790</v>
      </c>
      <c r="E456" s="117" t="s">
        <v>791</v>
      </c>
      <c r="F456" s="118" t="s">
        <v>792</v>
      </c>
      <c r="G456" s="118" t="s">
        <v>168</v>
      </c>
      <c r="H456" s="119" t="s">
        <v>168</v>
      </c>
      <c r="I456" s="54"/>
      <c r="J456" s="118" t="s">
        <v>9</v>
      </c>
      <c r="K456" s="120" t="s">
        <v>9</v>
      </c>
      <c r="L456" s="51">
        <f>IF(COUNT(L457:N459)=0,"",SUM(L457:L459))</f>
        <v>1.25</v>
      </c>
      <c r="M456" s="51">
        <f t="shared" si="340"/>
        <v>1.875</v>
      </c>
      <c r="N456" s="51">
        <f>IF(COUNT(L457:N459)=0,"",SUM(N457:N459))</f>
        <v>2.5</v>
      </c>
      <c r="O456" s="51">
        <f>IF(COUNT(O457:O459)=0,"",SUM(O457:O459))</f>
        <v>1.875</v>
      </c>
      <c r="P456" s="52"/>
      <c r="Q456" s="51">
        <f t="shared" si="341"/>
        <v>1.875</v>
      </c>
      <c r="R456" s="53"/>
      <c r="S456" s="53"/>
      <c r="T456" s="54" t="s">
        <v>65</v>
      </c>
      <c r="U456" s="179"/>
      <c r="V456" s="179"/>
      <c r="W456" s="179"/>
      <c r="X456" s="105"/>
      <c r="Y456" s="105"/>
      <c r="Z456" s="105"/>
      <c r="AA456" s="105"/>
      <c r="AB456" s="179"/>
      <c r="AC456" s="105"/>
    </row>
    <row r="457" ht="33.75" customHeight="1">
      <c r="A457" s="78" t="s">
        <v>793</v>
      </c>
      <c r="B457" s="79" t="s">
        <v>24</v>
      </c>
      <c r="C457" s="79" t="s">
        <v>768</v>
      </c>
      <c r="D457" s="79" t="s">
        <v>790</v>
      </c>
      <c r="E457" s="94" t="s">
        <v>791</v>
      </c>
      <c r="F457" s="95" t="s">
        <v>792</v>
      </c>
      <c r="G457" s="95" t="s">
        <v>168</v>
      </c>
      <c r="H457" s="97" t="s">
        <v>168</v>
      </c>
      <c r="I457" s="65"/>
      <c r="J457" s="95" t="s">
        <v>9</v>
      </c>
      <c r="K457" s="121" t="s">
        <v>9</v>
      </c>
      <c r="L457" s="129">
        <v>0.0</v>
      </c>
      <c r="M457" s="129">
        <f t="shared" si="340"/>
        <v>0</v>
      </c>
      <c r="N457" s="129">
        <v>0.0</v>
      </c>
      <c r="O457" s="130">
        <f t="shared" ref="O457:O459" si="345">IF(COUNT(L457:N457)=0,"",(L457+4*M457+N457)/6)</f>
        <v>0</v>
      </c>
      <c r="P457" s="159"/>
      <c r="Q457" s="131">
        <f t="shared" si="341"/>
        <v>0</v>
      </c>
      <c r="R457" s="132"/>
      <c r="S457" s="132"/>
      <c r="T457" s="65" t="s">
        <v>31</v>
      </c>
      <c r="U457" s="26"/>
      <c r="V457" s="26"/>
      <c r="W457" s="26"/>
      <c r="X457" s="26"/>
      <c r="Y457" s="26"/>
      <c r="Z457" s="26"/>
      <c r="AA457" s="26"/>
      <c r="AB457" s="26"/>
      <c r="AC457" s="26"/>
    </row>
    <row r="458" ht="33.75" customHeight="1">
      <c r="A458" s="78" t="s">
        <v>794</v>
      </c>
      <c r="B458" s="79" t="s">
        <v>24</v>
      </c>
      <c r="C458" s="79" t="s">
        <v>768</v>
      </c>
      <c r="D458" s="79" t="s">
        <v>790</v>
      </c>
      <c r="E458" s="94" t="s">
        <v>791</v>
      </c>
      <c r="F458" s="95" t="s">
        <v>792</v>
      </c>
      <c r="G458" s="95" t="s">
        <v>168</v>
      </c>
      <c r="H458" s="65" t="s">
        <v>168</v>
      </c>
      <c r="I458" s="65"/>
      <c r="J458" s="95" t="s">
        <v>9</v>
      </c>
      <c r="K458" s="121" t="s">
        <v>9</v>
      </c>
      <c r="L458" s="129">
        <v>1.0</v>
      </c>
      <c r="M458" s="129">
        <f t="shared" si="340"/>
        <v>1.5</v>
      </c>
      <c r="N458" s="129">
        <v>2.0</v>
      </c>
      <c r="O458" s="130">
        <f t="shared" si="345"/>
        <v>1.5</v>
      </c>
      <c r="P458" s="159"/>
      <c r="Q458" s="131">
        <f t="shared" si="341"/>
        <v>1.5</v>
      </c>
      <c r="R458" s="132"/>
      <c r="S458" s="132"/>
      <c r="T458" s="65" t="s">
        <v>32</v>
      </c>
      <c r="U458" s="26"/>
      <c r="V458" s="26"/>
      <c r="W458" s="26"/>
      <c r="X458" s="26"/>
      <c r="Y458" s="26"/>
      <c r="Z458" s="26"/>
      <c r="AA458" s="26"/>
      <c r="AB458" s="26"/>
      <c r="AC458" s="26"/>
    </row>
    <row r="459" ht="33.75" customHeight="1">
      <c r="A459" s="78" t="s">
        <v>795</v>
      </c>
      <c r="B459" s="79" t="s">
        <v>24</v>
      </c>
      <c r="C459" s="79" t="s">
        <v>768</v>
      </c>
      <c r="D459" s="79" t="s">
        <v>790</v>
      </c>
      <c r="E459" s="94" t="s">
        <v>791</v>
      </c>
      <c r="F459" s="95" t="s">
        <v>792</v>
      </c>
      <c r="G459" s="95" t="s">
        <v>168</v>
      </c>
      <c r="H459" s="97" t="s">
        <v>168</v>
      </c>
      <c r="I459" s="65"/>
      <c r="J459" s="95" t="s">
        <v>9</v>
      </c>
      <c r="K459" s="121" t="s">
        <v>9</v>
      </c>
      <c r="L459" s="129">
        <v>0.25</v>
      </c>
      <c r="M459" s="129">
        <f t="shared" si="340"/>
        <v>0.375</v>
      </c>
      <c r="N459" s="129">
        <v>0.5</v>
      </c>
      <c r="O459" s="130">
        <f t="shared" si="345"/>
        <v>0.375</v>
      </c>
      <c r="P459" s="159"/>
      <c r="Q459" s="131">
        <f t="shared" si="341"/>
        <v>0.375</v>
      </c>
      <c r="R459" s="132"/>
      <c r="S459" s="132"/>
      <c r="T459" s="65" t="s">
        <v>70</v>
      </c>
      <c r="U459" s="26"/>
      <c r="V459" s="26"/>
      <c r="W459" s="26"/>
      <c r="X459" s="26"/>
      <c r="Y459" s="26"/>
      <c r="Z459" s="26"/>
      <c r="AA459" s="26"/>
      <c r="AB459" s="26"/>
      <c r="AC459" s="26"/>
    </row>
    <row r="460" ht="33.75" customHeight="1">
      <c r="A460" s="112" t="s">
        <v>796</v>
      </c>
      <c r="B460" s="38" t="s">
        <v>24</v>
      </c>
      <c r="C460" s="38" t="s">
        <v>797</v>
      </c>
      <c r="D460" s="38" t="s">
        <v>797</v>
      </c>
      <c r="E460" s="113" t="s">
        <v>798</v>
      </c>
      <c r="F460" s="114"/>
      <c r="G460" s="114"/>
      <c r="H460" s="123"/>
      <c r="I460" s="45"/>
      <c r="J460" s="114"/>
      <c r="K460" s="115"/>
      <c r="L460" s="42">
        <f>IF(COUNT(L461,L465,L469,L473)=0,"",SUM(L461,L465,L469,L473))</f>
        <v>11.75</v>
      </c>
      <c r="M460" s="42">
        <f t="shared" si="340"/>
        <v>15.375</v>
      </c>
      <c r="N460" s="42">
        <f t="shared" ref="N460:O460" si="346">IF(COUNT(N461,N465,N469,N473)=0,"",SUM(N461,N465,N469,N473))</f>
        <v>19</v>
      </c>
      <c r="O460" s="42">
        <f t="shared" si="346"/>
        <v>15.375</v>
      </c>
      <c r="P460" s="43"/>
      <c r="Q460" s="42">
        <f>IF(COUNT(Q461,Q465,Q469,Q473)=0,"",SUM(Q461,Q465,Q469,Q473))</f>
        <v>15.375</v>
      </c>
      <c r="R460" s="44"/>
      <c r="S460" s="44"/>
      <c r="T460" s="45" t="s">
        <v>62</v>
      </c>
      <c r="U460" s="179"/>
      <c r="V460" s="179"/>
      <c r="W460" s="179"/>
      <c r="X460" s="105">
        <f t="shared" ref="X460:AA460" si="347">L460</f>
        <v>11.75</v>
      </c>
      <c r="Y460" s="105">
        <f t="shared" si="347"/>
        <v>15.375</v>
      </c>
      <c r="Z460" s="105">
        <f t="shared" si="347"/>
        <v>19</v>
      </c>
      <c r="AA460" s="105">
        <f t="shared" si="347"/>
        <v>15.375</v>
      </c>
      <c r="AB460" s="179"/>
      <c r="AC460" s="105">
        <f>Q460</f>
        <v>15.375</v>
      </c>
    </row>
    <row r="461" ht="33.75" customHeight="1">
      <c r="A461" s="116" t="s">
        <v>799</v>
      </c>
      <c r="B461" s="77" t="s">
        <v>24</v>
      </c>
      <c r="C461" s="77" t="s">
        <v>797</v>
      </c>
      <c r="D461" s="77" t="s">
        <v>800</v>
      </c>
      <c r="E461" s="117" t="s">
        <v>801</v>
      </c>
      <c r="F461" s="118" t="s">
        <v>639</v>
      </c>
      <c r="G461" s="118" t="s">
        <v>168</v>
      </c>
      <c r="H461" s="119" t="s">
        <v>168</v>
      </c>
      <c r="I461" s="54"/>
      <c r="J461" s="118" t="s">
        <v>9</v>
      </c>
      <c r="K461" s="120" t="s">
        <v>9</v>
      </c>
      <c r="L461" s="51">
        <f>IF(COUNT(L462:N464)=0,"",SUM(L462:L464))</f>
        <v>2.75</v>
      </c>
      <c r="M461" s="51">
        <f t="shared" si="340"/>
        <v>3.875</v>
      </c>
      <c r="N461" s="51">
        <f>IF(COUNT(L462:N464)=0,"",SUM(N462:N464))</f>
        <v>5</v>
      </c>
      <c r="O461" s="51">
        <f>IF(COUNT(O462:O464)=0,"",SUM(O462:O464))</f>
        <v>3.875</v>
      </c>
      <c r="P461" s="52"/>
      <c r="Q461" s="51">
        <f t="shared" ref="Q461:Q476" si="348">IF(O461="","",IF(P461="",O461,O461*(1+P461)))</f>
        <v>3.875</v>
      </c>
      <c r="R461" s="53"/>
      <c r="S461" s="53"/>
      <c r="T461" s="54" t="s">
        <v>65</v>
      </c>
      <c r="U461" s="179"/>
      <c r="V461" s="179"/>
      <c r="W461" s="179"/>
      <c r="X461" s="105"/>
      <c r="Y461" s="105"/>
      <c r="Z461" s="105"/>
      <c r="AA461" s="105"/>
      <c r="AB461" s="179"/>
      <c r="AC461" s="105"/>
    </row>
    <row r="462" ht="33.75" customHeight="1">
      <c r="A462" s="78" t="s">
        <v>802</v>
      </c>
      <c r="B462" s="79" t="s">
        <v>24</v>
      </c>
      <c r="C462" s="79" t="s">
        <v>797</v>
      </c>
      <c r="D462" s="79" t="s">
        <v>800</v>
      </c>
      <c r="E462" s="94" t="s">
        <v>801</v>
      </c>
      <c r="F462" s="95" t="s">
        <v>639</v>
      </c>
      <c r="G462" s="95" t="s">
        <v>168</v>
      </c>
      <c r="H462" s="97" t="s">
        <v>168</v>
      </c>
      <c r="I462" s="65"/>
      <c r="J462" s="95" t="s">
        <v>9</v>
      </c>
      <c r="K462" s="121" t="s">
        <v>9</v>
      </c>
      <c r="L462" s="129">
        <v>1.0</v>
      </c>
      <c r="M462" s="129">
        <f t="shared" si="340"/>
        <v>1.25</v>
      </c>
      <c r="N462" s="128">
        <v>1.5</v>
      </c>
      <c r="O462" s="130">
        <f t="shared" ref="O462:O464" si="349">IF(COUNT(L462:N462)=0,"",(L462+4*M462+N462)/6)</f>
        <v>1.25</v>
      </c>
      <c r="P462" s="159"/>
      <c r="Q462" s="131">
        <f t="shared" si="348"/>
        <v>1.25</v>
      </c>
      <c r="R462" s="132"/>
      <c r="S462" s="132"/>
      <c r="T462" s="65" t="s">
        <v>31</v>
      </c>
      <c r="U462" s="26"/>
      <c r="V462" s="26"/>
      <c r="W462" s="26"/>
      <c r="X462" s="26"/>
      <c r="Y462" s="26"/>
      <c r="Z462" s="26"/>
      <c r="AA462" s="26"/>
      <c r="AB462" s="26"/>
      <c r="AC462" s="26"/>
    </row>
    <row r="463" ht="33.75" customHeight="1">
      <c r="A463" s="78" t="s">
        <v>803</v>
      </c>
      <c r="B463" s="79" t="s">
        <v>24</v>
      </c>
      <c r="C463" s="79" t="s">
        <v>797</v>
      </c>
      <c r="D463" s="79" t="s">
        <v>800</v>
      </c>
      <c r="E463" s="94" t="s">
        <v>801</v>
      </c>
      <c r="F463" s="95" t="s">
        <v>639</v>
      </c>
      <c r="G463" s="95" t="s">
        <v>168</v>
      </c>
      <c r="H463" s="97" t="s">
        <v>168</v>
      </c>
      <c r="I463" s="65"/>
      <c r="J463" s="95" t="s">
        <v>9</v>
      </c>
      <c r="K463" s="121" t="s">
        <v>9</v>
      </c>
      <c r="L463" s="128">
        <v>0.75</v>
      </c>
      <c r="M463" s="129">
        <f t="shared" si="340"/>
        <v>1.125</v>
      </c>
      <c r="N463" s="128">
        <v>1.5</v>
      </c>
      <c r="O463" s="130">
        <f t="shared" si="349"/>
        <v>1.125</v>
      </c>
      <c r="P463" s="159"/>
      <c r="Q463" s="131">
        <f t="shared" si="348"/>
        <v>1.125</v>
      </c>
      <c r="R463" s="132"/>
      <c r="S463" s="132"/>
      <c r="T463" s="65" t="s">
        <v>32</v>
      </c>
      <c r="U463" s="26"/>
      <c r="V463" s="26"/>
      <c r="W463" s="26"/>
      <c r="X463" s="26"/>
      <c r="Y463" s="26"/>
      <c r="Z463" s="26"/>
      <c r="AA463" s="26"/>
      <c r="AB463" s="26"/>
      <c r="AC463" s="26"/>
    </row>
    <row r="464" ht="33.75" customHeight="1">
      <c r="A464" s="78" t="s">
        <v>804</v>
      </c>
      <c r="B464" s="79" t="s">
        <v>24</v>
      </c>
      <c r="C464" s="79" t="s">
        <v>797</v>
      </c>
      <c r="D464" s="79" t="s">
        <v>800</v>
      </c>
      <c r="E464" s="94" t="s">
        <v>801</v>
      </c>
      <c r="F464" s="95" t="s">
        <v>639</v>
      </c>
      <c r="G464" s="95" t="s">
        <v>168</v>
      </c>
      <c r="H464" s="97" t="s">
        <v>168</v>
      </c>
      <c r="I464" s="65"/>
      <c r="J464" s="95" t="s">
        <v>9</v>
      </c>
      <c r="K464" s="121" t="s">
        <v>9</v>
      </c>
      <c r="L464" s="129">
        <v>1.0</v>
      </c>
      <c r="M464" s="129">
        <f t="shared" si="340"/>
        <v>1.5</v>
      </c>
      <c r="N464" s="129">
        <v>2.0</v>
      </c>
      <c r="O464" s="130">
        <f t="shared" si="349"/>
        <v>1.5</v>
      </c>
      <c r="P464" s="159"/>
      <c r="Q464" s="131">
        <f t="shared" si="348"/>
        <v>1.5</v>
      </c>
      <c r="R464" s="132"/>
      <c r="S464" s="132"/>
      <c r="T464" s="65" t="s">
        <v>70</v>
      </c>
      <c r="U464" s="26"/>
      <c r="V464" s="26"/>
      <c r="W464" s="26"/>
      <c r="X464" s="26"/>
      <c r="Y464" s="26"/>
      <c r="Z464" s="26"/>
      <c r="AA464" s="26"/>
      <c r="AB464" s="26"/>
      <c r="AC464" s="26"/>
    </row>
    <row r="465" ht="33.75" customHeight="1">
      <c r="A465" s="116" t="s">
        <v>805</v>
      </c>
      <c r="B465" s="77" t="s">
        <v>24</v>
      </c>
      <c r="C465" s="77" t="s">
        <v>797</v>
      </c>
      <c r="D465" s="77" t="s">
        <v>806</v>
      </c>
      <c r="E465" s="117" t="s">
        <v>807</v>
      </c>
      <c r="F465" s="118" t="s">
        <v>808</v>
      </c>
      <c r="G465" s="118" t="s">
        <v>200</v>
      </c>
      <c r="H465" s="54" t="s">
        <v>200</v>
      </c>
      <c r="I465" s="54"/>
      <c r="J465" s="118" t="s">
        <v>9</v>
      </c>
      <c r="K465" s="120" t="s">
        <v>9</v>
      </c>
      <c r="L465" s="51">
        <f>IF(COUNT(L466:N468)=0,"",SUM(L466:L468))</f>
        <v>4</v>
      </c>
      <c r="M465" s="51">
        <f t="shared" si="340"/>
        <v>5.5</v>
      </c>
      <c r="N465" s="51">
        <f>IF(COUNT(L466:N468)=0,"",SUM(N466:N468))</f>
        <v>7</v>
      </c>
      <c r="O465" s="51">
        <f>IF(COUNT(O466:O468)=0,"",SUM(O466:O468))</f>
        <v>5.5</v>
      </c>
      <c r="P465" s="52"/>
      <c r="Q465" s="51">
        <f t="shared" si="348"/>
        <v>5.5</v>
      </c>
      <c r="R465" s="53"/>
      <c r="S465" s="53"/>
      <c r="T465" s="54" t="s">
        <v>65</v>
      </c>
      <c r="U465" s="179"/>
      <c r="V465" s="179"/>
      <c r="W465" s="179"/>
      <c r="X465" s="105"/>
      <c r="Y465" s="105"/>
      <c r="Z465" s="105"/>
      <c r="AA465" s="105"/>
      <c r="AB465" s="179"/>
      <c r="AC465" s="105"/>
    </row>
    <row r="466" ht="33.75" customHeight="1">
      <c r="A466" s="78" t="s">
        <v>809</v>
      </c>
      <c r="B466" s="79" t="s">
        <v>24</v>
      </c>
      <c r="C466" s="79" t="s">
        <v>797</v>
      </c>
      <c r="D466" s="79" t="s">
        <v>806</v>
      </c>
      <c r="E466" s="94" t="s">
        <v>807</v>
      </c>
      <c r="F466" s="95" t="s">
        <v>808</v>
      </c>
      <c r="G466" s="95" t="s">
        <v>200</v>
      </c>
      <c r="H466" s="97" t="s">
        <v>200</v>
      </c>
      <c r="I466" s="65"/>
      <c r="J466" s="95" t="s">
        <v>9</v>
      </c>
      <c r="K466" s="121" t="s">
        <v>9</v>
      </c>
      <c r="L466" s="129">
        <v>0.0</v>
      </c>
      <c r="M466" s="129">
        <f t="shared" si="340"/>
        <v>0</v>
      </c>
      <c r="N466" s="129">
        <v>0.0</v>
      </c>
      <c r="O466" s="130">
        <f t="shared" ref="O466:O468" si="350">IF(COUNT(L466:N466)=0,"",(L466+4*M466+N466)/6)</f>
        <v>0</v>
      </c>
      <c r="P466" s="159"/>
      <c r="Q466" s="131">
        <f t="shared" si="348"/>
        <v>0</v>
      </c>
      <c r="R466" s="132"/>
      <c r="S466" s="132"/>
      <c r="T466" s="65" t="s">
        <v>31</v>
      </c>
      <c r="U466" s="26"/>
      <c r="V466" s="26"/>
      <c r="W466" s="26"/>
      <c r="X466" s="26"/>
      <c r="Y466" s="26"/>
      <c r="Z466" s="26"/>
      <c r="AA466" s="26"/>
      <c r="AB466" s="26"/>
      <c r="AC466" s="26"/>
    </row>
    <row r="467" ht="33.75" customHeight="1">
      <c r="A467" s="78" t="s">
        <v>810</v>
      </c>
      <c r="B467" s="79" t="s">
        <v>24</v>
      </c>
      <c r="C467" s="79" t="s">
        <v>797</v>
      </c>
      <c r="D467" s="79" t="s">
        <v>806</v>
      </c>
      <c r="E467" s="94" t="s">
        <v>807</v>
      </c>
      <c r="F467" s="95" t="s">
        <v>808</v>
      </c>
      <c r="G467" s="95" t="s">
        <v>200</v>
      </c>
      <c r="H467" s="97" t="s">
        <v>200</v>
      </c>
      <c r="I467" s="65"/>
      <c r="J467" s="95" t="s">
        <v>9</v>
      </c>
      <c r="K467" s="121" t="s">
        <v>9</v>
      </c>
      <c r="L467" s="129">
        <v>3.0</v>
      </c>
      <c r="M467" s="129">
        <f t="shared" si="340"/>
        <v>4</v>
      </c>
      <c r="N467" s="129">
        <v>5.0</v>
      </c>
      <c r="O467" s="130">
        <f t="shared" si="350"/>
        <v>4</v>
      </c>
      <c r="P467" s="159"/>
      <c r="Q467" s="131">
        <f t="shared" si="348"/>
        <v>4</v>
      </c>
      <c r="R467" s="132"/>
      <c r="S467" s="132"/>
      <c r="T467" s="65" t="s">
        <v>32</v>
      </c>
      <c r="U467" s="26"/>
      <c r="V467" s="26"/>
      <c r="W467" s="26"/>
      <c r="X467" s="26"/>
      <c r="Y467" s="26"/>
      <c r="Z467" s="26"/>
      <c r="AA467" s="26"/>
      <c r="AB467" s="26"/>
      <c r="AC467" s="26"/>
    </row>
    <row r="468" ht="33.75" customHeight="1">
      <c r="A468" s="78" t="s">
        <v>811</v>
      </c>
      <c r="B468" s="79" t="s">
        <v>24</v>
      </c>
      <c r="C468" s="79" t="s">
        <v>797</v>
      </c>
      <c r="D468" s="79" t="s">
        <v>806</v>
      </c>
      <c r="E468" s="94" t="s">
        <v>807</v>
      </c>
      <c r="F468" s="95" t="s">
        <v>808</v>
      </c>
      <c r="G468" s="95" t="s">
        <v>200</v>
      </c>
      <c r="H468" s="97" t="s">
        <v>200</v>
      </c>
      <c r="I468" s="65"/>
      <c r="J468" s="95" t="s">
        <v>9</v>
      </c>
      <c r="K468" s="121" t="s">
        <v>9</v>
      </c>
      <c r="L468" s="129">
        <v>1.0</v>
      </c>
      <c r="M468" s="129">
        <f t="shared" si="340"/>
        <v>1.5</v>
      </c>
      <c r="N468" s="129">
        <v>2.0</v>
      </c>
      <c r="O468" s="130">
        <f t="shared" si="350"/>
        <v>1.5</v>
      </c>
      <c r="P468" s="159"/>
      <c r="Q468" s="131">
        <f t="shared" si="348"/>
        <v>1.5</v>
      </c>
      <c r="R468" s="132"/>
      <c r="S468" s="132"/>
      <c r="T468" s="65" t="s">
        <v>70</v>
      </c>
      <c r="U468" s="26"/>
      <c r="V468" s="26"/>
      <c r="W468" s="26"/>
      <c r="X468" s="26"/>
      <c r="Y468" s="26"/>
      <c r="Z468" s="26"/>
      <c r="AA468" s="26"/>
      <c r="AB468" s="26"/>
      <c r="AC468" s="26"/>
    </row>
    <row r="469" ht="33.75" customHeight="1">
      <c r="A469" s="116" t="s">
        <v>812</v>
      </c>
      <c r="B469" s="77" t="s">
        <v>24</v>
      </c>
      <c r="C469" s="77" t="s">
        <v>797</v>
      </c>
      <c r="D469" s="77" t="s">
        <v>813</v>
      </c>
      <c r="E469" s="117" t="s">
        <v>814</v>
      </c>
      <c r="F469" s="118" t="s">
        <v>815</v>
      </c>
      <c r="G469" s="118" t="s">
        <v>168</v>
      </c>
      <c r="H469" s="119" t="s">
        <v>168</v>
      </c>
      <c r="I469" s="54"/>
      <c r="J469" s="118" t="s">
        <v>9</v>
      </c>
      <c r="K469" s="120" t="s">
        <v>9</v>
      </c>
      <c r="L469" s="51">
        <f>IF(COUNT(L470:N472)=0,"",SUM(L470:L472))</f>
        <v>5</v>
      </c>
      <c r="M469" s="51">
        <f t="shared" si="340"/>
        <v>6</v>
      </c>
      <c r="N469" s="51">
        <f>IF(COUNT(L470:N472)=0,"",SUM(N470:N472))</f>
        <v>7</v>
      </c>
      <c r="O469" s="51">
        <f>IF(COUNT(O470:O472)=0,"",SUM(O470:O472))</f>
        <v>6</v>
      </c>
      <c r="P469" s="52"/>
      <c r="Q469" s="51">
        <f t="shared" si="348"/>
        <v>6</v>
      </c>
      <c r="R469" s="53"/>
      <c r="S469" s="53"/>
      <c r="T469" s="54" t="s">
        <v>65</v>
      </c>
      <c r="U469" s="179"/>
      <c r="V469" s="179"/>
      <c r="W469" s="179"/>
      <c r="X469" s="105"/>
      <c r="Y469" s="105"/>
      <c r="Z469" s="105"/>
      <c r="AA469" s="105"/>
      <c r="AB469" s="179"/>
      <c r="AC469" s="105"/>
    </row>
    <row r="470" ht="33.75" customHeight="1">
      <c r="A470" s="78" t="s">
        <v>816</v>
      </c>
      <c r="B470" s="79" t="s">
        <v>24</v>
      </c>
      <c r="C470" s="79" t="s">
        <v>797</v>
      </c>
      <c r="D470" s="79" t="s">
        <v>813</v>
      </c>
      <c r="E470" s="94" t="s">
        <v>814</v>
      </c>
      <c r="F470" s="95" t="s">
        <v>815</v>
      </c>
      <c r="G470" s="95" t="s">
        <v>168</v>
      </c>
      <c r="H470" s="65" t="s">
        <v>168</v>
      </c>
      <c r="I470" s="65"/>
      <c r="J470" s="95" t="s">
        <v>9</v>
      </c>
      <c r="K470" s="121" t="s">
        <v>9</v>
      </c>
      <c r="L470" s="129">
        <v>2.0</v>
      </c>
      <c r="M470" s="129">
        <f t="shared" si="340"/>
        <v>2.25</v>
      </c>
      <c r="N470" s="128">
        <v>2.5</v>
      </c>
      <c r="O470" s="130">
        <f t="shared" ref="O470:O472" si="351">IF(COUNT(L470:N470)=0,"",(L470+4*M470+N470)/6)</f>
        <v>2.25</v>
      </c>
      <c r="P470" s="159"/>
      <c r="Q470" s="131">
        <f t="shared" si="348"/>
        <v>2.25</v>
      </c>
      <c r="R470" s="132"/>
      <c r="S470" s="132"/>
      <c r="T470" s="65" t="s">
        <v>31</v>
      </c>
      <c r="U470" s="26"/>
      <c r="V470" s="26"/>
      <c r="W470" s="26"/>
      <c r="X470" s="26"/>
      <c r="Y470" s="26"/>
      <c r="Z470" s="26"/>
      <c r="AA470" s="26"/>
      <c r="AB470" s="26"/>
      <c r="AC470" s="26"/>
    </row>
    <row r="471" ht="33.75" customHeight="1">
      <c r="A471" s="78" t="s">
        <v>817</v>
      </c>
      <c r="B471" s="79" t="s">
        <v>24</v>
      </c>
      <c r="C471" s="79" t="s">
        <v>797</v>
      </c>
      <c r="D471" s="79" t="s">
        <v>813</v>
      </c>
      <c r="E471" s="94" t="s">
        <v>814</v>
      </c>
      <c r="F471" s="95" t="s">
        <v>815</v>
      </c>
      <c r="G471" s="95" t="s">
        <v>168</v>
      </c>
      <c r="H471" s="97" t="s">
        <v>168</v>
      </c>
      <c r="I471" s="65"/>
      <c r="J471" s="95" t="s">
        <v>9</v>
      </c>
      <c r="K471" s="121" t="s">
        <v>9</v>
      </c>
      <c r="L471" s="129">
        <v>2.0</v>
      </c>
      <c r="M471" s="129">
        <f t="shared" si="340"/>
        <v>2.5</v>
      </c>
      <c r="N471" s="128">
        <v>3.0</v>
      </c>
      <c r="O471" s="130">
        <f t="shared" si="351"/>
        <v>2.5</v>
      </c>
      <c r="P471" s="159"/>
      <c r="Q471" s="131">
        <f t="shared" si="348"/>
        <v>2.5</v>
      </c>
      <c r="R471" s="132"/>
      <c r="S471" s="132"/>
      <c r="T471" s="65" t="s">
        <v>32</v>
      </c>
      <c r="U471" s="26"/>
      <c r="V471" s="26"/>
      <c r="W471" s="26"/>
      <c r="X471" s="26"/>
      <c r="Y471" s="26"/>
      <c r="Z471" s="26"/>
      <c r="AA471" s="26"/>
      <c r="AB471" s="26"/>
      <c r="AC471" s="26"/>
    </row>
    <row r="472" ht="33.75" customHeight="1">
      <c r="A472" s="78" t="s">
        <v>818</v>
      </c>
      <c r="B472" s="79" t="s">
        <v>24</v>
      </c>
      <c r="C472" s="79" t="s">
        <v>797</v>
      </c>
      <c r="D472" s="79" t="s">
        <v>813</v>
      </c>
      <c r="E472" s="94" t="s">
        <v>814</v>
      </c>
      <c r="F472" s="95" t="s">
        <v>815</v>
      </c>
      <c r="G472" s="95" t="s">
        <v>168</v>
      </c>
      <c r="H472" s="97" t="s">
        <v>168</v>
      </c>
      <c r="I472" s="65"/>
      <c r="J472" s="95" t="s">
        <v>9</v>
      </c>
      <c r="K472" s="121" t="s">
        <v>9</v>
      </c>
      <c r="L472" s="129">
        <v>1.0</v>
      </c>
      <c r="M472" s="129">
        <f t="shared" si="340"/>
        <v>1.25</v>
      </c>
      <c r="N472" s="128">
        <v>1.5</v>
      </c>
      <c r="O472" s="130">
        <f t="shared" si="351"/>
        <v>1.25</v>
      </c>
      <c r="P472" s="159"/>
      <c r="Q472" s="131">
        <f t="shared" si="348"/>
        <v>1.25</v>
      </c>
      <c r="R472" s="132"/>
      <c r="S472" s="132"/>
      <c r="T472" s="65" t="s">
        <v>70</v>
      </c>
      <c r="U472" s="26"/>
      <c r="V472" s="26"/>
      <c r="W472" s="26"/>
      <c r="X472" s="26"/>
      <c r="Y472" s="26"/>
      <c r="Z472" s="26"/>
      <c r="AA472" s="26"/>
      <c r="AB472" s="26"/>
      <c r="AC472" s="26"/>
    </row>
    <row r="473" ht="33.75" customHeight="1">
      <c r="A473" s="134" t="s">
        <v>819</v>
      </c>
      <c r="B473" s="135" t="s">
        <v>24</v>
      </c>
      <c r="C473" s="135" t="s">
        <v>797</v>
      </c>
      <c r="D473" s="135" t="s">
        <v>820</v>
      </c>
      <c r="E473" s="136" t="s">
        <v>821</v>
      </c>
      <c r="F473" s="137" t="s">
        <v>805</v>
      </c>
      <c r="G473" s="137" t="s">
        <v>200</v>
      </c>
      <c r="H473" s="100" t="s">
        <v>200</v>
      </c>
      <c r="I473" s="100"/>
      <c r="J473" s="137" t="s">
        <v>12</v>
      </c>
      <c r="K473" s="138" t="s">
        <v>12</v>
      </c>
      <c r="L473" s="139">
        <f>IF(COUNT(L474:N476)=0,"",SUM(L474:L476))</f>
        <v>0</v>
      </c>
      <c r="M473" s="139">
        <f t="shared" si="340"/>
        <v>0</v>
      </c>
      <c r="N473" s="139">
        <f>IF(COUNT(L474:N476)=0,"",SUM(N474:N476))</f>
        <v>0</v>
      </c>
      <c r="O473" s="139">
        <f>IF(COUNT(O474:O476)=0,"",SUM(O474:O476))</f>
        <v>0</v>
      </c>
      <c r="P473" s="140"/>
      <c r="Q473" s="101">
        <f t="shared" si="348"/>
        <v>0</v>
      </c>
      <c r="R473" s="104"/>
      <c r="S473" s="104"/>
      <c r="T473" s="100" t="s">
        <v>65</v>
      </c>
      <c r="U473" s="26"/>
      <c r="V473" s="26"/>
      <c r="W473" s="26"/>
      <c r="X473" s="26"/>
      <c r="Y473" s="26"/>
      <c r="Z473" s="26"/>
      <c r="AA473" s="26"/>
      <c r="AB473" s="26"/>
      <c r="AC473" s="26"/>
    </row>
    <row r="474" ht="33.75" customHeight="1">
      <c r="A474" s="206" t="s">
        <v>822</v>
      </c>
      <c r="B474" s="143" t="s">
        <v>24</v>
      </c>
      <c r="C474" s="143" t="s">
        <v>797</v>
      </c>
      <c r="D474" s="143" t="s">
        <v>820</v>
      </c>
      <c r="E474" s="144" t="s">
        <v>821</v>
      </c>
      <c r="F474" s="145" t="s">
        <v>805</v>
      </c>
      <c r="G474" s="145" t="s">
        <v>200</v>
      </c>
      <c r="H474" s="106" t="s">
        <v>200</v>
      </c>
      <c r="I474" s="106"/>
      <c r="J474" s="145" t="s">
        <v>12</v>
      </c>
      <c r="K474" s="146" t="s">
        <v>12</v>
      </c>
      <c r="L474" s="109">
        <v>0.0</v>
      </c>
      <c r="M474" s="109">
        <f t="shared" si="340"/>
        <v>0</v>
      </c>
      <c r="N474" s="109">
        <v>0.0</v>
      </c>
      <c r="O474" s="147">
        <f t="shared" ref="O474:O476" si="352">IF(COUNT(L474:N474)=0,"",(L474+4*M474+N474)/6)</f>
        <v>0</v>
      </c>
      <c r="P474" s="110"/>
      <c r="Q474" s="148">
        <f t="shared" si="348"/>
        <v>0</v>
      </c>
      <c r="R474" s="111"/>
      <c r="S474" s="111"/>
      <c r="T474" s="106" t="s">
        <v>31</v>
      </c>
      <c r="U474" s="26"/>
      <c r="V474" s="26"/>
      <c r="W474" s="26"/>
      <c r="X474" s="26"/>
      <c r="Y474" s="26"/>
      <c r="Z474" s="26"/>
      <c r="AA474" s="26"/>
      <c r="AB474" s="26"/>
      <c r="AC474" s="26"/>
    </row>
    <row r="475" ht="33.75" customHeight="1">
      <c r="A475" s="207" t="s">
        <v>823</v>
      </c>
      <c r="B475" s="143" t="s">
        <v>24</v>
      </c>
      <c r="C475" s="143" t="s">
        <v>797</v>
      </c>
      <c r="D475" s="143" t="s">
        <v>820</v>
      </c>
      <c r="E475" s="144" t="s">
        <v>821</v>
      </c>
      <c r="F475" s="145" t="s">
        <v>805</v>
      </c>
      <c r="G475" s="145" t="s">
        <v>200</v>
      </c>
      <c r="H475" s="108" t="s">
        <v>200</v>
      </c>
      <c r="I475" s="108"/>
      <c r="J475" s="145" t="s">
        <v>12</v>
      </c>
      <c r="K475" s="146" t="s">
        <v>12</v>
      </c>
      <c r="L475" s="109">
        <v>0.0</v>
      </c>
      <c r="M475" s="109">
        <f t="shared" si="340"/>
        <v>0</v>
      </c>
      <c r="N475" s="109">
        <v>0.0</v>
      </c>
      <c r="O475" s="147">
        <f t="shared" si="352"/>
        <v>0</v>
      </c>
      <c r="P475" s="110"/>
      <c r="Q475" s="148">
        <f t="shared" si="348"/>
        <v>0</v>
      </c>
      <c r="R475" s="150"/>
      <c r="S475" s="150"/>
      <c r="T475" s="108" t="s">
        <v>32</v>
      </c>
      <c r="U475" s="26"/>
      <c r="V475" s="26"/>
      <c r="W475" s="26"/>
      <c r="X475" s="26"/>
      <c r="Y475" s="26"/>
      <c r="Z475" s="26"/>
      <c r="AA475" s="26"/>
      <c r="AB475" s="26"/>
      <c r="AC475" s="26"/>
    </row>
    <row r="476" ht="33.75" customHeight="1">
      <c r="A476" s="207" t="s">
        <v>824</v>
      </c>
      <c r="B476" s="143" t="s">
        <v>24</v>
      </c>
      <c r="C476" s="143" t="s">
        <v>797</v>
      </c>
      <c r="D476" s="143" t="s">
        <v>820</v>
      </c>
      <c r="E476" s="144" t="s">
        <v>821</v>
      </c>
      <c r="F476" s="145" t="s">
        <v>805</v>
      </c>
      <c r="G476" s="145" t="s">
        <v>200</v>
      </c>
      <c r="H476" s="108" t="s">
        <v>200</v>
      </c>
      <c r="I476" s="108"/>
      <c r="J476" s="145" t="s">
        <v>12</v>
      </c>
      <c r="K476" s="146" t="s">
        <v>12</v>
      </c>
      <c r="L476" s="109">
        <v>0.0</v>
      </c>
      <c r="M476" s="109">
        <f t="shared" si="340"/>
        <v>0</v>
      </c>
      <c r="N476" s="109">
        <v>0.0</v>
      </c>
      <c r="O476" s="147">
        <f t="shared" si="352"/>
        <v>0</v>
      </c>
      <c r="P476" s="110"/>
      <c r="Q476" s="148">
        <f t="shared" si="348"/>
        <v>0</v>
      </c>
      <c r="R476" s="150"/>
      <c r="S476" s="150"/>
      <c r="T476" s="108" t="s">
        <v>70</v>
      </c>
      <c r="U476" s="26"/>
      <c r="V476" s="26"/>
      <c r="W476" s="26"/>
      <c r="X476" s="26"/>
      <c r="Y476" s="26"/>
      <c r="Z476" s="26"/>
      <c r="AA476" s="26"/>
      <c r="AB476" s="26"/>
      <c r="AC476" s="26"/>
    </row>
    <row r="477" ht="33.75" customHeight="1">
      <c r="A477" s="112" t="s">
        <v>825</v>
      </c>
      <c r="B477" s="38" t="s">
        <v>24</v>
      </c>
      <c r="C477" s="38" t="s">
        <v>826</v>
      </c>
      <c r="D477" s="38" t="s">
        <v>826</v>
      </c>
      <c r="E477" s="113" t="s">
        <v>827</v>
      </c>
      <c r="F477" s="114"/>
      <c r="G477" s="114"/>
      <c r="H477" s="123"/>
      <c r="I477" s="45"/>
      <c r="J477" s="114"/>
      <c r="K477" s="115"/>
      <c r="L477" s="42">
        <f>IF(COUNT(L478,L482,L486)=0,"",SUM(L478,L482,L486))</f>
        <v>2.25</v>
      </c>
      <c r="M477" s="42">
        <f t="shared" si="340"/>
        <v>3.125</v>
      </c>
      <c r="N477" s="42">
        <f t="shared" ref="N477:O477" si="353">IF(COUNT(N478,N482,N486)=0,"",SUM(N478,N482,N486))</f>
        <v>4</v>
      </c>
      <c r="O477" s="42">
        <f t="shared" si="353"/>
        <v>3.125</v>
      </c>
      <c r="P477" s="43"/>
      <c r="Q477" s="42">
        <f>IF(COUNT(Q478,Q482,Q486)=0,"",SUM(Q478,Q482,Q486))</f>
        <v>3.125</v>
      </c>
      <c r="R477" s="44"/>
      <c r="S477" s="44"/>
      <c r="T477" s="45" t="s">
        <v>62</v>
      </c>
      <c r="U477" s="179"/>
      <c r="V477" s="179"/>
      <c r="W477" s="179"/>
      <c r="X477" s="105">
        <f t="shared" ref="X477:AA477" si="354">L477</f>
        <v>2.25</v>
      </c>
      <c r="Y477" s="105">
        <f t="shared" si="354"/>
        <v>3.125</v>
      </c>
      <c r="Z477" s="105">
        <f t="shared" si="354"/>
        <v>4</v>
      </c>
      <c r="AA477" s="105">
        <f t="shared" si="354"/>
        <v>3.125</v>
      </c>
      <c r="AB477" s="179"/>
      <c r="AC477" s="105">
        <f>Q477</f>
        <v>3.125</v>
      </c>
    </row>
    <row r="478" ht="33.75" customHeight="1">
      <c r="A478" s="116" t="s">
        <v>828</v>
      </c>
      <c r="B478" s="77" t="s">
        <v>24</v>
      </c>
      <c r="C478" s="77" t="s">
        <v>826</v>
      </c>
      <c r="D478" s="77" t="s">
        <v>829</v>
      </c>
      <c r="E478" s="117" t="s">
        <v>830</v>
      </c>
      <c r="F478" s="118" t="s">
        <v>831</v>
      </c>
      <c r="G478" s="118" t="s">
        <v>168</v>
      </c>
      <c r="H478" s="119" t="s">
        <v>168</v>
      </c>
      <c r="I478" s="54"/>
      <c r="J478" s="118" t="s">
        <v>9</v>
      </c>
      <c r="K478" s="120" t="s">
        <v>9</v>
      </c>
      <c r="L478" s="51">
        <f>IF(COUNT(L479:N481)=0,"",SUM(L479:L481))</f>
        <v>1</v>
      </c>
      <c r="M478" s="51">
        <f t="shared" si="340"/>
        <v>1.25</v>
      </c>
      <c r="N478" s="51">
        <f>IF(COUNT(L479:N481)=0,"",SUM(N479:N481))</f>
        <v>1.5</v>
      </c>
      <c r="O478" s="51">
        <f>IF(COUNT(O479:O481)=0,"",SUM(O479:O481))</f>
        <v>1.25</v>
      </c>
      <c r="P478" s="52"/>
      <c r="Q478" s="51">
        <f t="shared" ref="Q478:Q489" si="355">IF(O478="","",IF(P478="",O478,O478*(1+P478)))</f>
        <v>1.25</v>
      </c>
      <c r="R478" s="53"/>
      <c r="S478" s="53"/>
      <c r="T478" s="54" t="s">
        <v>65</v>
      </c>
      <c r="U478" s="179"/>
      <c r="V478" s="179"/>
      <c r="W478" s="179"/>
      <c r="X478" s="105"/>
      <c r="Y478" s="105"/>
      <c r="Z478" s="105"/>
      <c r="AA478" s="105"/>
      <c r="AB478" s="179"/>
      <c r="AC478" s="105"/>
    </row>
    <row r="479" ht="33.75" customHeight="1">
      <c r="A479" s="78" t="s">
        <v>832</v>
      </c>
      <c r="B479" s="79" t="s">
        <v>24</v>
      </c>
      <c r="C479" s="79" t="s">
        <v>826</v>
      </c>
      <c r="D479" s="79" t="s">
        <v>829</v>
      </c>
      <c r="E479" s="94" t="s">
        <v>830</v>
      </c>
      <c r="F479" s="95" t="s">
        <v>831</v>
      </c>
      <c r="G479" s="95" t="s">
        <v>168</v>
      </c>
      <c r="H479" s="97" t="s">
        <v>168</v>
      </c>
      <c r="I479" s="65"/>
      <c r="J479" s="95" t="s">
        <v>9</v>
      </c>
      <c r="K479" s="121" t="s">
        <v>9</v>
      </c>
      <c r="L479" s="129">
        <v>0.0</v>
      </c>
      <c r="M479" s="129">
        <f t="shared" si="340"/>
        <v>0</v>
      </c>
      <c r="N479" s="129">
        <v>0.0</v>
      </c>
      <c r="O479" s="130">
        <f t="shared" ref="O479:O481" si="356">IF(COUNT(L479:N479)=0,"",(L479+4*M479+N479)/6)</f>
        <v>0</v>
      </c>
      <c r="P479" s="159"/>
      <c r="Q479" s="131">
        <f t="shared" si="355"/>
        <v>0</v>
      </c>
      <c r="R479" s="132"/>
      <c r="S479" s="132"/>
      <c r="T479" s="65" t="s">
        <v>31</v>
      </c>
      <c r="U479" s="26"/>
      <c r="V479" s="26"/>
      <c r="W479" s="26"/>
      <c r="X479" s="26"/>
      <c r="Y479" s="26"/>
      <c r="Z479" s="26"/>
      <c r="AA479" s="26"/>
      <c r="AB479" s="26"/>
      <c r="AC479" s="26"/>
    </row>
    <row r="480" ht="33.75" customHeight="1">
      <c r="A480" s="78" t="s">
        <v>833</v>
      </c>
      <c r="B480" s="79" t="s">
        <v>24</v>
      </c>
      <c r="C480" s="79" t="s">
        <v>826</v>
      </c>
      <c r="D480" s="79" t="s">
        <v>829</v>
      </c>
      <c r="E480" s="94" t="s">
        <v>830</v>
      </c>
      <c r="F480" s="95" t="s">
        <v>831</v>
      </c>
      <c r="G480" s="95" t="s">
        <v>168</v>
      </c>
      <c r="H480" s="97" t="s">
        <v>168</v>
      </c>
      <c r="I480" s="65"/>
      <c r="J480" s="95" t="s">
        <v>9</v>
      </c>
      <c r="K480" s="121" t="s">
        <v>9</v>
      </c>
      <c r="L480" s="129">
        <v>0.0</v>
      </c>
      <c r="M480" s="129">
        <f t="shared" si="340"/>
        <v>0</v>
      </c>
      <c r="N480" s="129">
        <v>0.0</v>
      </c>
      <c r="O480" s="130">
        <f t="shared" si="356"/>
        <v>0</v>
      </c>
      <c r="P480" s="159"/>
      <c r="Q480" s="131">
        <f t="shared" si="355"/>
        <v>0</v>
      </c>
      <c r="R480" s="132"/>
      <c r="S480" s="132"/>
      <c r="T480" s="65" t="s">
        <v>32</v>
      </c>
      <c r="U480" s="26"/>
      <c r="V480" s="26"/>
      <c r="W480" s="26"/>
      <c r="X480" s="26"/>
      <c r="Y480" s="26"/>
      <c r="Z480" s="26"/>
      <c r="AA480" s="26"/>
      <c r="AB480" s="26"/>
      <c r="AC480" s="26"/>
    </row>
    <row r="481" ht="33.75" customHeight="1">
      <c r="A481" s="78" t="s">
        <v>834</v>
      </c>
      <c r="B481" s="79" t="s">
        <v>24</v>
      </c>
      <c r="C481" s="79" t="s">
        <v>826</v>
      </c>
      <c r="D481" s="79" t="s">
        <v>829</v>
      </c>
      <c r="E481" s="94" t="s">
        <v>830</v>
      </c>
      <c r="F481" s="95" t="s">
        <v>831</v>
      </c>
      <c r="G481" s="95" t="s">
        <v>168</v>
      </c>
      <c r="H481" s="65" t="s">
        <v>168</v>
      </c>
      <c r="I481" s="65"/>
      <c r="J481" s="95" t="s">
        <v>9</v>
      </c>
      <c r="K481" s="121" t="s">
        <v>9</v>
      </c>
      <c r="L481" s="129">
        <v>1.0</v>
      </c>
      <c r="M481" s="129">
        <f t="shared" si="340"/>
        <v>1.25</v>
      </c>
      <c r="N481" s="128">
        <v>1.5</v>
      </c>
      <c r="O481" s="130">
        <f t="shared" si="356"/>
        <v>1.25</v>
      </c>
      <c r="P481" s="159"/>
      <c r="Q481" s="131">
        <f t="shared" si="355"/>
        <v>1.25</v>
      </c>
      <c r="R481" s="132"/>
      <c r="S481" s="132"/>
      <c r="T481" s="65" t="s">
        <v>70</v>
      </c>
      <c r="U481" s="26"/>
      <c r="V481" s="26"/>
      <c r="W481" s="26"/>
      <c r="X481" s="26"/>
      <c r="Y481" s="26"/>
      <c r="Z481" s="26"/>
      <c r="AA481" s="26"/>
      <c r="AB481" s="26"/>
      <c r="AC481" s="26"/>
    </row>
    <row r="482" ht="33.75" customHeight="1">
      <c r="A482" s="116" t="s">
        <v>835</v>
      </c>
      <c r="B482" s="77" t="s">
        <v>24</v>
      </c>
      <c r="C482" s="77" t="s">
        <v>826</v>
      </c>
      <c r="D482" s="77" t="s">
        <v>836</v>
      </c>
      <c r="E482" s="117" t="s">
        <v>837</v>
      </c>
      <c r="F482" s="118" t="s">
        <v>838</v>
      </c>
      <c r="G482" s="118" t="s">
        <v>168</v>
      </c>
      <c r="H482" s="119" t="s">
        <v>168</v>
      </c>
      <c r="I482" s="54"/>
      <c r="J482" s="118" t="s">
        <v>9</v>
      </c>
      <c r="K482" s="120" t="s">
        <v>9</v>
      </c>
      <c r="L482" s="51">
        <f>IF(COUNT(L483:N485)=0,"",SUM(L483:L485))</f>
        <v>0.75</v>
      </c>
      <c r="M482" s="51">
        <f t="shared" si="340"/>
        <v>1.125</v>
      </c>
      <c r="N482" s="51">
        <f>IF(COUNT(L483:N485)=0,"",SUM(N483:N485))</f>
        <v>1.5</v>
      </c>
      <c r="O482" s="51">
        <f>IF(COUNT(O483:O485)=0,"",SUM(O483:O485))</f>
        <v>1.125</v>
      </c>
      <c r="P482" s="52"/>
      <c r="Q482" s="51">
        <f t="shared" si="355"/>
        <v>1.125</v>
      </c>
      <c r="R482" s="53"/>
      <c r="S482" s="53"/>
      <c r="T482" s="54" t="s">
        <v>65</v>
      </c>
      <c r="U482" s="179"/>
      <c r="V482" s="179"/>
      <c r="W482" s="179"/>
      <c r="X482" s="105"/>
      <c r="Y482" s="105"/>
      <c r="Z482" s="105"/>
      <c r="AA482" s="105"/>
      <c r="AB482" s="179"/>
      <c r="AC482" s="105"/>
    </row>
    <row r="483" ht="33.75" customHeight="1">
      <c r="A483" s="78" t="s">
        <v>839</v>
      </c>
      <c r="B483" s="79" t="s">
        <v>24</v>
      </c>
      <c r="C483" s="79" t="s">
        <v>826</v>
      </c>
      <c r="D483" s="56" t="s">
        <v>840</v>
      </c>
      <c r="E483" s="94" t="s">
        <v>837</v>
      </c>
      <c r="F483" s="95" t="s">
        <v>838</v>
      </c>
      <c r="G483" s="95" t="s">
        <v>168</v>
      </c>
      <c r="H483" s="97" t="s">
        <v>168</v>
      </c>
      <c r="I483" s="65"/>
      <c r="J483" s="95" t="s">
        <v>9</v>
      </c>
      <c r="K483" s="121" t="s">
        <v>9</v>
      </c>
      <c r="L483" s="128">
        <v>0.25</v>
      </c>
      <c r="M483" s="129">
        <f t="shared" si="340"/>
        <v>0.375</v>
      </c>
      <c r="N483" s="128">
        <v>0.5</v>
      </c>
      <c r="O483" s="130">
        <f t="shared" ref="O483:O485" si="357">IF(COUNT(L483:N483)=0,"",(L483+4*M483+N483)/6)</f>
        <v>0.375</v>
      </c>
      <c r="P483" s="159"/>
      <c r="Q483" s="131">
        <f t="shared" si="355"/>
        <v>0.375</v>
      </c>
      <c r="R483" s="132"/>
      <c r="S483" s="132"/>
      <c r="T483" s="65" t="s">
        <v>31</v>
      </c>
      <c r="U483" s="26"/>
      <c r="V483" s="26"/>
      <c r="W483" s="26"/>
      <c r="X483" s="26"/>
      <c r="Y483" s="26"/>
      <c r="Z483" s="26"/>
      <c r="AA483" s="26"/>
      <c r="AB483" s="26"/>
      <c r="AC483" s="26"/>
    </row>
    <row r="484" ht="33.75" customHeight="1">
      <c r="A484" s="78" t="s">
        <v>841</v>
      </c>
      <c r="B484" s="79" t="s">
        <v>24</v>
      </c>
      <c r="C484" s="79" t="s">
        <v>826</v>
      </c>
      <c r="D484" s="56" t="s">
        <v>840</v>
      </c>
      <c r="E484" s="94" t="s">
        <v>837</v>
      </c>
      <c r="F484" s="95" t="s">
        <v>838</v>
      </c>
      <c r="G484" s="95" t="s">
        <v>168</v>
      </c>
      <c r="H484" s="97" t="s">
        <v>168</v>
      </c>
      <c r="I484" s="65"/>
      <c r="J484" s="95" t="s">
        <v>9</v>
      </c>
      <c r="K484" s="121" t="s">
        <v>9</v>
      </c>
      <c r="L484" s="128">
        <v>0.25</v>
      </c>
      <c r="M484" s="129">
        <f t="shared" si="340"/>
        <v>0.375</v>
      </c>
      <c r="N484" s="128">
        <v>0.5</v>
      </c>
      <c r="O484" s="130">
        <f t="shared" si="357"/>
        <v>0.375</v>
      </c>
      <c r="P484" s="159"/>
      <c r="Q484" s="131">
        <f t="shared" si="355"/>
        <v>0.375</v>
      </c>
      <c r="R484" s="132"/>
      <c r="S484" s="132"/>
      <c r="T484" s="65" t="s">
        <v>32</v>
      </c>
      <c r="U484" s="26"/>
      <c r="V484" s="26"/>
      <c r="W484" s="26"/>
      <c r="X484" s="26"/>
      <c r="Y484" s="26"/>
      <c r="Z484" s="26"/>
      <c r="AA484" s="26"/>
      <c r="AB484" s="26"/>
      <c r="AC484" s="26"/>
    </row>
    <row r="485" ht="33.75" customHeight="1">
      <c r="A485" s="78" t="s">
        <v>842</v>
      </c>
      <c r="B485" s="79" t="s">
        <v>24</v>
      </c>
      <c r="C485" s="79" t="s">
        <v>826</v>
      </c>
      <c r="D485" s="56" t="s">
        <v>840</v>
      </c>
      <c r="E485" s="94" t="s">
        <v>837</v>
      </c>
      <c r="F485" s="95" t="s">
        <v>838</v>
      </c>
      <c r="G485" s="95" t="s">
        <v>168</v>
      </c>
      <c r="H485" s="97" t="s">
        <v>168</v>
      </c>
      <c r="I485" s="65"/>
      <c r="J485" s="95" t="s">
        <v>9</v>
      </c>
      <c r="K485" s="121" t="s">
        <v>9</v>
      </c>
      <c r="L485" s="128">
        <v>0.25</v>
      </c>
      <c r="M485" s="129">
        <f t="shared" si="340"/>
        <v>0.375</v>
      </c>
      <c r="N485" s="128">
        <v>0.5</v>
      </c>
      <c r="O485" s="130">
        <f t="shared" si="357"/>
        <v>0.375</v>
      </c>
      <c r="P485" s="159"/>
      <c r="Q485" s="131">
        <f t="shared" si="355"/>
        <v>0.375</v>
      </c>
      <c r="R485" s="132"/>
      <c r="S485" s="132"/>
      <c r="T485" s="65" t="s">
        <v>70</v>
      </c>
      <c r="U485" s="26"/>
      <c r="V485" s="26"/>
      <c r="W485" s="26"/>
      <c r="X485" s="26"/>
      <c r="Y485" s="26"/>
      <c r="Z485" s="26"/>
      <c r="AA485" s="26"/>
      <c r="AB485" s="26"/>
      <c r="AC485" s="26"/>
    </row>
    <row r="486" ht="33.75" customHeight="1">
      <c r="A486" s="116" t="s">
        <v>843</v>
      </c>
      <c r="B486" s="77" t="s">
        <v>24</v>
      </c>
      <c r="C486" s="77" t="s">
        <v>826</v>
      </c>
      <c r="D486" s="77" t="s">
        <v>844</v>
      </c>
      <c r="E486" s="117" t="s">
        <v>845</v>
      </c>
      <c r="F486" s="118" t="s">
        <v>846</v>
      </c>
      <c r="G486" s="118" t="s">
        <v>168</v>
      </c>
      <c r="H486" s="54" t="s">
        <v>168</v>
      </c>
      <c r="I486" s="54"/>
      <c r="J486" s="118" t="s">
        <v>9</v>
      </c>
      <c r="K486" s="120" t="s">
        <v>9</v>
      </c>
      <c r="L486" s="51">
        <f>IF(COUNT(L487:N489)=0,"",SUM(L487:L489))</f>
        <v>0.5</v>
      </c>
      <c r="M486" s="51">
        <f t="shared" si="340"/>
        <v>0.75</v>
      </c>
      <c r="N486" s="51">
        <f>IF(COUNT(L487:N489)=0,"",SUM(N487:N489))</f>
        <v>1</v>
      </c>
      <c r="O486" s="51">
        <f>IF(COUNT(O487:O489)=0,"",SUM(O487:O489))</f>
        <v>0.75</v>
      </c>
      <c r="P486" s="52"/>
      <c r="Q486" s="51">
        <f t="shared" si="355"/>
        <v>0.75</v>
      </c>
      <c r="R486" s="53"/>
      <c r="S486" s="53"/>
      <c r="T486" s="54" t="s">
        <v>65</v>
      </c>
      <c r="U486" s="179"/>
      <c r="V486" s="179"/>
      <c r="W486" s="179"/>
      <c r="X486" s="105"/>
      <c r="Y486" s="105"/>
      <c r="Z486" s="105"/>
      <c r="AA486" s="105"/>
      <c r="AB486" s="179"/>
      <c r="AC486" s="105"/>
    </row>
    <row r="487" ht="33.75" customHeight="1">
      <c r="A487" s="78" t="s">
        <v>847</v>
      </c>
      <c r="B487" s="79" t="s">
        <v>24</v>
      </c>
      <c r="C487" s="79" t="s">
        <v>826</v>
      </c>
      <c r="D487" s="79" t="s">
        <v>844</v>
      </c>
      <c r="E487" s="94" t="s">
        <v>845</v>
      </c>
      <c r="F487" s="95" t="s">
        <v>846</v>
      </c>
      <c r="G487" s="95" t="s">
        <v>168</v>
      </c>
      <c r="H487" s="97" t="s">
        <v>168</v>
      </c>
      <c r="I487" s="65"/>
      <c r="J487" s="95" t="s">
        <v>9</v>
      </c>
      <c r="K487" s="121" t="s">
        <v>9</v>
      </c>
      <c r="L487" s="129">
        <v>0.0</v>
      </c>
      <c r="M487" s="129">
        <f t="shared" si="340"/>
        <v>0</v>
      </c>
      <c r="N487" s="129">
        <v>0.0</v>
      </c>
      <c r="O487" s="130">
        <f t="shared" ref="O487:O489" si="358">IF(COUNT(L487:N487)=0,"",(L487+4*M487+N487)/6)</f>
        <v>0</v>
      </c>
      <c r="P487" s="159"/>
      <c r="Q487" s="131">
        <f t="shared" si="355"/>
        <v>0</v>
      </c>
      <c r="R487" s="132"/>
      <c r="S487" s="132"/>
      <c r="T487" s="65" t="s">
        <v>31</v>
      </c>
      <c r="U487" s="26"/>
      <c r="V487" s="26"/>
      <c r="W487" s="26"/>
      <c r="X487" s="26"/>
      <c r="Y487" s="26"/>
      <c r="Z487" s="26"/>
      <c r="AA487" s="26"/>
      <c r="AB487" s="26"/>
      <c r="AC487" s="26"/>
    </row>
    <row r="488" ht="33.75" customHeight="1">
      <c r="A488" s="78" t="s">
        <v>848</v>
      </c>
      <c r="B488" s="79" t="s">
        <v>24</v>
      </c>
      <c r="C488" s="79" t="s">
        <v>826</v>
      </c>
      <c r="D488" s="79" t="s">
        <v>844</v>
      </c>
      <c r="E488" s="94" t="s">
        <v>845</v>
      </c>
      <c r="F488" s="95" t="s">
        <v>846</v>
      </c>
      <c r="G488" s="95" t="s">
        <v>168</v>
      </c>
      <c r="H488" s="97" t="s">
        <v>168</v>
      </c>
      <c r="I488" s="65"/>
      <c r="J488" s="95" t="s">
        <v>9</v>
      </c>
      <c r="K488" s="121" t="s">
        <v>9</v>
      </c>
      <c r="L488" s="129">
        <v>0.0</v>
      </c>
      <c r="M488" s="129">
        <f t="shared" si="340"/>
        <v>0</v>
      </c>
      <c r="N488" s="129">
        <v>0.0</v>
      </c>
      <c r="O488" s="130">
        <f t="shared" si="358"/>
        <v>0</v>
      </c>
      <c r="P488" s="159"/>
      <c r="Q488" s="131">
        <f t="shared" si="355"/>
        <v>0</v>
      </c>
      <c r="R488" s="132"/>
      <c r="S488" s="132"/>
      <c r="T488" s="65" t="s">
        <v>32</v>
      </c>
      <c r="U488" s="26"/>
      <c r="V488" s="26"/>
      <c r="W488" s="26"/>
      <c r="X488" s="26"/>
      <c r="Y488" s="26"/>
      <c r="Z488" s="26"/>
      <c r="AA488" s="26"/>
      <c r="AB488" s="26"/>
      <c r="AC488" s="26"/>
    </row>
    <row r="489" ht="33.75" customHeight="1">
      <c r="A489" s="78" t="s">
        <v>849</v>
      </c>
      <c r="B489" s="79" t="s">
        <v>24</v>
      </c>
      <c r="C489" s="79" t="s">
        <v>826</v>
      </c>
      <c r="D489" s="79" t="s">
        <v>844</v>
      </c>
      <c r="E489" s="94" t="s">
        <v>845</v>
      </c>
      <c r="F489" s="95" t="s">
        <v>846</v>
      </c>
      <c r="G489" s="95" t="s">
        <v>168</v>
      </c>
      <c r="H489" s="97" t="s">
        <v>168</v>
      </c>
      <c r="I489" s="65"/>
      <c r="J489" s="95" t="s">
        <v>9</v>
      </c>
      <c r="K489" s="121" t="s">
        <v>9</v>
      </c>
      <c r="L489" s="129">
        <v>0.5</v>
      </c>
      <c r="M489" s="129">
        <f t="shared" si="340"/>
        <v>0.75</v>
      </c>
      <c r="N489" s="129">
        <v>1.0</v>
      </c>
      <c r="O489" s="130">
        <f t="shared" si="358"/>
        <v>0.75</v>
      </c>
      <c r="P489" s="159"/>
      <c r="Q489" s="131">
        <f t="shared" si="355"/>
        <v>0.75</v>
      </c>
      <c r="R489" s="132"/>
      <c r="S489" s="132"/>
      <c r="T489" s="65" t="s">
        <v>70</v>
      </c>
      <c r="U489" s="26"/>
      <c r="V489" s="26"/>
      <c r="W489" s="26"/>
      <c r="X489" s="26"/>
      <c r="Y489" s="26"/>
      <c r="Z489" s="26"/>
      <c r="AA489" s="26"/>
      <c r="AB489" s="26"/>
      <c r="AC489" s="26"/>
    </row>
    <row r="490" ht="33.75" customHeight="1">
      <c r="A490" s="27" t="s">
        <v>850</v>
      </c>
      <c r="B490" s="28"/>
      <c r="C490" s="28"/>
      <c r="D490" s="28"/>
      <c r="E490" s="29"/>
      <c r="F490" s="30"/>
      <c r="G490" s="30"/>
      <c r="H490" s="30"/>
      <c r="I490" s="30"/>
      <c r="J490" s="30"/>
      <c r="K490" s="31"/>
      <c r="L490" s="32">
        <f t="shared" ref="L490:O490" si="359">SUM(X491:X603)</f>
        <v>35.75</v>
      </c>
      <c r="M490" s="32">
        <f t="shared" si="359"/>
        <v>49.625</v>
      </c>
      <c r="N490" s="32">
        <f t="shared" si="359"/>
        <v>63.5</v>
      </c>
      <c r="O490" s="32">
        <f t="shared" si="359"/>
        <v>49.625</v>
      </c>
      <c r="P490" s="33"/>
      <c r="Q490" s="32">
        <f>SUM(AC491:AC603)</f>
        <v>49.625</v>
      </c>
      <c r="R490" s="34"/>
      <c r="S490" s="34"/>
      <c r="T490" s="35" t="s">
        <v>59</v>
      </c>
      <c r="U490" s="26"/>
      <c r="V490" s="26"/>
      <c r="W490" s="26"/>
      <c r="X490" s="26"/>
      <c r="Y490" s="26"/>
      <c r="Z490" s="26"/>
      <c r="AA490" s="26"/>
      <c r="AB490" s="26"/>
      <c r="AC490" s="26"/>
    </row>
    <row r="491" ht="33.75" customHeight="1">
      <c r="A491" s="112" t="s">
        <v>851</v>
      </c>
      <c r="B491" s="38" t="s">
        <v>25</v>
      </c>
      <c r="C491" s="38" t="s">
        <v>852</v>
      </c>
      <c r="D491" s="38" t="s">
        <v>852</v>
      </c>
      <c r="E491" s="113" t="s">
        <v>853</v>
      </c>
      <c r="F491" s="114"/>
      <c r="G491" s="114"/>
      <c r="H491" s="123"/>
      <c r="I491" s="45"/>
      <c r="J491" s="114" t="s">
        <v>854</v>
      </c>
      <c r="K491" s="115" t="s">
        <v>854</v>
      </c>
      <c r="L491" s="42">
        <f>IF(COUNT(L492,L496,L500,L504,L508,L512,L516)=0,"",SUM(L492,L496,L500,L504,L508,L512,L516))</f>
        <v>10</v>
      </c>
      <c r="M491" s="42">
        <f t="shared" ref="M491:M603" si="362">(N491+L491)/2</f>
        <v>13</v>
      </c>
      <c r="N491" s="42">
        <f t="shared" ref="N491:O491" si="360">IF(COUNT(N492,N496,N500,N504,N508,N512,N516)=0,"",SUM(N492,N496,N500,N504,N508,N512,N516))</f>
        <v>16</v>
      </c>
      <c r="O491" s="42">
        <f t="shared" si="360"/>
        <v>13</v>
      </c>
      <c r="P491" s="43"/>
      <c r="Q491" s="42">
        <f>IF(COUNT(Q492,Q496,Q500,Q504,Q508,Q512,Q516)=0,"",SUM(Q492,Q496,Q500,Q504,Q508,Q512,Q516))</f>
        <v>13</v>
      </c>
      <c r="R491" s="44"/>
      <c r="S491" s="44"/>
      <c r="T491" s="45" t="s">
        <v>62</v>
      </c>
      <c r="U491" s="179"/>
      <c r="V491" s="179"/>
      <c r="W491" s="179"/>
      <c r="X491" s="105">
        <f t="shared" ref="X491:AA491" si="361">L491</f>
        <v>10</v>
      </c>
      <c r="Y491" s="105">
        <f t="shared" si="361"/>
        <v>13</v>
      </c>
      <c r="Z491" s="105">
        <f t="shared" si="361"/>
        <v>16</v>
      </c>
      <c r="AA491" s="105">
        <f t="shared" si="361"/>
        <v>13</v>
      </c>
      <c r="AB491" s="179"/>
      <c r="AC491" s="105">
        <f>Q491</f>
        <v>13</v>
      </c>
    </row>
    <row r="492" ht="33.75" customHeight="1">
      <c r="A492" s="116" t="s">
        <v>855</v>
      </c>
      <c r="B492" s="77" t="s">
        <v>25</v>
      </c>
      <c r="C492" s="77" t="s">
        <v>852</v>
      </c>
      <c r="D492" s="77" t="s">
        <v>856</v>
      </c>
      <c r="E492" s="117" t="s">
        <v>857</v>
      </c>
      <c r="F492" s="118" t="s">
        <v>233</v>
      </c>
      <c r="G492" s="118" t="s">
        <v>200</v>
      </c>
      <c r="H492" s="54" t="s">
        <v>200</v>
      </c>
      <c r="I492" s="54"/>
      <c r="J492" s="118" t="s">
        <v>9</v>
      </c>
      <c r="K492" s="120" t="s">
        <v>9</v>
      </c>
      <c r="L492" s="51">
        <f>IF(COUNT(L493:N495)=0,"",SUM(L493:L495))</f>
        <v>5</v>
      </c>
      <c r="M492" s="51">
        <f t="shared" si="362"/>
        <v>6.25</v>
      </c>
      <c r="N492" s="51">
        <f>IF(COUNT(L493:N495)=0,"",SUM(N493:N495))</f>
        <v>7.5</v>
      </c>
      <c r="O492" s="51">
        <f>IF(COUNT(O493:O495)=0,"",SUM(O493:O495))</f>
        <v>6.25</v>
      </c>
      <c r="P492" s="52"/>
      <c r="Q492" s="51">
        <f t="shared" ref="Q492:Q519" si="363">IF(O492="","",IF(P492="",O492,O492*(1+P492)))</f>
        <v>6.25</v>
      </c>
      <c r="R492" s="53"/>
      <c r="S492" s="53"/>
      <c r="T492" s="54" t="s">
        <v>65</v>
      </c>
      <c r="U492" s="179"/>
      <c r="V492" s="179"/>
      <c r="W492" s="179"/>
      <c r="X492" s="105"/>
      <c r="Y492" s="105"/>
      <c r="Z492" s="105"/>
      <c r="AA492" s="105"/>
      <c r="AB492" s="179"/>
      <c r="AC492" s="105"/>
    </row>
    <row r="493" ht="33.75" customHeight="1">
      <c r="A493" s="78" t="s">
        <v>858</v>
      </c>
      <c r="B493" s="79" t="s">
        <v>25</v>
      </c>
      <c r="C493" s="79" t="s">
        <v>852</v>
      </c>
      <c r="D493" s="79" t="s">
        <v>856</v>
      </c>
      <c r="E493" s="94" t="s">
        <v>857</v>
      </c>
      <c r="F493" s="95" t="s">
        <v>233</v>
      </c>
      <c r="G493" s="95" t="s">
        <v>200</v>
      </c>
      <c r="H493" s="97" t="s">
        <v>200</v>
      </c>
      <c r="I493" s="65"/>
      <c r="J493" s="95" t="s">
        <v>9</v>
      </c>
      <c r="K493" s="121" t="s">
        <v>9</v>
      </c>
      <c r="L493" s="129">
        <v>0.0</v>
      </c>
      <c r="M493" s="129">
        <f t="shared" si="362"/>
        <v>0</v>
      </c>
      <c r="N493" s="129">
        <v>0.0</v>
      </c>
      <c r="O493" s="130">
        <f t="shared" ref="O493:O495" si="364">IF(COUNT(L493:N493)=0,"",(L493+4*M493+N493)/6)</f>
        <v>0</v>
      </c>
      <c r="P493" s="159"/>
      <c r="Q493" s="131">
        <f t="shared" si="363"/>
        <v>0</v>
      </c>
      <c r="R493" s="132"/>
      <c r="S493" s="132"/>
      <c r="T493" s="65" t="s">
        <v>31</v>
      </c>
      <c r="U493" s="26"/>
      <c r="V493" s="26"/>
      <c r="W493" s="26"/>
      <c r="X493" s="26"/>
      <c r="Y493" s="26"/>
      <c r="Z493" s="26"/>
      <c r="AA493" s="26"/>
      <c r="AB493" s="26"/>
      <c r="AC493" s="26"/>
    </row>
    <row r="494" ht="33.75" customHeight="1">
      <c r="A494" s="78" t="s">
        <v>859</v>
      </c>
      <c r="B494" s="79" t="s">
        <v>25</v>
      </c>
      <c r="C494" s="79" t="s">
        <v>852</v>
      </c>
      <c r="D494" s="79" t="s">
        <v>856</v>
      </c>
      <c r="E494" s="94" t="s">
        <v>857</v>
      </c>
      <c r="F494" s="95" t="s">
        <v>233</v>
      </c>
      <c r="G494" s="95" t="s">
        <v>200</v>
      </c>
      <c r="H494" s="97" t="s">
        <v>200</v>
      </c>
      <c r="I494" s="65"/>
      <c r="J494" s="95" t="s">
        <v>9</v>
      </c>
      <c r="K494" s="121" t="s">
        <v>9</v>
      </c>
      <c r="L494" s="128">
        <v>3.0</v>
      </c>
      <c r="M494" s="129">
        <f t="shared" si="362"/>
        <v>4</v>
      </c>
      <c r="N494" s="128">
        <v>5.0</v>
      </c>
      <c r="O494" s="130">
        <f t="shared" si="364"/>
        <v>4</v>
      </c>
      <c r="P494" s="159"/>
      <c r="Q494" s="131">
        <f t="shared" si="363"/>
        <v>4</v>
      </c>
      <c r="R494" s="132"/>
      <c r="S494" s="132"/>
      <c r="T494" s="65" t="s">
        <v>32</v>
      </c>
      <c r="U494" s="26"/>
      <c r="V494" s="26"/>
      <c r="W494" s="26"/>
      <c r="X494" s="26"/>
      <c r="Y494" s="26"/>
      <c r="Z494" s="26"/>
      <c r="AA494" s="26"/>
      <c r="AB494" s="26"/>
      <c r="AC494" s="26"/>
    </row>
    <row r="495" ht="33.75" customHeight="1">
      <c r="A495" s="78" t="s">
        <v>860</v>
      </c>
      <c r="B495" s="79" t="s">
        <v>25</v>
      </c>
      <c r="C495" s="79" t="s">
        <v>852</v>
      </c>
      <c r="D495" s="79" t="s">
        <v>856</v>
      </c>
      <c r="E495" s="94" t="s">
        <v>857</v>
      </c>
      <c r="F495" s="95" t="s">
        <v>233</v>
      </c>
      <c r="G495" s="95" t="s">
        <v>200</v>
      </c>
      <c r="H495" s="97" t="s">
        <v>200</v>
      </c>
      <c r="I495" s="65"/>
      <c r="J495" s="95" t="s">
        <v>9</v>
      </c>
      <c r="K495" s="121" t="s">
        <v>9</v>
      </c>
      <c r="L495" s="128">
        <v>2.0</v>
      </c>
      <c r="M495" s="129">
        <f t="shared" si="362"/>
        <v>2.25</v>
      </c>
      <c r="N495" s="128">
        <v>2.5</v>
      </c>
      <c r="O495" s="130">
        <f t="shared" si="364"/>
        <v>2.25</v>
      </c>
      <c r="P495" s="159"/>
      <c r="Q495" s="131">
        <f t="shared" si="363"/>
        <v>2.25</v>
      </c>
      <c r="R495" s="132"/>
      <c r="S495" s="132"/>
      <c r="T495" s="65" t="s">
        <v>70</v>
      </c>
      <c r="U495" s="26"/>
      <c r="V495" s="26"/>
      <c r="W495" s="26"/>
      <c r="X495" s="26"/>
      <c r="Y495" s="26"/>
      <c r="Z495" s="26"/>
      <c r="AA495" s="26"/>
      <c r="AB495" s="26"/>
      <c r="AC495" s="26"/>
    </row>
    <row r="496" ht="33.75" customHeight="1">
      <c r="A496" s="116" t="s">
        <v>861</v>
      </c>
      <c r="B496" s="77" t="s">
        <v>25</v>
      </c>
      <c r="C496" s="77" t="s">
        <v>852</v>
      </c>
      <c r="D496" s="77" t="s">
        <v>862</v>
      </c>
      <c r="E496" s="117" t="s">
        <v>863</v>
      </c>
      <c r="F496" s="118" t="s">
        <v>855</v>
      </c>
      <c r="G496" s="118" t="s">
        <v>168</v>
      </c>
      <c r="H496" s="54" t="s">
        <v>168</v>
      </c>
      <c r="I496" s="54"/>
      <c r="J496" s="118" t="s">
        <v>9</v>
      </c>
      <c r="K496" s="120" t="s">
        <v>9</v>
      </c>
      <c r="L496" s="51">
        <f>IF(COUNT(L497:N499)=0,"",SUM(L497:L499))</f>
        <v>1</v>
      </c>
      <c r="M496" s="51">
        <f t="shared" si="362"/>
        <v>1.25</v>
      </c>
      <c r="N496" s="51">
        <f>IF(COUNT(L497:N499)=0,"",SUM(N497:N499))</f>
        <v>1.5</v>
      </c>
      <c r="O496" s="51">
        <f>IF(COUNT(O497:O499)=0,"",SUM(O497:O499))</f>
        <v>1.25</v>
      </c>
      <c r="P496" s="52"/>
      <c r="Q496" s="51">
        <f t="shared" si="363"/>
        <v>1.25</v>
      </c>
      <c r="R496" s="53"/>
      <c r="S496" s="53"/>
      <c r="T496" s="54" t="s">
        <v>65</v>
      </c>
      <c r="U496" s="179"/>
      <c r="V496" s="179"/>
      <c r="W496" s="179"/>
      <c r="X496" s="105"/>
      <c r="Y496" s="105"/>
      <c r="Z496" s="105"/>
      <c r="AA496" s="105"/>
      <c r="AB496" s="179"/>
      <c r="AC496" s="105"/>
    </row>
    <row r="497" ht="33.75" customHeight="1">
      <c r="A497" s="78" t="s">
        <v>864</v>
      </c>
      <c r="B497" s="79" t="s">
        <v>25</v>
      </c>
      <c r="C497" s="79" t="s">
        <v>852</v>
      </c>
      <c r="D497" s="79" t="s">
        <v>862</v>
      </c>
      <c r="E497" s="94" t="s">
        <v>863</v>
      </c>
      <c r="F497" s="95" t="s">
        <v>855</v>
      </c>
      <c r="G497" s="95" t="s">
        <v>168</v>
      </c>
      <c r="H497" s="97" t="s">
        <v>168</v>
      </c>
      <c r="I497" s="65"/>
      <c r="J497" s="95" t="s">
        <v>9</v>
      </c>
      <c r="K497" s="121" t="s">
        <v>9</v>
      </c>
      <c r="L497" s="129">
        <v>0.0</v>
      </c>
      <c r="M497" s="129">
        <f t="shared" si="362"/>
        <v>0</v>
      </c>
      <c r="N497" s="129">
        <v>0.0</v>
      </c>
      <c r="O497" s="130">
        <f t="shared" ref="O497:O499" si="365">IF(COUNT(L497:N497)=0,"",(L497+4*M497+N497)/6)</f>
        <v>0</v>
      </c>
      <c r="P497" s="159"/>
      <c r="Q497" s="131">
        <f t="shared" si="363"/>
        <v>0</v>
      </c>
      <c r="R497" s="132"/>
      <c r="S497" s="132"/>
      <c r="T497" s="65" t="s">
        <v>31</v>
      </c>
      <c r="U497" s="26"/>
      <c r="V497" s="26"/>
      <c r="W497" s="26"/>
      <c r="X497" s="26"/>
      <c r="Y497" s="26"/>
      <c r="Z497" s="26"/>
      <c r="AA497" s="26"/>
      <c r="AB497" s="26"/>
      <c r="AC497" s="26"/>
    </row>
    <row r="498" ht="33.75" customHeight="1">
      <c r="A498" s="78" t="s">
        <v>865</v>
      </c>
      <c r="B498" s="79" t="s">
        <v>25</v>
      </c>
      <c r="C498" s="79" t="s">
        <v>852</v>
      </c>
      <c r="D498" s="79" t="s">
        <v>862</v>
      </c>
      <c r="E498" s="94" t="s">
        <v>863</v>
      </c>
      <c r="F498" s="95" t="s">
        <v>855</v>
      </c>
      <c r="G498" s="95" t="s">
        <v>168</v>
      </c>
      <c r="H498" s="97" t="s">
        <v>168</v>
      </c>
      <c r="I498" s="65"/>
      <c r="J498" s="95" t="s">
        <v>9</v>
      </c>
      <c r="K498" s="121" t="s">
        <v>9</v>
      </c>
      <c r="L498" s="129">
        <v>1.0</v>
      </c>
      <c r="M498" s="129">
        <f t="shared" si="362"/>
        <v>1.25</v>
      </c>
      <c r="N498" s="129">
        <v>1.5</v>
      </c>
      <c r="O498" s="130">
        <f t="shared" si="365"/>
        <v>1.25</v>
      </c>
      <c r="P498" s="159"/>
      <c r="Q498" s="131">
        <f t="shared" si="363"/>
        <v>1.25</v>
      </c>
      <c r="R498" s="132"/>
      <c r="S498" s="132"/>
      <c r="T498" s="65" t="s">
        <v>32</v>
      </c>
      <c r="U498" s="26"/>
      <c r="V498" s="26"/>
      <c r="W498" s="26"/>
      <c r="X498" s="26"/>
      <c r="Y498" s="26"/>
      <c r="Z498" s="26"/>
      <c r="AA498" s="26"/>
      <c r="AB498" s="26"/>
      <c r="AC498" s="26"/>
    </row>
    <row r="499" ht="33.75" customHeight="1">
      <c r="A499" s="78" t="s">
        <v>866</v>
      </c>
      <c r="B499" s="79" t="s">
        <v>25</v>
      </c>
      <c r="C499" s="79" t="s">
        <v>852</v>
      </c>
      <c r="D499" s="79" t="s">
        <v>862</v>
      </c>
      <c r="E499" s="94" t="s">
        <v>863</v>
      </c>
      <c r="F499" s="95" t="s">
        <v>855</v>
      </c>
      <c r="G499" s="95" t="s">
        <v>168</v>
      </c>
      <c r="H499" s="97" t="s">
        <v>168</v>
      </c>
      <c r="I499" s="65"/>
      <c r="J499" s="95" t="s">
        <v>9</v>
      </c>
      <c r="K499" s="121" t="s">
        <v>9</v>
      </c>
      <c r="L499" s="129">
        <v>0.0</v>
      </c>
      <c r="M499" s="129">
        <f t="shared" si="362"/>
        <v>0</v>
      </c>
      <c r="N499" s="129">
        <v>0.0</v>
      </c>
      <c r="O499" s="130">
        <f t="shared" si="365"/>
        <v>0</v>
      </c>
      <c r="P499" s="159"/>
      <c r="Q499" s="131">
        <f t="shared" si="363"/>
        <v>0</v>
      </c>
      <c r="R499" s="132"/>
      <c r="S499" s="132"/>
      <c r="T499" s="65" t="s">
        <v>70</v>
      </c>
      <c r="U499" s="26"/>
      <c r="V499" s="26"/>
      <c r="W499" s="26"/>
      <c r="X499" s="26"/>
      <c r="Y499" s="26"/>
      <c r="Z499" s="26"/>
      <c r="AA499" s="26"/>
      <c r="AB499" s="26"/>
      <c r="AC499" s="26"/>
    </row>
    <row r="500" ht="33.75" customHeight="1">
      <c r="A500" s="116" t="s">
        <v>867</v>
      </c>
      <c r="B500" s="77" t="s">
        <v>25</v>
      </c>
      <c r="C500" s="77" t="s">
        <v>852</v>
      </c>
      <c r="D500" s="77" t="s">
        <v>868</v>
      </c>
      <c r="E500" s="117" t="s">
        <v>869</v>
      </c>
      <c r="F500" s="118" t="s">
        <v>870</v>
      </c>
      <c r="G500" s="118" t="s">
        <v>168</v>
      </c>
      <c r="H500" s="54" t="s">
        <v>168</v>
      </c>
      <c r="I500" s="54"/>
      <c r="J500" s="118" t="s">
        <v>9</v>
      </c>
      <c r="K500" s="120" t="s">
        <v>9</v>
      </c>
      <c r="L500" s="51">
        <f>IF(COUNT(L501:N503)=0,"",SUM(L501:L503))</f>
        <v>1.5</v>
      </c>
      <c r="M500" s="51">
        <f t="shared" si="362"/>
        <v>2</v>
      </c>
      <c r="N500" s="51">
        <f>IF(COUNT(L501:N503)=0,"",SUM(N501:N503))</f>
        <v>2.5</v>
      </c>
      <c r="O500" s="51">
        <f>IF(COUNT(O501:O503)=0,"",SUM(O501:O503))</f>
        <v>2</v>
      </c>
      <c r="P500" s="52"/>
      <c r="Q500" s="51">
        <f t="shared" si="363"/>
        <v>2</v>
      </c>
      <c r="R500" s="53"/>
      <c r="S500" s="53"/>
      <c r="T500" s="54" t="s">
        <v>65</v>
      </c>
      <c r="U500" s="179"/>
      <c r="V500" s="179"/>
      <c r="W500" s="179"/>
      <c r="X500" s="105"/>
      <c r="Y500" s="105"/>
      <c r="Z500" s="105"/>
      <c r="AA500" s="105"/>
      <c r="AB500" s="179"/>
      <c r="AC500" s="105"/>
    </row>
    <row r="501" ht="33.75" customHeight="1">
      <c r="A501" s="78" t="s">
        <v>871</v>
      </c>
      <c r="B501" s="79" t="s">
        <v>25</v>
      </c>
      <c r="C501" s="79" t="s">
        <v>852</v>
      </c>
      <c r="D501" s="79" t="s">
        <v>868</v>
      </c>
      <c r="E501" s="94" t="s">
        <v>869</v>
      </c>
      <c r="F501" s="95" t="s">
        <v>870</v>
      </c>
      <c r="G501" s="95" t="s">
        <v>168</v>
      </c>
      <c r="H501" s="97" t="s">
        <v>168</v>
      </c>
      <c r="I501" s="65"/>
      <c r="J501" s="95" t="s">
        <v>9</v>
      </c>
      <c r="K501" s="121" t="s">
        <v>9</v>
      </c>
      <c r="L501" s="129">
        <v>0.0</v>
      </c>
      <c r="M501" s="129">
        <f t="shared" si="362"/>
        <v>0</v>
      </c>
      <c r="N501" s="129">
        <v>0.0</v>
      </c>
      <c r="O501" s="130">
        <f t="shared" ref="O501:O503" si="366">IF(COUNT(L501:N501)=0,"",(L501+4*M501+N501)/6)</f>
        <v>0</v>
      </c>
      <c r="P501" s="159"/>
      <c r="Q501" s="131">
        <f t="shared" si="363"/>
        <v>0</v>
      </c>
      <c r="R501" s="132"/>
      <c r="S501" s="132"/>
      <c r="T501" s="65" t="s">
        <v>31</v>
      </c>
      <c r="U501" s="26"/>
      <c r="V501" s="26"/>
      <c r="W501" s="26"/>
      <c r="X501" s="26"/>
      <c r="Y501" s="26"/>
      <c r="Z501" s="26"/>
      <c r="AA501" s="26"/>
      <c r="AB501" s="26"/>
      <c r="AC501" s="26"/>
    </row>
    <row r="502" ht="33.75" customHeight="1">
      <c r="A502" s="78" t="s">
        <v>872</v>
      </c>
      <c r="B502" s="79" t="s">
        <v>25</v>
      </c>
      <c r="C502" s="79" t="s">
        <v>852</v>
      </c>
      <c r="D502" s="79" t="s">
        <v>868</v>
      </c>
      <c r="E502" s="94" t="s">
        <v>869</v>
      </c>
      <c r="F502" s="95" t="s">
        <v>870</v>
      </c>
      <c r="G502" s="95" t="s">
        <v>168</v>
      </c>
      <c r="H502" s="97" t="s">
        <v>168</v>
      </c>
      <c r="I502" s="65"/>
      <c r="J502" s="95" t="s">
        <v>9</v>
      </c>
      <c r="K502" s="121" t="s">
        <v>9</v>
      </c>
      <c r="L502" s="129">
        <v>1.0</v>
      </c>
      <c r="M502" s="129">
        <f t="shared" si="362"/>
        <v>1.5</v>
      </c>
      <c r="N502" s="129">
        <v>2.0</v>
      </c>
      <c r="O502" s="130">
        <f t="shared" si="366"/>
        <v>1.5</v>
      </c>
      <c r="P502" s="159"/>
      <c r="Q502" s="131">
        <f t="shared" si="363"/>
        <v>1.5</v>
      </c>
      <c r="R502" s="132"/>
      <c r="S502" s="132"/>
      <c r="T502" s="65" t="s">
        <v>32</v>
      </c>
      <c r="U502" s="26"/>
      <c r="V502" s="26"/>
      <c r="W502" s="26"/>
      <c r="X502" s="26"/>
      <c r="Y502" s="26"/>
      <c r="Z502" s="26"/>
      <c r="AA502" s="26"/>
      <c r="AB502" s="26"/>
      <c r="AC502" s="26"/>
    </row>
    <row r="503" ht="33.75" customHeight="1">
      <c r="A503" s="78" t="s">
        <v>873</v>
      </c>
      <c r="B503" s="79" t="s">
        <v>25</v>
      </c>
      <c r="C503" s="79" t="s">
        <v>852</v>
      </c>
      <c r="D503" s="79" t="s">
        <v>868</v>
      </c>
      <c r="E503" s="94" t="s">
        <v>869</v>
      </c>
      <c r="F503" s="95" t="s">
        <v>870</v>
      </c>
      <c r="G503" s="95" t="s">
        <v>168</v>
      </c>
      <c r="H503" s="97" t="s">
        <v>168</v>
      </c>
      <c r="I503" s="65"/>
      <c r="J503" s="95" t="s">
        <v>9</v>
      </c>
      <c r="K503" s="121" t="s">
        <v>9</v>
      </c>
      <c r="L503" s="129">
        <v>0.5</v>
      </c>
      <c r="M503" s="129">
        <f t="shared" si="362"/>
        <v>0.5</v>
      </c>
      <c r="N503" s="129">
        <v>0.5</v>
      </c>
      <c r="O503" s="130">
        <f t="shared" si="366"/>
        <v>0.5</v>
      </c>
      <c r="P503" s="159"/>
      <c r="Q503" s="131">
        <f t="shared" si="363"/>
        <v>0.5</v>
      </c>
      <c r="R503" s="132"/>
      <c r="S503" s="132"/>
      <c r="T503" s="65" t="s">
        <v>70</v>
      </c>
      <c r="U503" s="26"/>
      <c r="V503" s="26"/>
      <c r="W503" s="26"/>
      <c r="X503" s="26"/>
      <c r="Y503" s="26"/>
      <c r="Z503" s="26"/>
      <c r="AA503" s="26"/>
      <c r="AB503" s="26"/>
      <c r="AC503" s="26"/>
    </row>
    <row r="504" ht="33.75" customHeight="1">
      <c r="A504" s="116" t="s">
        <v>874</v>
      </c>
      <c r="B504" s="77" t="s">
        <v>25</v>
      </c>
      <c r="C504" s="77" t="s">
        <v>852</v>
      </c>
      <c r="D504" s="77" t="s">
        <v>875</v>
      </c>
      <c r="E504" s="117" t="s">
        <v>876</v>
      </c>
      <c r="F504" s="118" t="s">
        <v>867</v>
      </c>
      <c r="G504" s="118" t="s">
        <v>168</v>
      </c>
      <c r="H504" s="119" t="s">
        <v>168</v>
      </c>
      <c r="I504" s="54"/>
      <c r="J504" s="118" t="s">
        <v>9</v>
      </c>
      <c r="K504" s="120" t="s">
        <v>9</v>
      </c>
      <c r="L504" s="51">
        <f>IF(COUNT(L505:N507)=0,"",SUM(L505:L507))</f>
        <v>2.5</v>
      </c>
      <c r="M504" s="51">
        <f t="shared" si="362"/>
        <v>3.5</v>
      </c>
      <c r="N504" s="51">
        <f>IF(COUNT(L505:N507)=0,"",SUM(N505:N507))</f>
        <v>4.5</v>
      </c>
      <c r="O504" s="51">
        <f>IF(COUNT(O505:O507)=0,"",SUM(O505:O507))</f>
        <v>3.5</v>
      </c>
      <c r="P504" s="52"/>
      <c r="Q504" s="51">
        <f t="shared" si="363"/>
        <v>3.5</v>
      </c>
      <c r="R504" s="53"/>
      <c r="S504" s="53"/>
      <c r="T504" s="54" t="s">
        <v>65</v>
      </c>
      <c r="U504" s="179"/>
      <c r="V504" s="179"/>
      <c r="W504" s="179"/>
      <c r="X504" s="105"/>
      <c r="Y504" s="105"/>
      <c r="Z504" s="105"/>
      <c r="AA504" s="105"/>
      <c r="AB504" s="179"/>
      <c r="AC504" s="105"/>
    </row>
    <row r="505" ht="33.75" customHeight="1">
      <c r="A505" s="78" t="s">
        <v>877</v>
      </c>
      <c r="B505" s="79" t="s">
        <v>25</v>
      </c>
      <c r="C505" s="79" t="s">
        <v>852</v>
      </c>
      <c r="D505" s="79" t="s">
        <v>875</v>
      </c>
      <c r="E505" s="94" t="s">
        <v>876</v>
      </c>
      <c r="F505" s="95" t="s">
        <v>867</v>
      </c>
      <c r="G505" s="95" t="s">
        <v>168</v>
      </c>
      <c r="H505" s="65" t="s">
        <v>168</v>
      </c>
      <c r="I505" s="65"/>
      <c r="J505" s="95" t="s">
        <v>9</v>
      </c>
      <c r="K505" s="121" t="s">
        <v>9</v>
      </c>
      <c r="L505" s="128">
        <v>1.0</v>
      </c>
      <c r="M505" s="129">
        <f t="shared" si="362"/>
        <v>1.5</v>
      </c>
      <c r="N505" s="128">
        <v>2.0</v>
      </c>
      <c r="O505" s="130">
        <f t="shared" ref="O505:O507" si="367">IF(COUNT(L505:N505)=0,"",(L505+4*M505+N505)/6)</f>
        <v>1.5</v>
      </c>
      <c r="P505" s="159"/>
      <c r="Q505" s="131">
        <f t="shared" si="363"/>
        <v>1.5</v>
      </c>
      <c r="R505" s="132"/>
      <c r="S505" s="132"/>
      <c r="T505" s="65" t="s">
        <v>31</v>
      </c>
      <c r="U505" s="26"/>
      <c r="V505" s="26"/>
      <c r="W505" s="26"/>
      <c r="X505" s="26"/>
      <c r="Y505" s="26"/>
      <c r="Z505" s="26"/>
      <c r="AA505" s="26"/>
      <c r="AB505" s="26"/>
      <c r="AC505" s="26"/>
    </row>
    <row r="506" ht="33.75" customHeight="1">
      <c r="A506" s="78" t="s">
        <v>878</v>
      </c>
      <c r="B506" s="79" t="s">
        <v>25</v>
      </c>
      <c r="C506" s="79" t="s">
        <v>852</v>
      </c>
      <c r="D506" s="79" t="s">
        <v>875</v>
      </c>
      <c r="E506" s="94" t="s">
        <v>876</v>
      </c>
      <c r="F506" s="95" t="s">
        <v>867</v>
      </c>
      <c r="G506" s="95" t="s">
        <v>168</v>
      </c>
      <c r="H506" s="65" t="s">
        <v>168</v>
      </c>
      <c r="I506" s="65"/>
      <c r="J506" s="95" t="s">
        <v>9</v>
      </c>
      <c r="K506" s="121" t="s">
        <v>9</v>
      </c>
      <c r="L506" s="129">
        <v>1.0</v>
      </c>
      <c r="M506" s="129">
        <f t="shared" si="362"/>
        <v>1.25</v>
      </c>
      <c r="N506" s="129">
        <v>1.5</v>
      </c>
      <c r="O506" s="130">
        <f t="shared" si="367"/>
        <v>1.25</v>
      </c>
      <c r="P506" s="159"/>
      <c r="Q506" s="131">
        <f t="shared" si="363"/>
        <v>1.25</v>
      </c>
      <c r="R506" s="132"/>
      <c r="S506" s="132"/>
      <c r="T506" s="65" t="s">
        <v>32</v>
      </c>
      <c r="U506" s="26"/>
      <c r="V506" s="26"/>
      <c r="W506" s="26"/>
      <c r="X506" s="26"/>
      <c r="Y506" s="26"/>
      <c r="Z506" s="26"/>
      <c r="AA506" s="26"/>
      <c r="AB506" s="26"/>
      <c r="AC506" s="26"/>
    </row>
    <row r="507" ht="33.75" customHeight="1">
      <c r="A507" s="78" t="s">
        <v>879</v>
      </c>
      <c r="B507" s="79" t="s">
        <v>25</v>
      </c>
      <c r="C507" s="79" t="s">
        <v>852</v>
      </c>
      <c r="D507" s="79" t="s">
        <v>875</v>
      </c>
      <c r="E507" s="94" t="s">
        <v>876</v>
      </c>
      <c r="F507" s="95" t="s">
        <v>867</v>
      </c>
      <c r="G507" s="95" t="s">
        <v>168</v>
      </c>
      <c r="H507" s="97" t="s">
        <v>168</v>
      </c>
      <c r="I507" s="65"/>
      <c r="J507" s="95" t="s">
        <v>9</v>
      </c>
      <c r="K507" s="121" t="s">
        <v>9</v>
      </c>
      <c r="L507" s="129">
        <v>0.5</v>
      </c>
      <c r="M507" s="129">
        <f t="shared" si="362"/>
        <v>0.75</v>
      </c>
      <c r="N507" s="129">
        <v>1.0</v>
      </c>
      <c r="O507" s="130">
        <f t="shared" si="367"/>
        <v>0.75</v>
      </c>
      <c r="P507" s="159"/>
      <c r="Q507" s="131">
        <f t="shared" si="363"/>
        <v>0.75</v>
      </c>
      <c r="R507" s="132"/>
      <c r="S507" s="132"/>
      <c r="T507" s="65" t="s">
        <v>70</v>
      </c>
      <c r="U507" s="26"/>
      <c r="V507" s="26"/>
      <c r="W507" s="26"/>
      <c r="X507" s="26"/>
      <c r="Y507" s="26"/>
      <c r="Z507" s="26"/>
      <c r="AA507" s="26"/>
      <c r="AB507" s="26"/>
      <c r="AC507" s="26"/>
    </row>
    <row r="508" ht="33.75" customHeight="1">
      <c r="A508" s="134" t="s">
        <v>880</v>
      </c>
      <c r="B508" s="135" t="s">
        <v>25</v>
      </c>
      <c r="C508" s="135" t="s">
        <v>852</v>
      </c>
      <c r="D508" s="135" t="s">
        <v>881</v>
      </c>
      <c r="E508" s="136" t="s">
        <v>882</v>
      </c>
      <c r="F508" s="137" t="s">
        <v>874</v>
      </c>
      <c r="G508" s="137" t="s">
        <v>200</v>
      </c>
      <c r="H508" s="100" t="s">
        <v>200</v>
      </c>
      <c r="I508" s="98"/>
      <c r="J508" s="137" t="s">
        <v>12</v>
      </c>
      <c r="K508" s="138" t="s">
        <v>12</v>
      </c>
      <c r="L508" s="139">
        <f>IF(COUNT(L509:N511)=0,"",SUM(L509:L511))</f>
        <v>0</v>
      </c>
      <c r="M508" s="139">
        <f t="shared" si="362"/>
        <v>0</v>
      </c>
      <c r="N508" s="139">
        <f>IF(COUNT(L509:N511)=0,"",SUM(N509:N511))</f>
        <v>0</v>
      </c>
      <c r="O508" s="139">
        <f>IF(COUNT(O509:O511)=0,"",SUM(O509:O511))</f>
        <v>0</v>
      </c>
      <c r="P508" s="140"/>
      <c r="Q508" s="139">
        <f t="shared" si="363"/>
        <v>0</v>
      </c>
      <c r="R508" s="141"/>
      <c r="S508" s="141"/>
      <c r="T508" s="98" t="s">
        <v>65</v>
      </c>
      <c r="U508" s="26"/>
      <c r="V508" s="26"/>
      <c r="W508" s="26"/>
      <c r="X508" s="26"/>
      <c r="Y508" s="26"/>
      <c r="Z508" s="26"/>
      <c r="AA508" s="26"/>
      <c r="AB508" s="26"/>
      <c r="AC508" s="26"/>
    </row>
    <row r="509" ht="33.75" customHeight="1">
      <c r="A509" s="142" t="s">
        <v>883</v>
      </c>
      <c r="B509" s="143" t="s">
        <v>25</v>
      </c>
      <c r="C509" s="143" t="s">
        <v>852</v>
      </c>
      <c r="D509" s="143" t="s">
        <v>881</v>
      </c>
      <c r="E509" s="144" t="s">
        <v>882</v>
      </c>
      <c r="F509" s="145" t="s">
        <v>874</v>
      </c>
      <c r="G509" s="145" t="s">
        <v>200</v>
      </c>
      <c r="H509" s="108" t="s">
        <v>200</v>
      </c>
      <c r="I509" s="106"/>
      <c r="J509" s="145" t="s">
        <v>12</v>
      </c>
      <c r="K509" s="146" t="s">
        <v>12</v>
      </c>
      <c r="L509" s="109"/>
      <c r="M509" s="109">
        <f t="shared" si="362"/>
        <v>0</v>
      </c>
      <c r="N509" s="109"/>
      <c r="O509" s="147">
        <f t="shared" ref="O509:O511" si="368">IF(COUNT(L509:N509)=0,"",(L509+4*M509+N509)/6)</f>
        <v>0</v>
      </c>
      <c r="P509" s="110"/>
      <c r="Q509" s="148">
        <f t="shared" si="363"/>
        <v>0</v>
      </c>
      <c r="R509" s="111"/>
      <c r="S509" s="111"/>
      <c r="T509" s="106" t="s">
        <v>31</v>
      </c>
      <c r="U509" s="26"/>
      <c r="V509" s="26"/>
      <c r="W509" s="26"/>
      <c r="X509" s="26"/>
      <c r="Y509" s="26"/>
      <c r="Z509" s="26"/>
      <c r="AA509" s="26"/>
      <c r="AB509" s="26"/>
      <c r="AC509" s="26"/>
    </row>
    <row r="510" ht="33.75" customHeight="1">
      <c r="A510" s="142" t="s">
        <v>884</v>
      </c>
      <c r="B510" s="143" t="s">
        <v>25</v>
      </c>
      <c r="C510" s="143" t="s">
        <v>852</v>
      </c>
      <c r="D510" s="143" t="s">
        <v>881</v>
      </c>
      <c r="E510" s="144" t="s">
        <v>882</v>
      </c>
      <c r="F510" s="145" t="s">
        <v>874</v>
      </c>
      <c r="G510" s="145" t="s">
        <v>200</v>
      </c>
      <c r="H510" s="106" t="s">
        <v>200</v>
      </c>
      <c r="I510" s="106"/>
      <c r="J510" s="145" t="s">
        <v>12</v>
      </c>
      <c r="K510" s="146" t="s">
        <v>12</v>
      </c>
      <c r="L510" s="109"/>
      <c r="M510" s="109">
        <f t="shared" si="362"/>
        <v>0</v>
      </c>
      <c r="N510" s="109"/>
      <c r="O510" s="147">
        <f t="shared" si="368"/>
        <v>0</v>
      </c>
      <c r="P510" s="110"/>
      <c r="Q510" s="148">
        <f t="shared" si="363"/>
        <v>0</v>
      </c>
      <c r="R510" s="111"/>
      <c r="S510" s="111"/>
      <c r="T510" s="106" t="s">
        <v>32</v>
      </c>
      <c r="U510" s="26"/>
      <c r="V510" s="26"/>
      <c r="W510" s="26"/>
      <c r="X510" s="26"/>
      <c r="Y510" s="26"/>
      <c r="Z510" s="26"/>
      <c r="AA510" s="26"/>
      <c r="AB510" s="26"/>
      <c r="AC510" s="26"/>
    </row>
    <row r="511" ht="33.75" customHeight="1">
      <c r="A511" s="142" t="s">
        <v>885</v>
      </c>
      <c r="B511" s="143" t="s">
        <v>25</v>
      </c>
      <c r="C511" s="143" t="s">
        <v>852</v>
      </c>
      <c r="D511" s="143" t="s">
        <v>881</v>
      </c>
      <c r="E511" s="144" t="s">
        <v>882</v>
      </c>
      <c r="F511" s="145" t="s">
        <v>874</v>
      </c>
      <c r="G511" s="145" t="s">
        <v>200</v>
      </c>
      <c r="H511" s="106" t="s">
        <v>200</v>
      </c>
      <c r="I511" s="106"/>
      <c r="J511" s="145" t="s">
        <v>12</v>
      </c>
      <c r="K511" s="146" t="s">
        <v>12</v>
      </c>
      <c r="L511" s="109"/>
      <c r="M511" s="109">
        <f t="shared" si="362"/>
        <v>0</v>
      </c>
      <c r="N511" s="109"/>
      <c r="O511" s="147">
        <f t="shared" si="368"/>
        <v>0</v>
      </c>
      <c r="P511" s="110"/>
      <c r="Q511" s="148">
        <f t="shared" si="363"/>
        <v>0</v>
      </c>
      <c r="R511" s="111"/>
      <c r="S511" s="111"/>
      <c r="T511" s="106" t="s">
        <v>70</v>
      </c>
      <c r="U511" s="26"/>
      <c r="V511" s="26"/>
      <c r="W511" s="26"/>
      <c r="X511" s="26"/>
      <c r="Y511" s="26"/>
      <c r="Z511" s="26"/>
      <c r="AA511" s="26"/>
      <c r="AB511" s="26"/>
      <c r="AC511" s="26"/>
    </row>
    <row r="512" ht="33.75" customHeight="1">
      <c r="A512" s="134" t="s">
        <v>886</v>
      </c>
      <c r="B512" s="135" t="s">
        <v>25</v>
      </c>
      <c r="C512" s="135" t="s">
        <v>852</v>
      </c>
      <c r="D512" s="135" t="s">
        <v>887</v>
      </c>
      <c r="E512" s="136" t="s">
        <v>888</v>
      </c>
      <c r="F512" s="137" t="s">
        <v>861</v>
      </c>
      <c r="G512" s="137" t="s">
        <v>168</v>
      </c>
      <c r="H512" s="100" t="s">
        <v>168</v>
      </c>
      <c r="I512" s="98"/>
      <c r="J512" s="137" t="s">
        <v>12</v>
      </c>
      <c r="K512" s="138" t="s">
        <v>12</v>
      </c>
      <c r="L512" s="139">
        <f>IF(COUNT(L513:N515)=0,"",SUM(L513:L515))</f>
        <v>0</v>
      </c>
      <c r="M512" s="139">
        <f t="shared" si="362"/>
        <v>0</v>
      </c>
      <c r="N512" s="139">
        <f>IF(COUNT(L513:N515)=0,"",SUM(N513:N515))</f>
        <v>0</v>
      </c>
      <c r="O512" s="139">
        <f>IF(COUNT(O513:O515)=0,"",SUM(O513:O515))</f>
        <v>0</v>
      </c>
      <c r="P512" s="140"/>
      <c r="Q512" s="139">
        <f t="shared" si="363"/>
        <v>0</v>
      </c>
      <c r="R512" s="141"/>
      <c r="S512" s="141"/>
      <c r="T512" s="98" t="s">
        <v>65</v>
      </c>
      <c r="U512" s="26"/>
      <c r="V512" s="26"/>
      <c r="W512" s="26"/>
      <c r="X512" s="26"/>
      <c r="Y512" s="26"/>
      <c r="Z512" s="26"/>
      <c r="AA512" s="26"/>
      <c r="AB512" s="26"/>
      <c r="AC512" s="26"/>
    </row>
    <row r="513" ht="33.75" customHeight="1">
      <c r="A513" s="142" t="s">
        <v>889</v>
      </c>
      <c r="B513" s="143" t="s">
        <v>25</v>
      </c>
      <c r="C513" s="143" t="s">
        <v>852</v>
      </c>
      <c r="D513" s="143" t="s">
        <v>887</v>
      </c>
      <c r="E513" s="144" t="s">
        <v>888</v>
      </c>
      <c r="F513" s="145" t="s">
        <v>861</v>
      </c>
      <c r="G513" s="145" t="s">
        <v>168</v>
      </c>
      <c r="H513" s="108" t="s">
        <v>168</v>
      </c>
      <c r="I513" s="106"/>
      <c r="J513" s="145" t="s">
        <v>12</v>
      </c>
      <c r="K513" s="146" t="s">
        <v>12</v>
      </c>
      <c r="L513" s="109">
        <v>0.0</v>
      </c>
      <c r="M513" s="109">
        <f t="shared" si="362"/>
        <v>0</v>
      </c>
      <c r="N513" s="109">
        <v>0.0</v>
      </c>
      <c r="O513" s="147">
        <f t="shared" ref="O513:O515" si="369">IF(COUNT(L513:N513)=0,"",(L513+4*M513+N513)/6)</f>
        <v>0</v>
      </c>
      <c r="P513" s="110"/>
      <c r="Q513" s="148">
        <f t="shared" si="363"/>
        <v>0</v>
      </c>
      <c r="R513" s="111"/>
      <c r="S513" s="111"/>
      <c r="T513" s="106" t="s">
        <v>31</v>
      </c>
      <c r="U513" s="26"/>
      <c r="V513" s="26"/>
      <c r="W513" s="26"/>
      <c r="X513" s="26"/>
      <c r="Y513" s="26"/>
      <c r="Z513" s="26"/>
      <c r="AA513" s="26"/>
      <c r="AB513" s="26"/>
      <c r="AC513" s="26"/>
    </row>
    <row r="514" ht="33.75" customHeight="1">
      <c r="A514" s="142" t="s">
        <v>890</v>
      </c>
      <c r="B514" s="143" t="s">
        <v>25</v>
      </c>
      <c r="C514" s="143" t="s">
        <v>852</v>
      </c>
      <c r="D514" s="143" t="s">
        <v>887</v>
      </c>
      <c r="E514" s="144" t="s">
        <v>888</v>
      </c>
      <c r="F514" s="145" t="s">
        <v>861</v>
      </c>
      <c r="G514" s="145" t="s">
        <v>168</v>
      </c>
      <c r="H514" s="106" t="s">
        <v>168</v>
      </c>
      <c r="I514" s="106"/>
      <c r="J514" s="145" t="s">
        <v>12</v>
      </c>
      <c r="K514" s="146" t="s">
        <v>12</v>
      </c>
      <c r="L514" s="109">
        <v>0.0</v>
      </c>
      <c r="M514" s="109">
        <f t="shared" si="362"/>
        <v>0</v>
      </c>
      <c r="N514" s="109">
        <v>0.0</v>
      </c>
      <c r="O514" s="147">
        <f t="shared" si="369"/>
        <v>0</v>
      </c>
      <c r="P514" s="110"/>
      <c r="Q514" s="148">
        <f t="shared" si="363"/>
        <v>0</v>
      </c>
      <c r="R514" s="111"/>
      <c r="S514" s="111"/>
      <c r="T514" s="106" t="s">
        <v>32</v>
      </c>
      <c r="U514" s="26"/>
      <c r="V514" s="26"/>
      <c r="W514" s="26"/>
      <c r="X514" s="26"/>
      <c r="Y514" s="26"/>
      <c r="Z514" s="26"/>
      <c r="AA514" s="26"/>
      <c r="AB514" s="26"/>
      <c r="AC514" s="26"/>
    </row>
    <row r="515" ht="33.75" customHeight="1">
      <c r="A515" s="142" t="s">
        <v>891</v>
      </c>
      <c r="B515" s="143" t="s">
        <v>25</v>
      </c>
      <c r="C515" s="143" t="s">
        <v>852</v>
      </c>
      <c r="D515" s="143" t="s">
        <v>887</v>
      </c>
      <c r="E515" s="144" t="s">
        <v>888</v>
      </c>
      <c r="F515" s="145" t="s">
        <v>861</v>
      </c>
      <c r="G515" s="145" t="s">
        <v>168</v>
      </c>
      <c r="H515" s="106" t="s">
        <v>168</v>
      </c>
      <c r="I515" s="106"/>
      <c r="J515" s="145" t="s">
        <v>12</v>
      </c>
      <c r="K515" s="146" t="s">
        <v>12</v>
      </c>
      <c r="L515" s="109">
        <v>0.0</v>
      </c>
      <c r="M515" s="109">
        <f t="shared" si="362"/>
        <v>0</v>
      </c>
      <c r="N515" s="109">
        <v>0.0</v>
      </c>
      <c r="O515" s="147">
        <f t="shared" si="369"/>
        <v>0</v>
      </c>
      <c r="P515" s="110"/>
      <c r="Q515" s="148">
        <f t="shared" si="363"/>
        <v>0</v>
      </c>
      <c r="R515" s="111"/>
      <c r="S515" s="111"/>
      <c r="T515" s="106" t="s">
        <v>70</v>
      </c>
      <c r="U515" s="26"/>
      <c r="V515" s="26"/>
      <c r="W515" s="26"/>
      <c r="X515" s="26"/>
      <c r="Y515" s="26"/>
      <c r="Z515" s="26"/>
      <c r="AA515" s="26"/>
      <c r="AB515" s="26"/>
      <c r="AC515" s="26"/>
    </row>
    <row r="516" ht="33.75" customHeight="1">
      <c r="A516" s="134" t="s">
        <v>892</v>
      </c>
      <c r="B516" s="135" t="s">
        <v>25</v>
      </c>
      <c r="C516" s="135" t="s">
        <v>852</v>
      </c>
      <c r="D516" s="135" t="s">
        <v>893</v>
      </c>
      <c r="E516" s="136" t="s">
        <v>894</v>
      </c>
      <c r="F516" s="137" t="s">
        <v>867</v>
      </c>
      <c r="G516" s="137" t="s">
        <v>168</v>
      </c>
      <c r="H516" s="100" t="s">
        <v>168</v>
      </c>
      <c r="I516" s="98"/>
      <c r="J516" s="137" t="s">
        <v>12</v>
      </c>
      <c r="K516" s="138" t="s">
        <v>12</v>
      </c>
      <c r="L516" s="139">
        <f>IF(COUNT(L517:N519)=0,"",SUM(L517:L519))</f>
        <v>0</v>
      </c>
      <c r="M516" s="139">
        <f t="shared" si="362"/>
        <v>0</v>
      </c>
      <c r="N516" s="139">
        <f>IF(COUNT(L517:N519)=0,"",SUM(N517:N519))</f>
        <v>0</v>
      </c>
      <c r="O516" s="139">
        <f>IF(COUNT(O517:O519)=0,"",SUM(O517:O519))</f>
        <v>0</v>
      </c>
      <c r="P516" s="140"/>
      <c r="Q516" s="139">
        <f t="shared" si="363"/>
        <v>0</v>
      </c>
      <c r="R516" s="141"/>
      <c r="S516" s="141"/>
      <c r="T516" s="98" t="s">
        <v>65</v>
      </c>
      <c r="U516" s="26"/>
      <c r="V516" s="26"/>
      <c r="W516" s="26"/>
      <c r="X516" s="26"/>
      <c r="Y516" s="26"/>
      <c r="Z516" s="26"/>
      <c r="AA516" s="26"/>
      <c r="AB516" s="26"/>
      <c r="AC516" s="26"/>
    </row>
    <row r="517" ht="33.75" customHeight="1">
      <c r="A517" s="142" t="s">
        <v>895</v>
      </c>
      <c r="B517" s="143" t="s">
        <v>25</v>
      </c>
      <c r="C517" s="143" t="s">
        <v>852</v>
      </c>
      <c r="D517" s="143" t="s">
        <v>893</v>
      </c>
      <c r="E517" s="144" t="s">
        <v>894</v>
      </c>
      <c r="F517" s="145" t="s">
        <v>867</v>
      </c>
      <c r="G517" s="145" t="s">
        <v>168</v>
      </c>
      <c r="H517" s="108" t="s">
        <v>168</v>
      </c>
      <c r="I517" s="106"/>
      <c r="J517" s="145" t="s">
        <v>12</v>
      </c>
      <c r="K517" s="146" t="s">
        <v>12</v>
      </c>
      <c r="L517" s="109">
        <v>0.0</v>
      </c>
      <c r="M517" s="109">
        <f t="shared" si="362"/>
        <v>0</v>
      </c>
      <c r="N517" s="109">
        <v>0.0</v>
      </c>
      <c r="O517" s="147">
        <f t="shared" ref="O517:O519" si="370">IF(COUNT(L517:N517)=0,"",(L517+4*M517+N517)/6)</f>
        <v>0</v>
      </c>
      <c r="P517" s="110"/>
      <c r="Q517" s="148">
        <f t="shared" si="363"/>
        <v>0</v>
      </c>
      <c r="R517" s="111"/>
      <c r="S517" s="111"/>
      <c r="T517" s="106" t="s">
        <v>31</v>
      </c>
      <c r="U517" s="26"/>
      <c r="V517" s="26"/>
      <c r="W517" s="26"/>
      <c r="X517" s="26"/>
      <c r="Y517" s="26"/>
      <c r="Z517" s="26"/>
      <c r="AA517" s="26"/>
      <c r="AB517" s="26"/>
      <c r="AC517" s="26"/>
    </row>
    <row r="518" ht="33.75" customHeight="1">
      <c r="A518" s="142" t="s">
        <v>896</v>
      </c>
      <c r="B518" s="143" t="s">
        <v>25</v>
      </c>
      <c r="C518" s="143" t="s">
        <v>852</v>
      </c>
      <c r="D518" s="143" t="s">
        <v>893</v>
      </c>
      <c r="E518" s="144" t="s">
        <v>894</v>
      </c>
      <c r="F518" s="145" t="s">
        <v>867</v>
      </c>
      <c r="G518" s="145" t="s">
        <v>168</v>
      </c>
      <c r="H518" s="106" t="s">
        <v>168</v>
      </c>
      <c r="I518" s="106"/>
      <c r="J518" s="145" t="s">
        <v>12</v>
      </c>
      <c r="K518" s="146" t="s">
        <v>12</v>
      </c>
      <c r="L518" s="109">
        <v>0.0</v>
      </c>
      <c r="M518" s="109">
        <f t="shared" si="362"/>
        <v>0</v>
      </c>
      <c r="N518" s="109">
        <v>0.0</v>
      </c>
      <c r="O518" s="147">
        <f t="shared" si="370"/>
        <v>0</v>
      </c>
      <c r="P518" s="110"/>
      <c r="Q518" s="148">
        <f t="shared" si="363"/>
        <v>0</v>
      </c>
      <c r="R518" s="111"/>
      <c r="S518" s="111"/>
      <c r="T518" s="106" t="s">
        <v>32</v>
      </c>
      <c r="U518" s="26"/>
      <c r="V518" s="26"/>
      <c r="W518" s="26"/>
      <c r="X518" s="26"/>
      <c r="Y518" s="26"/>
      <c r="Z518" s="26"/>
      <c r="AA518" s="26"/>
      <c r="AB518" s="26"/>
      <c r="AC518" s="26"/>
    </row>
    <row r="519" ht="33.75" customHeight="1">
      <c r="A519" s="142" t="s">
        <v>897</v>
      </c>
      <c r="B519" s="143" t="s">
        <v>25</v>
      </c>
      <c r="C519" s="143" t="s">
        <v>852</v>
      </c>
      <c r="D519" s="143" t="s">
        <v>893</v>
      </c>
      <c r="E519" s="144" t="s">
        <v>894</v>
      </c>
      <c r="F519" s="145" t="s">
        <v>867</v>
      </c>
      <c r="G519" s="145" t="s">
        <v>168</v>
      </c>
      <c r="H519" s="106" t="s">
        <v>168</v>
      </c>
      <c r="I519" s="106"/>
      <c r="J519" s="145" t="s">
        <v>12</v>
      </c>
      <c r="K519" s="146" t="s">
        <v>12</v>
      </c>
      <c r="L519" s="109">
        <v>0.0</v>
      </c>
      <c r="M519" s="109">
        <f t="shared" si="362"/>
        <v>0</v>
      </c>
      <c r="N519" s="109">
        <v>0.0</v>
      </c>
      <c r="O519" s="147">
        <f t="shared" si="370"/>
        <v>0</v>
      </c>
      <c r="P519" s="110"/>
      <c r="Q519" s="148">
        <f t="shared" si="363"/>
        <v>0</v>
      </c>
      <c r="R519" s="111"/>
      <c r="S519" s="111"/>
      <c r="T519" s="106" t="s">
        <v>70</v>
      </c>
      <c r="U519" s="26"/>
      <c r="V519" s="26"/>
      <c r="W519" s="26"/>
      <c r="X519" s="26"/>
      <c r="Y519" s="26"/>
      <c r="Z519" s="26"/>
      <c r="AA519" s="26"/>
      <c r="AB519" s="26"/>
      <c r="AC519" s="26"/>
    </row>
    <row r="520" ht="33.75" customHeight="1">
      <c r="A520" s="112" t="s">
        <v>898</v>
      </c>
      <c r="B520" s="38" t="s">
        <v>25</v>
      </c>
      <c r="C520" s="38" t="s">
        <v>899</v>
      </c>
      <c r="D520" s="38" t="s">
        <v>899</v>
      </c>
      <c r="E520" s="113" t="s">
        <v>900</v>
      </c>
      <c r="F520" s="114"/>
      <c r="G520" s="114"/>
      <c r="H520" s="123"/>
      <c r="I520" s="45"/>
      <c r="J520" s="114" t="s">
        <v>854</v>
      </c>
      <c r="K520" s="115" t="s">
        <v>854</v>
      </c>
      <c r="L520" s="42">
        <f>IF(COUNT(L521,L525,L529,L533,L537,L541)=0,"",SUM(L521,L525,L529,L533,L537,L541))</f>
        <v>9.75</v>
      </c>
      <c r="M520" s="42">
        <f t="shared" si="362"/>
        <v>13.5</v>
      </c>
      <c r="N520" s="42">
        <f t="shared" ref="N520:O520" si="371">IF(COUNT(N521,N525,N529,N533,N537,N541)=0,"",SUM(N521,N525,N529,N533,N537,N541))</f>
        <v>17.25</v>
      </c>
      <c r="O520" s="42">
        <f t="shared" si="371"/>
        <v>13.5</v>
      </c>
      <c r="P520" s="43"/>
      <c r="Q520" s="42">
        <f>IF(COUNT(Q521,Q525,Q529,Q533,Q537,Q541)=0,"",SUM(Q521,Q525,Q529,Q533,Q537,Q541))</f>
        <v>13.5</v>
      </c>
      <c r="R520" s="44"/>
      <c r="S520" s="44"/>
      <c r="T520" s="45" t="s">
        <v>62</v>
      </c>
      <c r="U520" s="179"/>
      <c r="V520" s="179"/>
      <c r="W520" s="179"/>
      <c r="X520" s="105">
        <f t="shared" ref="X520:AA520" si="372">L520</f>
        <v>9.75</v>
      </c>
      <c r="Y520" s="105">
        <f t="shared" si="372"/>
        <v>13.5</v>
      </c>
      <c r="Z520" s="105">
        <f t="shared" si="372"/>
        <v>17.25</v>
      </c>
      <c r="AA520" s="105">
        <f t="shared" si="372"/>
        <v>13.5</v>
      </c>
      <c r="AB520" s="179"/>
      <c r="AC520" s="105">
        <f>Q520</f>
        <v>13.5</v>
      </c>
    </row>
    <row r="521" ht="33.75" customHeight="1">
      <c r="A521" s="116" t="s">
        <v>901</v>
      </c>
      <c r="B521" s="77" t="s">
        <v>25</v>
      </c>
      <c r="C521" s="77" t="s">
        <v>899</v>
      </c>
      <c r="D521" s="77" t="s">
        <v>902</v>
      </c>
      <c r="E521" s="117" t="s">
        <v>903</v>
      </c>
      <c r="F521" s="118" t="s">
        <v>867</v>
      </c>
      <c r="G521" s="118" t="s">
        <v>168</v>
      </c>
      <c r="H521" s="119" t="s">
        <v>168</v>
      </c>
      <c r="I521" s="54"/>
      <c r="J521" s="118" t="s">
        <v>9</v>
      </c>
      <c r="K521" s="120" t="s">
        <v>9</v>
      </c>
      <c r="L521" s="51">
        <f>IF(COUNT(L522:N524)=0,"",SUM(L522:L524))</f>
        <v>2</v>
      </c>
      <c r="M521" s="51">
        <f t="shared" si="362"/>
        <v>3</v>
      </c>
      <c r="N521" s="51">
        <f>IF(COUNT(L522:N524)=0,"",SUM(N522:N524))</f>
        <v>4</v>
      </c>
      <c r="O521" s="51">
        <f>IF(COUNT(O522:O524)=0,"",SUM(O522:O524))</f>
        <v>3</v>
      </c>
      <c r="P521" s="52"/>
      <c r="Q521" s="51">
        <f t="shared" ref="Q521:Q544" si="373">IF(O521="","",IF(P521="",O521,O521*(1+P521)))</f>
        <v>3</v>
      </c>
      <c r="R521" s="53"/>
      <c r="S521" s="53"/>
      <c r="T521" s="54" t="s">
        <v>65</v>
      </c>
      <c r="U521" s="179"/>
      <c r="V521" s="179"/>
      <c r="W521" s="179"/>
      <c r="X521" s="105"/>
      <c r="Y521" s="105"/>
      <c r="Z521" s="105"/>
      <c r="AA521" s="105"/>
      <c r="AB521" s="179"/>
      <c r="AC521" s="105"/>
    </row>
    <row r="522" ht="33.75" customHeight="1">
      <c r="A522" s="78" t="s">
        <v>904</v>
      </c>
      <c r="B522" s="79" t="s">
        <v>25</v>
      </c>
      <c r="C522" s="79" t="s">
        <v>899</v>
      </c>
      <c r="D522" s="79" t="s">
        <v>902</v>
      </c>
      <c r="E522" s="94" t="s">
        <v>903</v>
      </c>
      <c r="F522" s="95" t="s">
        <v>867</v>
      </c>
      <c r="G522" s="95" t="s">
        <v>168</v>
      </c>
      <c r="H522" s="97" t="s">
        <v>168</v>
      </c>
      <c r="I522" s="65"/>
      <c r="J522" s="95" t="s">
        <v>9</v>
      </c>
      <c r="K522" s="121" t="s">
        <v>9</v>
      </c>
      <c r="L522" s="129">
        <v>1.0</v>
      </c>
      <c r="M522" s="129">
        <f t="shared" si="362"/>
        <v>1.5</v>
      </c>
      <c r="N522" s="129">
        <v>2.0</v>
      </c>
      <c r="O522" s="130">
        <f t="shared" ref="O522:O524" si="374">IF(COUNT(L522:N522)=0,"",(L522+4*M522+N522)/6)</f>
        <v>1.5</v>
      </c>
      <c r="P522" s="159"/>
      <c r="Q522" s="208">
        <f t="shared" si="373"/>
        <v>1.5</v>
      </c>
      <c r="R522" s="132"/>
      <c r="S522" s="132"/>
      <c r="T522" s="65" t="s">
        <v>31</v>
      </c>
      <c r="U522" s="26"/>
      <c r="V522" s="26"/>
      <c r="W522" s="26"/>
      <c r="X522" s="26"/>
      <c r="Y522" s="26"/>
      <c r="Z522" s="26"/>
      <c r="AA522" s="26"/>
      <c r="AB522" s="26"/>
      <c r="AC522" s="26"/>
    </row>
    <row r="523" ht="33.75" customHeight="1">
      <c r="A523" s="78" t="s">
        <v>905</v>
      </c>
      <c r="B523" s="79" t="s">
        <v>25</v>
      </c>
      <c r="C523" s="79" t="s">
        <v>899</v>
      </c>
      <c r="D523" s="79" t="s">
        <v>902</v>
      </c>
      <c r="E523" s="94" t="s">
        <v>903</v>
      </c>
      <c r="F523" s="95" t="s">
        <v>867</v>
      </c>
      <c r="G523" s="95" t="s">
        <v>168</v>
      </c>
      <c r="H523" s="97" t="s">
        <v>168</v>
      </c>
      <c r="I523" s="65"/>
      <c r="J523" s="95" t="s">
        <v>9</v>
      </c>
      <c r="K523" s="121" t="s">
        <v>9</v>
      </c>
      <c r="L523" s="129">
        <v>0.5</v>
      </c>
      <c r="M523" s="129">
        <f t="shared" si="362"/>
        <v>0.75</v>
      </c>
      <c r="N523" s="129">
        <v>1.0</v>
      </c>
      <c r="O523" s="130">
        <f t="shared" si="374"/>
        <v>0.75</v>
      </c>
      <c r="P523" s="159"/>
      <c r="Q523" s="208">
        <f t="shared" si="373"/>
        <v>0.75</v>
      </c>
      <c r="R523" s="132"/>
      <c r="S523" s="132"/>
      <c r="T523" s="65" t="s">
        <v>32</v>
      </c>
      <c r="U523" s="26"/>
      <c r="V523" s="26"/>
      <c r="W523" s="26"/>
      <c r="X523" s="26"/>
      <c r="Y523" s="26"/>
      <c r="Z523" s="26"/>
      <c r="AA523" s="26"/>
      <c r="AB523" s="26"/>
      <c r="AC523" s="26"/>
    </row>
    <row r="524" ht="33.75" customHeight="1">
      <c r="A524" s="78" t="s">
        <v>906</v>
      </c>
      <c r="B524" s="79" t="s">
        <v>25</v>
      </c>
      <c r="C524" s="79" t="s">
        <v>899</v>
      </c>
      <c r="D524" s="79" t="s">
        <v>902</v>
      </c>
      <c r="E524" s="94" t="s">
        <v>903</v>
      </c>
      <c r="F524" s="95" t="s">
        <v>867</v>
      </c>
      <c r="G524" s="95" t="s">
        <v>168</v>
      </c>
      <c r="H524" s="65" t="s">
        <v>168</v>
      </c>
      <c r="I524" s="65"/>
      <c r="J524" s="95" t="s">
        <v>9</v>
      </c>
      <c r="K524" s="121" t="s">
        <v>9</v>
      </c>
      <c r="L524" s="129">
        <v>0.5</v>
      </c>
      <c r="M524" s="129">
        <f t="shared" si="362"/>
        <v>0.75</v>
      </c>
      <c r="N524" s="129">
        <v>1.0</v>
      </c>
      <c r="O524" s="130">
        <f t="shared" si="374"/>
        <v>0.75</v>
      </c>
      <c r="P524" s="159"/>
      <c r="Q524" s="208">
        <f t="shared" si="373"/>
        <v>0.75</v>
      </c>
      <c r="R524" s="132"/>
      <c r="S524" s="132"/>
      <c r="T524" s="65" t="s">
        <v>70</v>
      </c>
      <c r="U524" s="26"/>
      <c r="V524" s="26"/>
      <c r="W524" s="26"/>
      <c r="X524" s="26"/>
      <c r="Y524" s="26"/>
      <c r="Z524" s="26"/>
      <c r="AA524" s="26"/>
      <c r="AB524" s="26"/>
      <c r="AC524" s="26"/>
    </row>
    <row r="525" ht="33.75" customHeight="1">
      <c r="A525" s="116" t="s">
        <v>907</v>
      </c>
      <c r="B525" s="77" t="s">
        <v>25</v>
      </c>
      <c r="C525" s="77" t="s">
        <v>899</v>
      </c>
      <c r="D525" s="77" t="s">
        <v>908</v>
      </c>
      <c r="E525" s="117" t="s">
        <v>909</v>
      </c>
      <c r="F525" s="118" t="s">
        <v>901</v>
      </c>
      <c r="G525" s="118" t="s">
        <v>168</v>
      </c>
      <c r="H525" s="119" t="s">
        <v>168</v>
      </c>
      <c r="I525" s="54"/>
      <c r="J525" s="118" t="s">
        <v>9</v>
      </c>
      <c r="K525" s="120" t="s">
        <v>9</v>
      </c>
      <c r="L525" s="51">
        <f>IF(COUNT(L526:N528)=0,"",SUM(L526:L528))</f>
        <v>2</v>
      </c>
      <c r="M525" s="51">
        <f t="shared" si="362"/>
        <v>2.75</v>
      </c>
      <c r="N525" s="51">
        <f>IF(COUNT(L526:N528)=0,"",SUM(N526:N528))</f>
        <v>3.5</v>
      </c>
      <c r="O525" s="51">
        <f>IF(COUNT(O526:O528)=0,"",SUM(O526:O528))</f>
        <v>2.75</v>
      </c>
      <c r="P525" s="52"/>
      <c r="Q525" s="51">
        <f t="shared" si="373"/>
        <v>2.75</v>
      </c>
      <c r="R525" s="53"/>
      <c r="S525" s="53"/>
      <c r="T525" s="54" t="s">
        <v>65</v>
      </c>
      <c r="U525" s="179"/>
      <c r="V525" s="179"/>
      <c r="W525" s="179"/>
      <c r="X525" s="105"/>
      <c r="Y525" s="105"/>
      <c r="Z525" s="105"/>
      <c r="AA525" s="105"/>
      <c r="AB525" s="179"/>
      <c r="AC525" s="105"/>
    </row>
    <row r="526" ht="33.75" customHeight="1">
      <c r="A526" s="78" t="s">
        <v>910</v>
      </c>
      <c r="B526" s="79" t="s">
        <v>25</v>
      </c>
      <c r="C526" s="79" t="s">
        <v>899</v>
      </c>
      <c r="D526" s="79" t="s">
        <v>908</v>
      </c>
      <c r="E526" s="94" t="s">
        <v>909</v>
      </c>
      <c r="F526" s="95" t="s">
        <v>901</v>
      </c>
      <c r="G526" s="95" t="s">
        <v>168</v>
      </c>
      <c r="H526" s="97" t="s">
        <v>168</v>
      </c>
      <c r="I526" s="65"/>
      <c r="J526" s="95" t="s">
        <v>9</v>
      </c>
      <c r="K526" s="121" t="s">
        <v>9</v>
      </c>
      <c r="L526" s="129">
        <v>1.0</v>
      </c>
      <c r="M526" s="129">
        <f t="shared" si="362"/>
        <v>1.25</v>
      </c>
      <c r="N526" s="128">
        <v>1.5</v>
      </c>
      <c r="O526" s="130">
        <f t="shared" ref="O526:O528" si="375">IF(COUNT(L526:N526)=0,"",(L526+4*M526+N526)/6)</f>
        <v>1.25</v>
      </c>
      <c r="P526" s="159"/>
      <c r="Q526" s="208">
        <f t="shared" si="373"/>
        <v>1.25</v>
      </c>
      <c r="R526" s="132"/>
      <c r="S526" s="132"/>
      <c r="T526" s="65" t="s">
        <v>31</v>
      </c>
      <c r="U526" s="26"/>
      <c r="V526" s="26"/>
      <c r="W526" s="26"/>
      <c r="X526" s="26"/>
      <c r="Y526" s="26"/>
      <c r="Z526" s="26"/>
      <c r="AA526" s="26"/>
      <c r="AB526" s="26"/>
      <c r="AC526" s="26"/>
    </row>
    <row r="527" ht="33.75" customHeight="1">
      <c r="A527" s="78" t="s">
        <v>911</v>
      </c>
      <c r="B527" s="79" t="s">
        <v>25</v>
      </c>
      <c r="C527" s="79" t="s">
        <v>899</v>
      </c>
      <c r="D527" s="79" t="s">
        <v>908</v>
      </c>
      <c r="E527" s="94" t="s">
        <v>909</v>
      </c>
      <c r="F527" s="95" t="s">
        <v>901</v>
      </c>
      <c r="G527" s="95" t="s">
        <v>168</v>
      </c>
      <c r="H527" s="97" t="s">
        <v>168</v>
      </c>
      <c r="I527" s="65"/>
      <c r="J527" s="95" t="s">
        <v>9</v>
      </c>
      <c r="K527" s="121" t="s">
        <v>9</v>
      </c>
      <c r="L527" s="129">
        <v>0.5</v>
      </c>
      <c r="M527" s="129">
        <f t="shared" si="362"/>
        <v>0.75</v>
      </c>
      <c r="N527" s="129">
        <v>1.0</v>
      </c>
      <c r="O527" s="130">
        <f t="shared" si="375"/>
        <v>0.75</v>
      </c>
      <c r="P527" s="159"/>
      <c r="Q527" s="208">
        <f t="shared" si="373"/>
        <v>0.75</v>
      </c>
      <c r="R527" s="132"/>
      <c r="S527" s="132"/>
      <c r="T527" s="65" t="s">
        <v>32</v>
      </c>
      <c r="U527" s="26"/>
      <c r="V527" s="26"/>
      <c r="W527" s="26"/>
      <c r="X527" s="26"/>
      <c r="Y527" s="26"/>
      <c r="Z527" s="26"/>
      <c r="AA527" s="26"/>
      <c r="AB527" s="26"/>
      <c r="AC527" s="26"/>
    </row>
    <row r="528" ht="33.75" customHeight="1">
      <c r="A528" s="78" t="s">
        <v>912</v>
      </c>
      <c r="B528" s="79" t="s">
        <v>25</v>
      </c>
      <c r="C528" s="79" t="s">
        <v>899</v>
      </c>
      <c r="D528" s="79" t="s">
        <v>908</v>
      </c>
      <c r="E528" s="94" t="s">
        <v>909</v>
      </c>
      <c r="F528" s="95" t="s">
        <v>901</v>
      </c>
      <c r="G528" s="95" t="s">
        <v>168</v>
      </c>
      <c r="H528" s="97" t="s">
        <v>168</v>
      </c>
      <c r="I528" s="65"/>
      <c r="J528" s="95" t="s">
        <v>9</v>
      </c>
      <c r="K528" s="121" t="s">
        <v>9</v>
      </c>
      <c r="L528" s="129">
        <v>0.5</v>
      </c>
      <c r="M528" s="129">
        <f t="shared" si="362"/>
        <v>0.75</v>
      </c>
      <c r="N528" s="129">
        <v>1.0</v>
      </c>
      <c r="O528" s="130">
        <f t="shared" si="375"/>
        <v>0.75</v>
      </c>
      <c r="P528" s="159"/>
      <c r="Q528" s="208">
        <f t="shared" si="373"/>
        <v>0.75</v>
      </c>
      <c r="R528" s="132"/>
      <c r="S528" s="132"/>
      <c r="T528" s="65" t="s">
        <v>70</v>
      </c>
      <c r="U528" s="26"/>
      <c r="V528" s="26"/>
      <c r="W528" s="26"/>
      <c r="X528" s="26"/>
      <c r="Y528" s="26"/>
      <c r="Z528" s="26"/>
      <c r="AA528" s="26"/>
      <c r="AB528" s="26"/>
      <c r="AC528" s="26"/>
    </row>
    <row r="529" ht="33.75" customHeight="1">
      <c r="A529" s="116" t="s">
        <v>913</v>
      </c>
      <c r="B529" s="77" t="s">
        <v>25</v>
      </c>
      <c r="C529" s="77" t="s">
        <v>899</v>
      </c>
      <c r="D529" s="77" t="s">
        <v>914</v>
      </c>
      <c r="E529" s="117" t="s">
        <v>915</v>
      </c>
      <c r="F529" s="118" t="s">
        <v>916</v>
      </c>
      <c r="G529" s="118" t="s">
        <v>154</v>
      </c>
      <c r="H529" s="54" t="s">
        <v>154</v>
      </c>
      <c r="I529" s="54"/>
      <c r="J529" s="118" t="s">
        <v>9</v>
      </c>
      <c r="K529" s="120" t="s">
        <v>9</v>
      </c>
      <c r="L529" s="51">
        <f>IF(COUNT(L530:N532)=0,"",SUM(L530:L532))</f>
        <v>2</v>
      </c>
      <c r="M529" s="51">
        <f t="shared" si="362"/>
        <v>2.75</v>
      </c>
      <c r="N529" s="51">
        <f>IF(COUNT(L530:N532)=0,"",SUM(N530:N532))</f>
        <v>3.5</v>
      </c>
      <c r="O529" s="51">
        <f>IF(COUNT(O530:O532)=0,"",SUM(O530:O532))</f>
        <v>2.75</v>
      </c>
      <c r="P529" s="52"/>
      <c r="Q529" s="51">
        <f t="shared" si="373"/>
        <v>2.75</v>
      </c>
      <c r="R529" s="53"/>
      <c r="S529" s="53"/>
      <c r="T529" s="54" t="s">
        <v>65</v>
      </c>
      <c r="U529" s="179"/>
      <c r="V529" s="179"/>
      <c r="W529" s="179"/>
      <c r="X529" s="105"/>
      <c r="Y529" s="105"/>
      <c r="Z529" s="105"/>
      <c r="AA529" s="105"/>
      <c r="AB529" s="179"/>
      <c r="AC529" s="105"/>
    </row>
    <row r="530" ht="33.75" customHeight="1">
      <c r="A530" s="78" t="s">
        <v>917</v>
      </c>
      <c r="B530" s="79" t="s">
        <v>25</v>
      </c>
      <c r="C530" s="79" t="s">
        <v>899</v>
      </c>
      <c r="D530" s="79" t="s">
        <v>914</v>
      </c>
      <c r="E530" s="94" t="s">
        <v>915</v>
      </c>
      <c r="F530" s="95" t="s">
        <v>916</v>
      </c>
      <c r="G530" s="95" t="s">
        <v>154</v>
      </c>
      <c r="H530" s="97" t="s">
        <v>154</v>
      </c>
      <c r="I530" s="65"/>
      <c r="J530" s="95" t="s">
        <v>9</v>
      </c>
      <c r="K530" s="121" t="s">
        <v>9</v>
      </c>
      <c r="L530" s="129">
        <v>1.0</v>
      </c>
      <c r="M530" s="129">
        <f t="shared" si="362"/>
        <v>1.25</v>
      </c>
      <c r="N530" s="128">
        <v>1.5</v>
      </c>
      <c r="O530" s="130">
        <f t="shared" ref="O530:O532" si="376">IF(COUNT(L530:N530)=0,"",(L530+4*M530+N530)/6)</f>
        <v>1.25</v>
      </c>
      <c r="P530" s="159"/>
      <c r="Q530" s="208">
        <f t="shared" si="373"/>
        <v>1.25</v>
      </c>
      <c r="R530" s="132"/>
      <c r="S530" s="132"/>
      <c r="T530" s="65" t="s">
        <v>31</v>
      </c>
      <c r="U530" s="26"/>
      <c r="V530" s="26"/>
      <c r="W530" s="26"/>
      <c r="X530" s="26"/>
      <c r="Y530" s="26"/>
      <c r="Z530" s="26"/>
      <c r="AA530" s="26"/>
      <c r="AB530" s="26"/>
      <c r="AC530" s="26"/>
    </row>
    <row r="531" ht="33.75" customHeight="1">
      <c r="A531" s="78" t="s">
        <v>918</v>
      </c>
      <c r="B531" s="79" t="s">
        <v>25</v>
      </c>
      <c r="C531" s="79" t="s">
        <v>899</v>
      </c>
      <c r="D531" s="79" t="s">
        <v>914</v>
      </c>
      <c r="E531" s="94" t="s">
        <v>915</v>
      </c>
      <c r="F531" s="95" t="s">
        <v>916</v>
      </c>
      <c r="G531" s="95" t="s">
        <v>154</v>
      </c>
      <c r="H531" s="97" t="s">
        <v>154</v>
      </c>
      <c r="I531" s="65"/>
      <c r="J531" s="95" t="s">
        <v>9</v>
      </c>
      <c r="K531" s="121" t="s">
        <v>9</v>
      </c>
      <c r="L531" s="180">
        <v>0.5</v>
      </c>
      <c r="M531" s="180">
        <f t="shared" si="362"/>
        <v>0.75</v>
      </c>
      <c r="N531" s="180">
        <v>1.0</v>
      </c>
      <c r="O531" s="130">
        <f t="shared" si="376"/>
        <v>0.75</v>
      </c>
      <c r="P531" s="159"/>
      <c r="Q531" s="208">
        <f t="shared" si="373"/>
        <v>0.75</v>
      </c>
      <c r="R531" s="132"/>
      <c r="S531" s="132"/>
      <c r="T531" s="65" t="s">
        <v>32</v>
      </c>
      <c r="U531" s="26"/>
      <c r="V531" s="26"/>
      <c r="W531" s="26"/>
      <c r="X531" s="26"/>
      <c r="Y531" s="26"/>
      <c r="Z531" s="26"/>
      <c r="AA531" s="26"/>
      <c r="AB531" s="26"/>
      <c r="AC531" s="26"/>
    </row>
    <row r="532" ht="33.75" customHeight="1">
      <c r="A532" s="78" t="s">
        <v>919</v>
      </c>
      <c r="B532" s="79" t="s">
        <v>25</v>
      </c>
      <c r="C532" s="79" t="s">
        <v>899</v>
      </c>
      <c r="D532" s="79" t="s">
        <v>914</v>
      </c>
      <c r="E532" s="94" t="s">
        <v>915</v>
      </c>
      <c r="F532" s="95" t="s">
        <v>916</v>
      </c>
      <c r="G532" s="95" t="s">
        <v>154</v>
      </c>
      <c r="H532" s="97" t="s">
        <v>154</v>
      </c>
      <c r="I532" s="65"/>
      <c r="J532" s="95" t="s">
        <v>9</v>
      </c>
      <c r="K532" s="121" t="s">
        <v>9</v>
      </c>
      <c r="L532" s="180">
        <v>0.5</v>
      </c>
      <c r="M532" s="180">
        <f t="shared" si="362"/>
        <v>0.75</v>
      </c>
      <c r="N532" s="180">
        <v>1.0</v>
      </c>
      <c r="O532" s="130">
        <f t="shared" si="376"/>
        <v>0.75</v>
      </c>
      <c r="P532" s="159"/>
      <c r="Q532" s="208">
        <f t="shared" si="373"/>
        <v>0.75</v>
      </c>
      <c r="R532" s="132"/>
      <c r="S532" s="132"/>
      <c r="T532" s="65" t="s">
        <v>70</v>
      </c>
      <c r="U532" s="26"/>
      <c r="V532" s="26"/>
      <c r="W532" s="26"/>
      <c r="X532" s="26"/>
      <c r="Y532" s="26"/>
      <c r="Z532" s="26"/>
      <c r="AA532" s="26"/>
      <c r="AB532" s="26"/>
      <c r="AC532" s="26"/>
    </row>
    <row r="533" ht="33.75" customHeight="1">
      <c r="A533" s="116" t="s">
        <v>920</v>
      </c>
      <c r="B533" s="77" t="s">
        <v>25</v>
      </c>
      <c r="C533" s="77" t="s">
        <v>899</v>
      </c>
      <c r="D533" s="77" t="s">
        <v>921</v>
      </c>
      <c r="E533" s="117" t="s">
        <v>922</v>
      </c>
      <c r="F533" s="118" t="s">
        <v>923</v>
      </c>
      <c r="G533" s="118" t="s">
        <v>168</v>
      </c>
      <c r="H533" s="119" t="s">
        <v>168</v>
      </c>
      <c r="I533" s="119"/>
      <c r="J533" s="118" t="s">
        <v>9</v>
      </c>
      <c r="K533" s="120" t="s">
        <v>9</v>
      </c>
      <c r="L533" s="160">
        <f>IF(COUNT(L534:N536)=0,"",SUM(L534:L536))</f>
        <v>2.5</v>
      </c>
      <c r="M533" s="51">
        <f t="shared" si="362"/>
        <v>3.25</v>
      </c>
      <c r="N533" s="160">
        <f>IF(COUNT(L534:N536)=0,"",SUM(N534:N536))</f>
        <v>4</v>
      </c>
      <c r="O533" s="160">
        <f>IF(COUNT(O534:O536)=0,"",SUM(O534:O536))</f>
        <v>3.25</v>
      </c>
      <c r="P533" s="161"/>
      <c r="Q533" s="162">
        <f t="shared" si="373"/>
        <v>3.25</v>
      </c>
      <c r="R533" s="163"/>
      <c r="S533" s="163"/>
      <c r="T533" s="119" t="s">
        <v>65</v>
      </c>
      <c r="U533" s="179"/>
      <c r="V533" s="179"/>
      <c r="W533" s="179"/>
      <c r="X533" s="105"/>
      <c r="Y533" s="105"/>
      <c r="Z533" s="105"/>
      <c r="AA533" s="105"/>
      <c r="AB533" s="179"/>
      <c r="AC533" s="105"/>
    </row>
    <row r="534" ht="33.75" customHeight="1">
      <c r="A534" s="78" t="s">
        <v>924</v>
      </c>
      <c r="B534" s="79" t="s">
        <v>25</v>
      </c>
      <c r="C534" s="79" t="s">
        <v>899</v>
      </c>
      <c r="D534" s="79" t="s">
        <v>921</v>
      </c>
      <c r="E534" s="94" t="s">
        <v>922</v>
      </c>
      <c r="F534" s="95" t="s">
        <v>923</v>
      </c>
      <c r="G534" s="95" t="s">
        <v>168</v>
      </c>
      <c r="H534" s="65" t="s">
        <v>168</v>
      </c>
      <c r="I534" s="65"/>
      <c r="J534" s="95" t="s">
        <v>9</v>
      </c>
      <c r="K534" s="121" t="s">
        <v>9</v>
      </c>
      <c r="L534" s="129">
        <v>0.0</v>
      </c>
      <c r="M534" s="129">
        <f t="shared" si="362"/>
        <v>0</v>
      </c>
      <c r="N534" s="129">
        <v>0.0</v>
      </c>
      <c r="O534" s="130">
        <f t="shared" ref="O534:O536" si="377">IF(COUNT(L534:N534)=0,"",(L534+4*M534+N534)/6)</f>
        <v>0</v>
      </c>
      <c r="P534" s="159"/>
      <c r="Q534" s="208">
        <f t="shared" si="373"/>
        <v>0</v>
      </c>
      <c r="R534" s="132"/>
      <c r="S534" s="132"/>
      <c r="T534" s="65" t="s">
        <v>31</v>
      </c>
      <c r="U534" s="26"/>
      <c r="V534" s="26"/>
      <c r="W534" s="26"/>
      <c r="X534" s="26"/>
      <c r="Y534" s="26"/>
      <c r="Z534" s="26"/>
      <c r="AA534" s="26"/>
      <c r="AB534" s="26"/>
      <c r="AC534" s="26"/>
    </row>
    <row r="535" ht="33.75" customHeight="1">
      <c r="A535" s="78" t="s">
        <v>925</v>
      </c>
      <c r="B535" s="79" t="s">
        <v>25</v>
      </c>
      <c r="C535" s="79" t="s">
        <v>899</v>
      </c>
      <c r="D535" s="79" t="s">
        <v>921</v>
      </c>
      <c r="E535" s="94" t="s">
        <v>922</v>
      </c>
      <c r="F535" s="95" t="s">
        <v>923</v>
      </c>
      <c r="G535" s="95" t="s">
        <v>168</v>
      </c>
      <c r="H535" s="97" t="s">
        <v>168</v>
      </c>
      <c r="I535" s="65"/>
      <c r="J535" s="95" t="s">
        <v>9</v>
      </c>
      <c r="K535" s="121" t="s">
        <v>9</v>
      </c>
      <c r="L535" s="129">
        <v>2.0</v>
      </c>
      <c r="M535" s="129">
        <f t="shared" si="362"/>
        <v>2.5</v>
      </c>
      <c r="N535" s="128">
        <v>3.0</v>
      </c>
      <c r="O535" s="130">
        <f t="shared" si="377"/>
        <v>2.5</v>
      </c>
      <c r="P535" s="159"/>
      <c r="Q535" s="208">
        <f t="shared" si="373"/>
        <v>2.5</v>
      </c>
      <c r="R535" s="132"/>
      <c r="S535" s="132"/>
      <c r="T535" s="65" t="s">
        <v>32</v>
      </c>
      <c r="U535" s="26"/>
      <c r="V535" s="26"/>
      <c r="W535" s="26"/>
      <c r="X535" s="26"/>
      <c r="Y535" s="26"/>
      <c r="Z535" s="26"/>
      <c r="AA535" s="26"/>
      <c r="AB535" s="26"/>
      <c r="AC535" s="26"/>
    </row>
    <row r="536" ht="33.75" customHeight="1">
      <c r="A536" s="78" t="s">
        <v>926</v>
      </c>
      <c r="B536" s="79" t="s">
        <v>25</v>
      </c>
      <c r="C536" s="79" t="s">
        <v>899</v>
      </c>
      <c r="D536" s="79" t="s">
        <v>921</v>
      </c>
      <c r="E536" s="94" t="s">
        <v>922</v>
      </c>
      <c r="F536" s="95" t="s">
        <v>923</v>
      </c>
      <c r="G536" s="95" t="s">
        <v>168</v>
      </c>
      <c r="H536" s="97" t="s">
        <v>168</v>
      </c>
      <c r="I536" s="65"/>
      <c r="J536" s="95" t="s">
        <v>9</v>
      </c>
      <c r="K536" s="121" t="s">
        <v>9</v>
      </c>
      <c r="L536" s="129">
        <v>0.5</v>
      </c>
      <c r="M536" s="129">
        <f t="shared" si="362"/>
        <v>0.75</v>
      </c>
      <c r="N536" s="129">
        <v>1.0</v>
      </c>
      <c r="O536" s="130">
        <f t="shared" si="377"/>
        <v>0.75</v>
      </c>
      <c r="P536" s="159"/>
      <c r="Q536" s="208">
        <f t="shared" si="373"/>
        <v>0.75</v>
      </c>
      <c r="R536" s="132"/>
      <c r="S536" s="132"/>
      <c r="T536" s="65" t="s">
        <v>70</v>
      </c>
      <c r="U536" s="26"/>
      <c r="V536" s="26"/>
      <c r="W536" s="26"/>
      <c r="X536" s="26"/>
      <c r="Y536" s="26"/>
      <c r="Z536" s="26"/>
      <c r="AA536" s="26"/>
      <c r="AB536" s="26"/>
      <c r="AC536" s="26"/>
    </row>
    <row r="537" ht="33.75" customHeight="1">
      <c r="A537" s="116" t="s">
        <v>927</v>
      </c>
      <c r="B537" s="77" t="s">
        <v>25</v>
      </c>
      <c r="C537" s="77" t="s">
        <v>899</v>
      </c>
      <c r="D537" s="77" t="s">
        <v>928</v>
      </c>
      <c r="E537" s="117" t="s">
        <v>929</v>
      </c>
      <c r="F537" s="118" t="s">
        <v>233</v>
      </c>
      <c r="G537" s="118" t="s">
        <v>168</v>
      </c>
      <c r="H537" s="119" t="s">
        <v>168</v>
      </c>
      <c r="I537" s="54"/>
      <c r="J537" s="118" t="s">
        <v>9</v>
      </c>
      <c r="K537" s="120" t="s">
        <v>9</v>
      </c>
      <c r="L537" s="51">
        <f>IF(COUNT(L538:N540)=0,"",SUM(L538:L540))</f>
        <v>1.25</v>
      </c>
      <c r="M537" s="51">
        <f t="shared" si="362"/>
        <v>1.75</v>
      </c>
      <c r="N537" s="51">
        <f>IF(COUNT(L538:N540)=0,"",SUM(N538:N540))</f>
        <v>2.25</v>
      </c>
      <c r="O537" s="51">
        <f>IF(COUNT(O538:O540)=0,"",SUM(O538:O540))</f>
        <v>1.75</v>
      </c>
      <c r="P537" s="52"/>
      <c r="Q537" s="51">
        <f t="shared" si="373"/>
        <v>1.75</v>
      </c>
      <c r="R537" s="53"/>
      <c r="S537" s="53"/>
      <c r="T537" s="54" t="s">
        <v>65</v>
      </c>
      <c r="U537" s="179"/>
      <c r="V537" s="179"/>
      <c r="W537" s="179"/>
      <c r="X537" s="105"/>
      <c r="Y537" s="105"/>
      <c r="Z537" s="105"/>
      <c r="AA537" s="105"/>
      <c r="AB537" s="179"/>
      <c r="AC537" s="105"/>
    </row>
    <row r="538" ht="33.75" customHeight="1">
      <c r="A538" s="78" t="s">
        <v>930</v>
      </c>
      <c r="B538" s="79" t="s">
        <v>25</v>
      </c>
      <c r="C538" s="79" t="s">
        <v>899</v>
      </c>
      <c r="D538" s="79" t="s">
        <v>928</v>
      </c>
      <c r="E538" s="94" t="s">
        <v>929</v>
      </c>
      <c r="F538" s="95" t="s">
        <v>233</v>
      </c>
      <c r="G538" s="95" t="s">
        <v>168</v>
      </c>
      <c r="H538" s="97" t="s">
        <v>168</v>
      </c>
      <c r="I538" s="65"/>
      <c r="J538" s="95" t="s">
        <v>9</v>
      </c>
      <c r="K538" s="121" t="s">
        <v>9</v>
      </c>
      <c r="L538" s="129">
        <v>0.5</v>
      </c>
      <c r="M538" s="129">
        <f t="shared" si="362"/>
        <v>0.75</v>
      </c>
      <c r="N538" s="129">
        <v>1.0</v>
      </c>
      <c r="O538" s="130">
        <f t="shared" ref="O538:O540" si="378">IF(COUNT(L538:N538)=0,"",(L538+4*M538+N538)/6)</f>
        <v>0.75</v>
      </c>
      <c r="P538" s="159"/>
      <c r="Q538" s="208">
        <f t="shared" si="373"/>
        <v>0.75</v>
      </c>
      <c r="R538" s="132"/>
      <c r="S538" s="132"/>
      <c r="T538" s="65" t="s">
        <v>31</v>
      </c>
      <c r="U538" s="26"/>
      <c r="V538" s="26"/>
      <c r="W538" s="26"/>
      <c r="X538" s="26"/>
      <c r="Y538" s="26"/>
      <c r="Z538" s="26"/>
      <c r="AA538" s="26"/>
      <c r="AB538" s="26"/>
      <c r="AC538" s="26"/>
    </row>
    <row r="539" ht="33.75" customHeight="1">
      <c r="A539" s="78" t="s">
        <v>931</v>
      </c>
      <c r="B539" s="79" t="s">
        <v>25</v>
      </c>
      <c r="C539" s="79" t="s">
        <v>899</v>
      </c>
      <c r="D539" s="79" t="s">
        <v>928</v>
      </c>
      <c r="E539" s="94" t="s">
        <v>929</v>
      </c>
      <c r="F539" s="95" t="s">
        <v>233</v>
      </c>
      <c r="G539" s="95" t="s">
        <v>168</v>
      </c>
      <c r="H539" s="65" t="s">
        <v>168</v>
      </c>
      <c r="I539" s="65"/>
      <c r="J539" s="95" t="s">
        <v>9</v>
      </c>
      <c r="K539" s="121" t="s">
        <v>9</v>
      </c>
      <c r="L539" s="129">
        <v>0.25</v>
      </c>
      <c r="M539" s="129">
        <f t="shared" si="362"/>
        <v>0.375</v>
      </c>
      <c r="N539" s="129">
        <v>0.5</v>
      </c>
      <c r="O539" s="130">
        <f t="shared" si="378"/>
        <v>0.375</v>
      </c>
      <c r="P539" s="159"/>
      <c r="Q539" s="208">
        <f t="shared" si="373"/>
        <v>0.375</v>
      </c>
      <c r="R539" s="132"/>
      <c r="S539" s="132"/>
      <c r="T539" s="65" t="s">
        <v>32</v>
      </c>
      <c r="U539" s="26"/>
      <c r="V539" s="26"/>
      <c r="W539" s="26"/>
      <c r="X539" s="26"/>
      <c r="Y539" s="26"/>
      <c r="Z539" s="26"/>
      <c r="AA539" s="26"/>
      <c r="AB539" s="26"/>
      <c r="AC539" s="26"/>
    </row>
    <row r="540" ht="33.75" customHeight="1">
      <c r="A540" s="78" t="s">
        <v>932</v>
      </c>
      <c r="B540" s="79" t="s">
        <v>25</v>
      </c>
      <c r="C540" s="79" t="s">
        <v>899</v>
      </c>
      <c r="D540" s="79" t="s">
        <v>928</v>
      </c>
      <c r="E540" s="94" t="s">
        <v>929</v>
      </c>
      <c r="F540" s="95" t="s">
        <v>233</v>
      </c>
      <c r="G540" s="95" t="s">
        <v>168</v>
      </c>
      <c r="H540" s="97" t="s">
        <v>168</v>
      </c>
      <c r="I540" s="65"/>
      <c r="J540" s="95" t="s">
        <v>9</v>
      </c>
      <c r="K540" s="121" t="s">
        <v>9</v>
      </c>
      <c r="L540" s="129">
        <v>0.5</v>
      </c>
      <c r="M540" s="129">
        <f t="shared" si="362"/>
        <v>0.625</v>
      </c>
      <c r="N540" s="129">
        <v>0.75</v>
      </c>
      <c r="O540" s="130">
        <f t="shared" si="378"/>
        <v>0.625</v>
      </c>
      <c r="P540" s="159"/>
      <c r="Q540" s="208">
        <f t="shared" si="373"/>
        <v>0.625</v>
      </c>
      <c r="R540" s="132"/>
      <c r="S540" s="132"/>
      <c r="T540" s="65" t="s">
        <v>70</v>
      </c>
      <c r="U540" s="26"/>
      <c r="V540" s="26"/>
      <c r="W540" s="26"/>
      <c r="X540" s="26"/>
      <c r="Y540" s="26"/>
      <c r="Z540" s="26"/>
      <c r="AA540" s="26"/>
      <c r="AB540" s="26"/>
      <c r="AC540" s="26"/>
    </row>
    <row r="541" ht="33.75" customHeight="1">
      <c r="A541" s="134" t="s">
        <v>933</v>
      </c>
      <c r="B541" s="135" t="s">
        <v>25</v>
      </c>
      <c r="C541" s="135" t="s">
        <v>899</v>
      </c>
      <c r="D541" s="135" t="s">
        <v>934</v>
      </c>
      <c r="E541" s="136" t="s">
        <v>935</v>
      </c>
      <c r="F541" s="137" t="s">
        <v>867</v>
      </c>
      <c r="G541" s="137" t="s">
        <v>168</v>
      </c>
      <c r="H541" s="100" t="s">
        <v>168</v>
      </c>
      <c r="I541" s="98"/>
      <c r="J541" s="137" t="s">
        <v>12</v>
      </c>
      <c r="K541" s="138" t="s">
        <v>12</v>
      </c>
      <c r="L541" s="139">
        <f>IF(COUNT(L542:N544)=0,"",SUM(L542:L544))</f>
        <v>0</v>
      </c>
      <c r="M541" s="139">
        <f t="shared" si="362"/>
        <v>0</v>
      </c>
      <c r="N541" s="139">
        <f>IF(COUNT(L542:N544)=0,"",SUM(N542:N544))</f>
        <v>0</v>
      </c>
      <c r="O541" s="139">
        <f>IF(COUNT(O542:O544)=0,"",SUM(O542:O544))</f>
        <v>0</v>
      </c>
      <c r="P541" s="140"/>
      <c r="Q541" s="139">
        <f t="shared" si="373"/>
        <v>0</v>
      </c>
      <c r="R541" s="141"/>
      <c r="S541" s="141"/>
      <c r="T541" s="98" t="s">
        <v>65</v>
      </c>
      <c r="U541" s="26"/>
      <c r="V541" s="26"/>
      <c r="W541" s="26"/>
      <c r="X541" s="26"/>
      <c r="Y541" s="26"/>
      <c r="Z541" s="26"/>
      <c r="AA541" s="26"/>
      <c r="AB541" s="26"/>
      <c r="AC541" s="26"/>
    </row>
    <row r="542" ht="33.75" customHeight="1">
      <c r="A542" s="142" t="s">
        <v>936</v>
      </c>
      <c r="B542" s="143" t="s">
        <v>25</v>
      </c>
      <c r="C542" s="143" t="s">
        <v>899</v>
      </c>
      <c r="D542" s="143" t="s">
        <v>934</v>
      </c>
      <c r="E542" s="144" t="s">
        <v>935</v>
      </c>
      <c r="F542" s="145" t="s">
        <v>867</v>
      </c>
      <c r="G542" s="145" t="s">
        <v>168</v>
      </c>
      <c r="H542" s="108" t="s">
        <v>168</v>
      </c>
      <c r="I542" s="106"/>
      <c r="J542" s="145" t="s">
        <v>12</v>
      </c>
      <c r="K542" s="146" t="s">
        <v>12</v>
      </c>
      <c r="L542" s="109"/>
      <c r="M542" s="109">
        <f t="shared" si="362"/>
        <v>0</v>
      </c>
      <c r="N542" s="109"/>
      <c r="O542" s="147">
        <f t="shared" ref="O542:O544" si="379">IF(COUNT(L542:N542)=0,"",(L542+4*M542+N542)/6)</f>
        <v>0</v>
      </c>
      <c r="P542" s="110"/>
      <c r="Q542" s="148">
        <f t="shared" si="373"/>
        <v>0</v>
      </c>
      <c r="R542" s="111"/>
      <c r="S542" s="111"/>
      <c r="T542" s="106" t="s">
        <v>31</v>
      </c>
      <c r="U542" s="26"/>
      <c r="V542" s="26"/>
      <c r="W542" s="26"/>
      <c r="X542" s="26"/>
      <c r="Y542" s="26"/>
      <c r="Z542" s="26"/>
      <c r="AA542" s="26"/>
      <c r="AB542" s="26"/>
      <c r="AC542" s="26"/>
    </row>
    <row r="543" ht="33.75" customHeight="1">
      <c r="A543" s="142" t="s">
        <v>937</v>
      </c>
      <c r="B543" s="143" t="s">
        <v>25</v>
      </c>
      <c r="C543" s="143" t="s">
        <v>899</v>
      </c>
      <c r="D543" s="143" t="s">
        <v>934</v>
      </c>
      <c r="E543" s="144" t="s">
        <v>935</v>
      </c>
      <c r="F543" s="145" t="s">
        <v>867</v>
      </c>
      <c r="G543" s="145" t="s">
        <v>168</v>
      </c>
      <c r="H543" s="106" t="s">
        <v>168</v>
      </c>
      <c r="I543" s="106"/>
      <c r="J543" s="145" t="s">
        <v>12</v>
      </c>
      <c r="K543" s="146" t="s">
        <v>12</v>
      </c>
      <c r="L543" s="109"/>
      <c r="M543" s="109">
        <f t="shared" si="362"/>
        <v>0</v>
      </c>
      <c r="N543" s="109"/>
      <c r="O543" s="147">
        <f t="shared" si="379"/>
        <v>0</v>
      </c>
      <c r="P543" s="110"/>
      <c r="Q543" s="148">
        <f t="shared" si="373"/>
        <v>0</v>
      </c>
      <c r="R543" s="111"/>
      <c r="S543" s="111"/>
      <c r="T543" s="106" t="s">
        <v>32</v>
      </c>
      <c r="U543" s="26"/>
      <c r="V543" s="26"/>
      <c r="W543" s="26"/>
      <c r="X543" s="26"/>
      <c r="Y543" s="26"/>
      <c r="Z543" s="26"/>
      <c r="AA543" s="26"/>
      <c r="AB543" s="26"/>
      <c r="AC543" s="26"/>
    </row>
    <row r="544" ht="33.75" customHeight="1">
      <c r="A544" s="142" t="s">
        <v>938</v>
      </c>
      <c r="B544" s="143" t="s">
        <v>25</v>
      </c>
      <c r="C544" s="143" t="s">
        <v>899</v>
      </c>
      <c r="D544" s="143" t="s">
        <v>934</v>
      </c>
      <c r="E544" s="144" t="s">
        <v>935</v>
      </c>
      <c r="F544" s="145" t="s">
        <v>867</v>
      </c>
      <c r="G544" s="145" t="s">
        <v>168</v>
      </c>
      <c r="H544" s="106" t="s">
        <v>168</v>
      </c>
      <c r="I544" s="106"/>
      <c r="J544" s="145" t="s">
        <v>12</v>
      </c>
      <c r="K544" s="146" t="s">
        <v>12</v>
      </c>
      <c r="L544" s="109"/>
      <c r="M544" s="109">
        <f t="shared" si="362"/>
        <v>0</v>
      </c>
      <c r="N544" s="109"/>
      <c r="O544" s="147">
        <f t="shared" si="379"/>
        <v>0</v>
      </c>
      <c r="P544" s="110"/>
      <c r="Q544" s="148">
        <f t="shared" si="373"/>
        <v>0</v>
      </c>
      <c r="R544" s="111"/>
      <c r="S544" s="111"/>
      <c r="T544" s="106" t="s">
        <v>70</v>
      </c>
      <c r="U544" s="26"/>
      <c r="V544" s="26"/>
      <c r="W544" s="26"/>
      <c r="X544" s="26"/>
      <c r="Y544" s="26"/>
      <c r="Z544" s="26"/>
      <c r="AA544" s="26"/>
      <c r="AB544" s="26"/>
      <c r="AC544" s="26"/>
    </row>
    <row r="545" ht="33.75" customHeight="1">
      <c r="A545" s="112" t="s">
        <v>939</v>
      </c>
      <c r="B545" s="38" t="s">
        <v>25</v>
      </c>
      <c r="C545" s="38" t="s">
        <v>940</v>
      </c>
      <c r="D545" s="38" t="s">
        <v>940</v>
      </c>
      <c r="E545" s="113" t="s">
        <v>941</v>
      </c>
      <c r="F545" s="114"/>
      <c r="G545" s="114"/>
      <c r="H545" s="123"/>
      <c r="I545" s="45"/>
      <c r="J545" s="114"/>
      <c r="K545" s="115"/>
      <c r="L545" s="42">
        <f>IF(COUNT(L546,L550,L554,L558,L562)=0,"",SUM(L546,L550,L554,L558,L562))</f>
        <v>10.25</v>
      </c>
      <c r="M545" s="42">
        <f t="shared" si="362"/>
        <v>15.25</v>
      </c>
      <c r="N545" s="42">
        <f t="shared" ref="N545:O545" si="380">IF(COUNT(N546,N550,N554,N558,N562)=0,"",SUM(N546,N550,N554,N558,N562))</f>
        <v>20.25</v>
      </c>
      <c r="O545" s="42">
        <f t="shared" si="380"/>
        <v>15.25</v>
      </c>
      <c r="P545" s="43"/>
      <c r="Q545" s="42">
        <f>IF(COUNT(Q546,Q550,Q554,Q558,Q562)=0,"",SUM(Q546,Q550,Q554,Q558,Q562))</f>
        <v>15.25</v>
      </c>
      <c r="R545" s="44"/>
      <c r="S545" s="44"/>
      <c r="T545" s="45" t="s">
        <v>62</v>
      </c>
      <c r="U545" s="26"/>
      <c r="V545" s="26"/>
      <c r="W545" s="26"/>
      <c r="X545" s="46">
        <f t="shared" ref="X545:AA545" si="381">L545</f>
        <v>10.25</v>
      </c>
      <c r="Y545" s="46">
        <f t="shared" si="381"/>
        <v>15.25</v>
      </c>
      <c r="Z545" s="46">
        <f t="shared" si="381"/>
        <v>20.25</v>
      </c>
      <c r="AA545" s="46">
        <f t="shared" si="381"/>
        <v>15.25</v>
      </c>
      <c r="AB545" s="26"/>
      <c r="AC545" s="46">
        <f>Q545</f>
        <v>15.25</v>
      </c>
    </row>
    <row r="546" ht="33.75" customHeight="1">
      <c r="A546" s="116" t="s">
        <v>942</v>
      </c>
      <c r="B546" s="77" t="s">
        <v>25</v>
      </c>
      <c r="C546" s="77" t="s">
        <v>940</v>
      </c>
      <c r="D546" s="77" t="s">
        <v>943</v>
      </c>
      <c r="E546" s="117" t="s">
        <v>944</v>
      </c>
      <c r="F546" s="118" t="s">
        <v>861</v>
      </c>
      <c r="G546" s="118" t="s">
        <v>168</v>
      </c>
      <c r="H546" s="119" t="s">
        <v>168</v>
      </c>
      <c r="I546" s="54"/>
      <c r="J546" s="118" t="s">
        <v>9</v>
      </c>
      <c r="K546" s="120" t="s">
        <v>9</v>
      </c>
      <c r="L546" s="51">
        <f>IF(COUNT(L547:N549)=0,"",SUM(L547:L549))</f>
        <v>2.5</v>
      </c>
      <c r="M546" s="51">
        <f t="shared" si="362"/>
        <v>3.375</v>
      </c>
      <c r="N546" s="51">
        <f>IF(COUNT(L547:N549)=0,"",SUM(N547:N549))</f>
        <v>4.25</v>
      </c>
      <c r="O546" s="51">
        <f>IF(COUNT(O547:O549)=0,"",SUM(O547:O549))</f>
        <v>3.375</v>
      </c>
      <c r="P546" s="52"/>
      <c r="Q546" s="51">
        <f t="shared" ref="Q546:Q573" si="382">IF(O546="","",IF(P546="",O546,O546*(1+P546)))</f>
        <v>3.375</v>
      </c>
      <c r="R546" s="53"/>
      <c r="S546" s="53"/>
      <c r="T546" s="54" t="s">
        <v>65</v>
      </c>
      <c r="U546" s="179"/>
      <c r="V546" s="179"/>
      <c r="W546" s="179"/>
      <c r="X546" s="105"/>
      <c r="Y546" s="105"/>
      <c r="Z546" s="105"/>
      <c r="AA546" s="105"/>
      <c r="AB546" s="179"/>
      <c r="AC546" s="105"/>
    </row>
    <row r="547" ht="33.75" customHeight="1">
      <c r="A547" s="78" t="s">
        <v>945</v>
      </c>
      <c r="B547" s="79" t="s">
        <v>25</v>
      </c>
      <c r="C547" s="79" t="s">
        <v>940</v>
      </c>
      <c r="D547" s="79" t="s">
        <v>943</v>
      </c>
      <c r="E547" s="94" t="s">
        <v>944</v>
      </c>
      <c r="F547" s="95" t="s">
        <v>861</v>
      </c>
      <c r="G547" s="95" t="s">
        <v>168</v>
      </c>
      <c r="H547" s="97" t="s">
        <v>168</v>
      </c>
      <c r="I547" s="65"/>
      <c r="J547" s="95" t="s">
        <v>9</v>
      </c>
      <c r="K547" s="121" t="s">
        <v>9</v>
      </c>
      <c r="L547" s="129">
        <v>1.0</v>
      </c>
      <c r="M547" s="129">
        <f t="shared" si="362"/>
        <v>1.5</v>
      </c>
      <c r="N547" s="129">
        <v>2.0</v>
      </c>
      <c r="O547" s="130">
        <f t="shared" ref="O547:O549" si="383">IF(COUNT(L547:N547)=0,"",(L547+4*M547+N547)/6)</f>
        <v>1.5</v>
      </c>
      <c r="P547" s="159"/>
      <c r="Q547" s="208">
        <f t="shared" si="382"/>
        <v>1.5</v>
      </c>
      <c r="R547" s="132"/>
      <c r="S547" s="132"/>
      <c r="T547" s="65" t="s">
        <v>31</v>
      </c>
      <c r="U547" s="26"/>
      <c r="V547" s="26"/>
      <c r="W547" s="26"/>
      <c r="X547" s="26"/>
      <c r="Y547" s="26"/>
      <c r="Z547" s="26"/>
      <c r="AA547" s="26"/>
      <c r="AB547" s="26"/>
      <c r="AC547" s="26"/>
    </row>
    <row r="548" ht="33.75" customHeight="1">
      <c r="A548" s="78" t="s">
        <v>946</v>
      </c>
      <c r="B548" s="79" t="s">
        <v>25</v>
      </c>
      <c r="C548" s="79" t="s">
        <v>940</v>
      </c>
      <c r="D548" s="79" t="s">
        <v>943</v>
      </c>
      <c r="E548" s="94" t="s">
        <v>944</v>
      </c>
      <c r="F548" s="95" t="s">
        <v>861</v>
      </c>
      <c r="G548" s="95" t="s">
        <v>168</v>
      </c>
      <c r="H548" s="97" t="s">
        <v>168</v>
      </c>
      <c r="I548" s="65"/>
      <c r="J548" s="95" t="s">
        <v>9</v>
      </c>
      <c r="K548" s="121" t="s">
        <v>9</v>
      </c>
      <c r="L548" s="129">
        <v>1.0</v>
      </c>
      <c r="M548" s="129">
        <f t="shared" si="362"/>
        <v>1.25</v>
      </c>
      <c r="N548" s="128">
        <v>1.5</v>
      </c>
      <c r="O548" s="130">
        <f t="shared" si="383"/>
        <v>1.25</v>
      </c>
      <c r="P548" s="159"/>
      <c r="Q548" s="208">
        <f t="shared" si="382"/>
        <v>1.25</v>
      </c>
      <c r="R548" s="132"/>
      <c r="S548" s="132"/>
      <c r="T548" s="65" t="s">
        <v>32</v>
      </c>
      <c r="U548" s="26"/>
      <c r="V548" s="26"/>
      <c r="W548" s="26"/>
      <c r="X548" s="26"/>
      <c r="Y548" s="26"/>
      <c r="Z548" s="26"/>
      <c r="AA548" s="26"/>
      <c r="AB548" s="26"/>
      <c r="AC548" s="26"/>
    </row>
    <row r="549" ht="33.75" customHeight="1">
      <c r="A549" s="78" t="s">
        <v>947</v>
      </c>
      <c r="B549" s="79" t="s">
        <v>25</v>
      </c>
      <c r="C549" s="79" t="s">
        <v>940</v>
      </c>
      <c r="D549" s="79" t="s">
        <v>943</v>
      </c>
      <c r="E549" s="94" t="s">
        <v>944</v>
      </c>
      <c r="F549" s="95" t="s">
        <v>861</v>
      </c>
      <c r="G549" s="95" t="s">
        <v>168</v>
      </c>
      <c r="H549" s="65" t="s">
        <v>168</v>
      </c>
      <c r="I549" s="65"/>
      <c r="J549" s="95" t="s">
        <v>9</v>
      </c>
      <c r="K549" s="121" t="s">
        <v>9</v>
      </c>
      <c r="L549" s="129">
        <v>0.5</v>
      </c>
      <c r="M549" s="129">
        <f t="shared" si="362"/>
        <v>0.625</v>
      </c>
      <c r="N549" s="129">
        <v>0.75</v>
      </c>
      <c r="O549" s="130">
        <f t="shared" si="383"/>
        <v>0.625</v>
      </c>
      <c r="P549" s="159"/>
      <c r="Q549" s="208">
        <f t="shared" si="382"/>
        <v>0.625</v>
      </c>
      <c r="R549" s="132"/>
      <c r="S549" s="132"/>
      <c r="T549" s="65" t="s">
        <v>70</v>
      </c>
      <c r="U549" s="26"/>
      <c r="V549" s="26"/>
      <c r="W549" s="26"/>
      <c r="X549" s="26"/>
      <c r="Y549" s="26"/>
      <c r="Z549" s="26"/>
      <c r="AA549" s="26"/>
      <c r="AB549" s="26"/>
      <c r="AC549" s="26"/>
    </row>
    <row r="550" ht="33.75" customHeight="1">
      <c r="A550" s="116" t="s">
        <v>948</v>
      </c>
      <c r="B550" s="77" t="s">
        <v>25</v>
      </c>
      <c r="C550" s="77" t="s">
        <v>940</v>
      </c>
      <c r="D550" s="77" t="s">
        <v>949</v>
      </c>
      <c r="E550" s="117" t="s">
        <v>950</v>
      </c>
      <c r="F550" s="118" t="s">
        <v>951</v>
      </c>
      <c r="G550" s="118" t="s">
        <v>168</v>
      </c>
      <c r="H550" s="119" t="s">
        <v>168</v>
      </c>
      <c r="I550" s="54"/>
      <c r="J550" s="118" t="s">
        <v>9</v>
      </c>
      <c r="K550" s="120" t="s">
        <v>9</v>
      </c>
      <c r="L550" s="51">
        <f>IF(COUNT(L551:N553)=0,"",SUM(L551:L553))</f>
        <v>2</v>
      </c>
      <c r="M550" s="51">
        <f t="shared" si="362"/>
        <v>2.75</v>
      </c>
      <c r="N550" s="51">
        <f>IF(COUNT(L551:N553)=0,"",SUM(N551:N553))</f>
        <v>3.5</v>
      </c>
      <c r="O550" s="51">
        <f>IF(COUNT(O551:O553)=0,"",SUM(O551:O553))</f>
        <v>2.75</v>
      </c>
      <c r="P550" s="52"/>
      <c r="Q550" s="51">
        <f t="shared" si="382"/>
        <v>2.75</v>
      </c>
      <c r="R550" s="53"/>
      <c r="S550" s="53"/>
      <c r="T550" s="54" t="s">
        <v>65</v>
      </c>
      <c r="U550" s="179"/>
      <c r="V550" s="179"/>
      <c r="W550" s="179"/>
      <c r="X550" s="105"/>
      <c r="Y550" s="105"/>
      <c r="Z550" s="105"/>
      <c r="AA550" s="105"/>
      <c r="AB550" s="179"/>
      <c r="AC550" s="105"/>
    </row>
    <row r="551" ht="33.75" customHeight="1">
      <c r="A551" s="78" t="s">
        <v>952</v>
      </c>
      <c r="B551" s="79" t="s">
        <v>25</v>
      </c>
      <c r="C551" s="79" t="s">
        <v>940</v>
      </c>
      <c r="D551" s="79" t="s">
        <v>949</v>
      </c>
      <c r="E551" s="94" t="s">
        <v>950</v>
      </c>
      <c r="F551" s="95" t="s">
        <v>951</v>
      </c>
      <c r="G551" s="95" t="s">
        <v>168</v>
      </c>
      <c r="H551" s="97" t="s">
        <v>168</v>
      </c>
      <c r="I551" s="65"/>
      <c r="J551" s="95" t="s">
        <v>9</v>
      </c>
      <c r="K551" s="121" t="s">
        <v>9</v>
      </c>
      <c r="L551" s="129">
        <v>0.5</v>
      </c>
      <c r="M551" s="129">
        <f t="shared" si="362"/>
        <v>0.75</v>
      </c>
      <c r="N551" s="129">
        <v>1.0</v>
      </c>
      <c r="O551" s="130">
        <f t="shared" ref="O551:O553" si="384">IF(COUNT(L551:N551)=0,"",(L551+4*M551+N551)/6)</f>
        <v>0.75</v>
      </c>
      <c r="P551" s="159"/>
      <c r="Q551" s="208">
        <f t="shared" si="382"/>
        <v>0.75</v>
      </c>
      <c r="R551" s="132"/>
      <c r="S551" s="132"/>
      <c r="T551" s="65" t="s">
        <v>31</v>
      </c>
      <c r="U551" s="26"/>
      <c r="V551" s="26"/>
      <c r="W551" s="26"/>
      <c r="X551" s="26"/>
      <c r="Y551" s="26"/>
      <c r="Z551" s="26"/>
      <c r="AA551" s="26"/>
      <c r="AB551" s="26"/>
      <c r="AC551" s="26"/>
    </row>
    <row r="552" ht="33.75" customHeight="1">
      <c r="A552" s="78" t="s">
        <v>953</v>
      </c>
      <c r="B552" s="79" t="s">
        <v>25</v>
      </c>
      <c r="C552" s="79" t="s">
        <v>940</v>
      </c>
      <c r="D552" s="79" t="s">
        <v>949</v>
      </c>
      <c r="E552" s="94" t="s">
        <v>950</v>
      </c>
      <c r="F552" s="95" t="s">
        <v>951</v>
      </c>
      <c r="G552" s="95" t="s">
        <v>168</v>
      </c>
      <c r="H552" s="97" t="s">
        <v>168</v>
      </c>
      <c r="I552" s="65"/>
      <c r="J552" s="95" t="s">
        <v>9</v>
      </c>
      <c r="K552" s="121" t="s">
        <v>9</v>
      </c>
      <c r="L552" s="129">
        <v>1.0</v>
      </c>
      <c r="M552" s="129">
        <f t="shared" si="362"/>
        <v>1.25</v>
      </c>
      <c r="N552" s="128">
        <v>1.5</v>
      </c>
      <c r="O552" s="130">
        <f t="shared" si="384"/>
        <v>1.25</v>
      </c>
      <c r="P552" s="159"/>
      <c r="Q552" s="208">
        <f t="shared" si="382"/>
        <v>1.25</v>
      </c>
      <c r="R552" s="132"/>
      <c r="S552" s="132"/>
      <c r="T552" s="65" t="s">
        <v>32</v>
      </c>
      <c r="U552" s="26"/>
      <c r="V552" s="26"/>
      <c r="W552" s="26"/>
      <c r="X552" s="26"/>
      <c r="Y552" s="26"/>
      <c r="Z552" s="26"/>
      <c r="AA552" s="26"/>
      <c r="AB552" s="26"/>
      <c r="AC552" s="26"/>
    </row>
    <row r="553" ht="33.75" customHeight="1">
      <c r="A553" s="78" t="s">
        <v>954</v>
      </c>
      <c r="B553" s="79" t="s">
        <v>25</v>
      </c>
      <c r="C553" s="79" t="s">
        <v>940</v>
      </c>
      <c r="D553" s="79" t="s">
        <v>949</v>
      </c>
      <c r="E553" s="94" t="s">
        <v>950</v>
      </c>
      <c r="F553" s="95" t="s">
        <v>951</v>
      </c>
      <c r="G553" s="95" t="s">
        <v>168</v>
      </c>
      <c r="H553" s="97" t="s">
        <v>168</v>
      </c>
      <c r="I553" s="65"/>
      <c r="J553" s="95" t="s">
        <v>9</v>
      </c>
      <c r="K553" s="121" t="s">
        <v>9</v>
      </c>
      <c r="L553" s="129">
        <v>0.5</v>
      </c>
      <c r="M553" s="129">
        <f t="shared" si="362"/>
        <v>0.75</v>
      </c>
      <c r="N553" s="129">
        <v>1.0</v>
      </c>
      <c r="O553" s="130">
        <f t="shared" si="384"/>
        <v>0.75</v>
      </c>
      <c r="P553" s="159"/>
      <c r="Q553" s="208">
        <f t="shared" si="382"/>
        <v>0.75</v>
      </c>
      <c r="R553" s="132"/>
      <c r="S553" s="132"/>
      <c r="T553" s="65" t="s">
        <v>70</v>
      </c>
      <c r="U553" s="26"/>
      <c r="V553" s="26"/>
      <c r="W553" s="26"/>
      <c r="X553" s="26"/>
      <c r="Y553" s="26"/>
      <c r="Z553" s="26"/>
      <c r="AA553" s="26"/>
      <c r="AB553" s="26"/>
      <c r="AC553" s="26"/>
    </row>
    <row r="554" ht="33.75" customHeight="1">
      <c r="A554" s="116" t="s">
        <v>955</v>
      </c>
      <c r="B554" s="77" t="s">
        <v>25</v>
      </c>
      <c r="C554" s="77" t="s">
        <v>940</v>
      </c>
      <c r="D554" s="77" t="s">
        <v>956</v>
      </c>
      <c r="E554" s="117" t="s">
        <v>957</v>
      </c>
      <c r="F554" s="118" t="s">
        <v>958</v>
      </c>
      <c r="G554" s="118" t="s">
        <v>168</v>
      </c>
      <c r="H554" s="119" t="s">
        <v>168</v>
      </c>
      <c r="I554" s="54"/>
      <c r="J554" s="118" t="s">
        <v>9</v>
      </c>
      <c r="K554" s="120" t="s">
        <v>9</v>
      </c>
      <c r="L554" s="51">
        <f>IF(COUNT(L555:N557)=0,"",SUM(L555:L557))</f>
        <v>2.5</v>
      </c>
      <c r="M554" s="51">
        <f t="shared" si="362"/>
        <v>3.75</v>
      </c>
      <c r="N554" s="51">
        <f>IF(COUNT(L555:N557)=0,"",SUM(N555:N557))</f>
        <v>5</v>
      </c>
      <c r="O554" s="51">
        <f>IF(COUNT(O555:O557)=0,"",SUM(O555:O557))</f>
        <v>3.75</v>
      </c>
      <c r="P554" s="52"/>
      <c r="Q554" s="51">
        <f t="shared" si="382"/>
        <v>3.75</v>
      </c>
      <c r="R554" s="53"/>
      <c r="S554" s="53"/>
      <c r="T554" s="54" t="s">
        <v>65</v>
      </c>
      <c r="U554" s="179"/>
      <c r="V554" s="179"/>
      <c r="W554" s="179"/>
      <c r="X554" s="105"/>
      <c r="Y554" s="105"/>
      <c r="Z554" s="105"/>
      <c r="AA554" s="105"/>
      <c r="AB554" s="179"/>
      <c r="AC554" s="105"/>
    </row>
    <row r="555" ht="33.75" customHeight="1">
      <c r="A555" s="78" t="s">
        <v>959</v>
      </c>
      <c r="B555" s="79" t="s">
        <v>25</v>
      </c>
      <c r="C555" s="79" t="s">
        <v>940</v>
      </c>
      <c r="D555" s="79" t="s">
        <v>956</v>
      </c>
      <c r="E555" s="94" t="s">
        <v>957</v>
      </c>
      <c r="F555" s="95" t="s">
        <v>958</v>
      </c>
      <c r="G555" s="95" t="s">
        <v>168</v>
      </c>
      <c r="H555" s="97" t="s">
        <v>168</v>
      </c>
      <c r="I555" s="65"/>
      <c r="J555" s="95" t="s">
        <v>9</v>
      </c>
      <c r="K555" s="121" t="s">
        <v>9</v>
      </c>
      <c r="L555" s="129">
        <v>0.5</v>
      </c>
      <c r="M555" s="129">
        <f t="shared" si="362"/>
        <v>1</v>
      </c>
      <c r="N555" s="129">
        <v>1.5</v>
      </c>
      <c r="O555" s="130">
        <f t="shared" ref="O555:O557" si="385">IF(COUNT(L555:N555)=0,"",(L555+4*M555+N555)/6)</f>
        <v>1</v>
      </c>
      <c r="P555" s="159"/>
      <c r="Q555" s="208">
        <f t="shared" si="382"/>
        <v>1</v>
      </c>
      <c r="R555" s="132"/>
      <c r="S555" s="132"/>
      <c r="T555" s="65" t="s">
        <v>31</v>
      </c>
      <c r="U555" s="26"/>
      <c r="V555" s="26"/>
      <c r="W555" s="26"/>
      <c r="X555" s="26"/>
      <c r="Y555" s="26"/>
      <c r="Z555" s="26"/>
      <c r="AA555" s="26"/>
      <c r="AB555" s="26"/>
      <c r="AC555" s="26"/>
    </row>
    <row r="556" ht="33.75" customHeight="1">
      <c r="A556" s="78" t="s">
        <v>960</v>
      </c>
      <c r="B556" s="79" t="s">
        <v>25</v>
      </c>
      <c r="C556" s="79" t="s">
        <v>940</v>
      </c>
      <c r="D556" s="79" t="s">
        <v>956</v>
      </c>
      <c r="E556" s="94" t="s">
        <v>957</v>
      </c>
      <c r="F556" s="95" t="s">
        <v>958</v>
      </c>
      <c r="G556" s="95" t="s">
        <v>168</v>
      </c>
      <c r="H556" s="97" t="s">
        <v>168</v>
      </c>
      <c r="I556" s="65"/>
      <c r="J556" s="95" t="s">
        <v>9</v>
      </c>
      <c r="K556" s="121" t="s">
        <v>9</v>
      </c>
      <c r="L556" s="128">
        <v>1.5</v>
      </c>
      <c r="M556" s="129">
        <f t="shared" si="362"/>
        <v>2</v>
      </c>
      <c r="N556" s="128">
        <v>2.5</v>
      </c>
      <c r="O556" s="130">
        <f t="shared" si="385"/>
        <v>2</v>
      </c>
      <c r="P556" s="159"/>
      <c r="Q556" s="208">
        <f t="shared" si="382"/>
        <v>2</v>
      </c>
      <c r="R556" s="132"/>
      <c r="S556" s="132"/>
      <c r="T556" s="65" t="s">
        <v>32</v>
      </c>
      <c r="U556" s="26"/>
      <c r="V556" s="26"/>
      <c r="W556" s="26"/>
      <c r="X556" s="26"/>
      <c r="Y556" s="26"/>
      <c r="Z556" s="26"/>
      <c r="AA556" s="26"/>
      <c r="AB556" s="26"/>
      <c r="AC556" s="26"/>
    </row>
    <row r="557" ht="33.75" customHeight="1">
      <c r="A557" s="78" t="s">
        <v>961</v>
      </c>
      <c r="B557" s="79" t="s">
        <v>25</v>
      </c>
      <c r="C557" s="79" t="s">
        <v>940</v>
      </c>
      <c r="D557" s="79" t="s">
        <v>956</v>
      </c>
      <c r="E557" s="94" t="s">
        <v>957</v>
      </c>
      <c r="F557" s="95" t="s">
        <v>958</v>
      </c>
      <c r="G557" s="95" t="s">
        <v>168</v>
      </c>
      <c r="H557" s="65" t="s">
        <v>168</v>
      </c>
      <c r="I557" s="65"/>
      <c r="J557" s="95" t="s">
        <v>9</v>
      </c>
      <c r="K557" s="121" t="s">
        <v>9</v>
      </c>
      <c r="L557" s="129">
        <v>0.5</v>
      </c>
      <c r="M557" s="129">
        <f t="shared" si="362"/>
        <v>0.75</v>
      </c>
      <c r="N557" s="129">
        <v>1.0</v>
      </c>
      <c r="O557" s="130">
        <f t="shared" si="385"/>
        <v>0.75</v>
      </c>
      <c r="P557" s="159"/>
      <c r="Q557" s="208">
        <f t="shared" si="382"/>
        <v>0.75</v>
      </c>
      <c r="R557" s="132"/>
      <c r="S557" s="132"/>
      <c r="T557" s="65" t="s">
        <v>70</v>
      </c>
      <c r="U557" s="26"/>
      <c r="V557" s="26"/>
      <c r="W557" s="26"/>
      <c r="X557" s="26"/>
      <c r="Y557" s="26"/>
      <c r="Z557" s="26"/>
      <c r="AA557" s="26"/>
      <c r="AB557" s="26"/>
      <c r="AC557" s="26"/>
    </row>
    <row r="558" ht="33.75" customHeight="1">
      <c r="A558" s="116" t="s">
        <v>962</v>
      </c>
      <c r="B558" s="77" t="s">
        <v>25</v>
      </c>
      <c r="C558" s="77" t="s">
        <v>940</v>
      </c>
      <c r="D558" s="77" t="s">
        <v>963</v>
      </c>
      <c r="E558" s="117" t="s">
        <v>964</v>
      </c>
      <c r="F558" s="118" t="s">
        <v>958</v>
      </c>
      <c r="G558" s="118" t="s">
        <v>154</v>
      </c>
      <c r="H558" s="119" t="s">
        <v>154</v>
      </c>
      <c r="I558" s="54"/>
      <c r="J558" s="118" t="s">
        <v>9</v>
      </c>
      <c r="K558" s="120" t="s">
        <v>9</v>
      </c>
      <c r="L558" s="51">
        <f>IF(COUNT(L559:N561)=0,"",SUM(L559:L561))</f>
        <v>1.5</v>
      </c>
      <c r="M558" s="51">
        <f t="shared" si="362"/>
        <v>2.5</v>
      </c>
      <c r="N558" s="51">
        <f>IF(COUNT(L559:N561)=0,"",SUM(N559:N561))</f>
        <v>3.5</v>
      </c>
      <c r="O558" s="51">
        <f>IF(COUNT(O559:O561)=0,"",SUM(O559:O561))</f>
        <v>2.5</v>
      </c>
      <c r="P558" s="52"/>
      <c r="Q558" s="51">
        <f t="shared" si="382"/>
        <v>2.5</v>
      </c>
      <c r="R558" s="53"/>
      <c r="S558" s="53"/>
      <c r="T558" s="54" t="s">
        <v>65</v>
      </c>
      <c r="U558" s="179"/>
      <c r="V558" s="179"/>
      <c r="W558" s="179"/>
      <c r="X558" s="105"/>
      <c r="Y558" s="105"/>
      <c r="Z558" s="105"/>
      <c r="AA558" s="105"/>
      <c r="AB558" s="179"/>
      <c r="AC558" s="105"/>
    </row>
    <row r="559" ht="33.75" customHeight="1">
      <c r="A559" s="78" t="s">
        <v>965</v>
      </c>
      <c r="B559" s="79" t="s">
        <v>25</v>
      </c>
      <c r="C559" s="79" t="s">
        <v>940</v>
      </c>
      <c r="D559" s="79" t="s">
        <v>963</v>
      </c>
      <c r="E559" s="94" t="s">
        <v>964</v>
      </c>
      <c r="F559" s="95" t="s">
        <v>958</v>
      </c>
      <c r="G559" s="95" t="s">
        <v>154</v>
      </c>
      <c r="H559" s="97" t="s">
        <v>154</v>
      </c>
      <c r="I559" s="65"/>
      <c r="J559" s="95" t="s">
        <v>9</v>
      </c>
      <c r="K559" s="121" t="s">
        <v>9</v>
      </c>
      <c r="L559" s="129">
        <v>0.5</v>
      </c>
      <c r="M559" s="129">
        <f t="shared" si="362"/>
        <v>1</v>
      </c>
      <c r="N559" s="129">
        <v>1.5</v>
      </c>
      <c r="O559" s="130">
        <f t="shared" ref="O559:O561" si="386">IF(COUNT(L559:N559)=0,"",(L559+4*M559+N559)/6)</f>
        <v>1</v>
      </c>
      <c r="P559" s="159"/>
      <c r="Q559" s="208">
        <f t="shared" si="382"/>
        <v>1</v>
      </c>
      <c r="R559" s="132"/>
      <c r="S559" s="132"/>
      <c r="T559" s="65" t="s">
        <v>31</v>
      </c>
      <c r="U559" s="26"/>
      <c r="V559" s="26"/>
      <c r="W559" s="26"/>
      <c r="X559" s="26"/>
      <c r="Y559" s="26"/>
      <c r="Z559" s="26"/>
      <c r="AA559" s="26"/>
      <c r="AB559" s="26"/>
      <c r="AC559" s="26"/>
    </row>
    <row r="560" ht="33.75" customHeight="1">
      <c r="A560" s="78" t="s">
        <v>966</v>
      </c>
      <c r="B560" s="79" t="s">
        <v>25</v>
      </c>
      <c r="C560" s="79" t="s">
        <v>940</v>
      </c>
      <c r="D560" s="79" t="s">
        <v>963</v>
      </c>
      <c r="E560" s="94" t="s">
        <v>964</v>
      </c>
      <c r="F560" s="95" t="s">
        <v>958</v>
      </c>
      <c r="G560" s="95" t="s">
        <v>154</v>
      </c>
      <c r="H560" s="97" t="s">
        <v>154</v>
      </c>
      <c r="I560" s="65"/>
      <c r="J560" s="95" t="s">
        <v>9</v>
      </c>
      <c r="K560" s="121" t="s">
        <v>9</v>
      </c>
      <c r="L560" s="129">
        <v>0.5</v>
      </c>
      <c r="M560" s="129">
        <f t="shared" si="362"/>
        <v>0.75</v>
      </c>
      <c r="N560" s="129">
        <v>1.0</v>
      </c>
      <c r="O560" s="130">
        <f t="shared" si="386"/>
        <v>0.75</v>
      </c>
      <c r="P560" s="159"/>
      <c r="Q560" s="208">
        <f t="shared" si="382"/>
        <v>0.75</v>
      </c>
      <c r="R560" s="132"/>
      <c r="S560" s="132"/>
      <c r="T560" s="65" t="s">
        <v>32</v>
      </c>
      <c r="U560" s="26"/>
      <c r="V560" s="26"/>
      <c r="W560" s="26"/>
      <c r="X560" s="26"/>
      <c r="Y560" s="26"/>
      <c r="Z560" s="26"/>
      <c r="AA560" s="26"/>
      <c r="AB560" s="26"/>
      <c r="AC560" s="26"/>
    </row>
    <row r="561" ht="33.75" customHeight="1">
      <c r="A561" s="78" t="s">
        <v>967</v>
      </c>
      <c r="B561" s="79" t="s">
        <v>25</v>
      </c>
      <c r="C561" s="79" t="s">
        <v>940</v>
      </c>
      <c r="D561" s="79" t="s">
        <v>963</v>
      </c>
      <c r="E561" s="94" t="s">
        <v>964</v>
      </c>
      <c r="F561" s="95" t="s">
        <v>958</v>
      </c>
      <c r="G561" s="95" t="s">
        <v>154</v>
      </c>
      <c r="H561" s="97" t="s">
        <v>154</v>
      </c>
      <c r="I561" s="65"/>
      <c r="J561" s="95" t="s">
        <v>9</v>
      </c>
      <c r="K561" s="121" t="s">
        <v>9</v>
      </c>
      <c r="L561" s="129">
        <v>0.5</v>
      </c>
      <c r="M561" s="129">
        <f t="shared" si="362"/>
        <v>0.75</v>
      </c>
      <c r="N561" s="129">
        <v>1.0</v>
      </c>
      <c r="O561" s="130">
        <f t="shared" si="386"/>
        <v>0.75</v>
      </c>
      <c r="P561" s="159"/>
      <c r="Q561" s="208">
        <f t="shared" si="382"/>
        <v>0.75</v>
      </c>
      <c r="R561" s="132"/>
      <c r="S561" s="132"/>
      <c r="T561" s="65" t="s">
        <v>70</v>
      </c>
      <c r="U561" s="26"/>
      <c r="V561" s="26"/>
      <c r="W561" s="26"/>
      <c r="X561" s="26"/>
      <c r="Y561" s="26"/>
      <c r="Z561" s="26"/>
      <c r="AA561" s="26"/>
      <c r="AB561" s="26"/>
      <c r="AC561" s="26"/>
    </row>
    <row r="562" ht="33.75" customHeight="1">
      <c r="A562" s="116" t="s">
        <v>968</v>
      </c>
      <c r="B562" s="77" t="s">
        <v>25</v>
      </c>
      <c r="C562" s="77" t="s">
        <v>940</v>
      </c>
      <c r="D562" s="77" t="s">
        <v>969</v>
      </c>
      <c r="E562" s="117" t="s">
        <v>970</v>
      </c>
      <c r="F562" s="118" t="s">
        <v>923</v>
      </c>
      <c r="G562" s="118" t="s">
        <v>168</v>
      </c>
      <c r="H562" s="119" t="s">
        <v>168</v>
      </c>
      <c r="I562" s="119"/>
      <c r="J562" s="118" t="s">
        <v>9</v>
      </c>
      <c r="K562" s="120" t="s">
        <v>9</v>
      </c>
      <c r="L562" s="160">
        <f>IF(COUNT(L563:N565)=0,"",SUM(L563:L565))</f>
        <v>1.75</v>
      </c>
      <c r="M562" s="51">
        <f t="shared" si="362"/>
        <v>2.875</v>
      </c>
      <c r="N562" s="160">
        <f>IF(COUNT(L563:N565)=0,"",SUM(N563:N565))</f>
        <v>4</v>
      </c>
      <c r="O562" s="160">
        <f>IF(COUNT(O563:O565)=0,"",SUM(O563:O565))</f>
        <v>2.875</v>
      </c>
      <c r="P562" s="161"/>
      <c r="Q562" s="162">
        <f t="shared" si="382"/>
        <v>2.875</v>
      </c>
      <c r="R562" s="163"/>
      <c r="S562" s="163"/>
      <c r="T562" s="119" t="s">
        <v>65</v>
      </c>
      <c r="U562" s="179"/>
      <c r="V562" s="179"/>
      <c r="W562" s="179"/>
      <c r="X562" s="105"/>
      <c r="Y562" s="105"/>
      <c r="Z562" s="105"/>
      <c r="AA562" s="105"/>
      <c r="AB562" s="179"/>
      <c r="AC562" s="105"/>
    </row>
    <row r="563" ht="33.75" customHeight="1">
      <c r="A563" s="78" t="s">
        <v>971</v>
      </c>
      <c r="B563" s="79" t="s">
        <v>25</v>
      </c>
      <c r="C563" s="79" t="s">
        <v>940</v>
      </c>
      <c r="D563" s="79" t="s">
        <v>969</v>
      </c>
      <c r="E563" s="94" t="s">
        <v>970</v>
      </c>
      <c r="F563" s="95" t="s">
        <v>923</v>
      </c>
      <c r="G563" s="95" t="s">
        <v>168</v>
      </c>
      <c r="H563" s="65" t="s">
        <v>168</v>
      </c>
      <c r="I563" s="65"/>
      <c r="J563" s="95" t="s">
        <v>9</v>
      </c>
      <c r="K563" s="121" t="s">
        <v>9</v>
      </c>
      <c r="L563" s="129">
        <v>0.25</v>
      </c>
      <c r="M563" s="129">
        <f t="shared" si="362"/>
        <v>0.375</v>
      </c>
      <c r="N563" s="129">
        <v>0.5</v>
      </c>
      <c r="O563" s="130">
        <f t="shared" ref="O563:O565" si="387">IF(COUNT(L563:N563)=0,"",(L563+4*M563+N563)/6)</f>
        <v>0.375</v>
      </c>
      <c r="P563" s="159"/>
      <c r="Q563" s="208">
        <f t="shared" si="382"/>
        <v>0.375</v>
      </c>
      <c r="R563" s="132"/>
      <c r="S563" s="132"/>
      <c r="T563" s="65" t="s">
        <v>31</v>
      </c>
      <c r="U563" s="26"/>
      <c r="V563" s="26"/>
      <c r="W563" s="26"/>
      <c r="X563" s="26"/>
      <c r="Y563" s="26"/>
      <c r="Z563" s="26"/>
      <c r="AA563" s="26"/>
      <c r="AB563" s="26"/>
      <c r="AC563" s="26"/>
    </row>
    <row r="564" ht="33.75" customHeight="1">
      <c r="A564" s="78" t="s">
        <v>972</v>
      </c>
      <c r="B564" s="79" t="s">
        <v>25</v>
      </c>
      <c r="C564" s="79" t="s">
        <v>940</v>
      </c>
      <c r="D564" s="79" t="s">
        <v>969</v>
      </c>
      <c r="E564" s="94" t="s">
        <v>970</v>
      </c>
      <c r="F564" s="95" t="s">
        <v>923</v>
      </c>
      <c r="G564" s="95" t="s">
        <v>168</v>
      </c>
      <c r="H564" s="97" t="s">
        <v>168</v>
      </c>
      <c r="I564" s="65"/>
      <c r="J564" s="95" t="s">
        <v>9</v>
      </c>
      <c r="K564" s="121" t="s">
        <v>9</v>
      </c>
      <c r="L564" s="129">
        <v>1.0</v>
      </c>
      <c r="M564" s="129">
        <f t="shared" si="362"/>
        <v>1.5</v>
      </c>
      <c r="N564" s="129">
        <v>2.0</v>
      </c>
      <c r="O564" s="130">
        <f t="shared" si="387"/>
        <v>1.5</v>
      </c>
      <c r="P564" s="159"/>
      <c r="Q564" s="208">
        <f t="shared" si="382"/>
        <v>1.5</v>
      </c>
      <c r="R564" s="132"/>
      <c r="S564" s="132"/>
      <c r="T564" s="65" t="s">
        <v>32</v>
      </c>
      <c r="U564" s="26"/>
      <c r="V564" s="26"/>
      <c r="W564" s="26"/>
      <c r="X564" s="26"/>
      <c r="Y564" s="26"/>
      <c r="Z564" s="26"/>
      <c r="AA564" s="26"/>
      <c r="AB564" s="26"/>
      <c r="AC564" s="26"/>
    </row>
    <row r="565" ht="33.75" customHeight="1">
      <c r="A565" s="78" t="s">
        <v>973</v>
      </c>
      <c r="B565" s="79" t="s">
        <v>25</v>
      </c>
      <c r="C565" s="79" t="s">
        <v>940</v>
      </c>
      <c r="D565" s="79" t="s">
        <v>969</v>
      </c>
      <c r="E565" s="94" t="s">
        <v>970</v>
      </c>
      <c r="F565" s="95" t="s">
        <v>923</v>
      </c>
      <c r="G565" s="95" t="s">
        <v>168</v>
      </c>
      <c r="H565" s="97" t="s">
        <v>168</v>
      </c>
      <c r="I565" s="65"/>
      <c r="J565" s="95" t="s">
        <v>9</v>
      </c>
      <c r="K565" s="121" t="s">
        <v>9</v>
      </c>
      <c r="L565" s="129">
        <v>0.5</v>
      </c>
      <c r="M565" s="129">
        <f t="shared" si="362"/>
        <v>1</v>
      </c>
      <c r="N565" s="129">
        <v>1.5</v>
      </c>
      <c r="O565" s="130">
        <f t="shared" si="387"/>
        <v>1</v>
      </c>
      <c r="P565" s="159"/>
      <c r="Q565" s="208">
        <f t="shared" si="382"/>
        <v>1</v>
      </c>
      <c r="R565" s="132"/>
      <c r="S565" s="132"/>
      <c r="T565" s="65" t="s">
        <v>70</v>
      </c>
      <c r="U565" s="26"/>
      <c r="V565" s="26"/>
      <c r="W565" s="26"/>
      <c r="X565" s="26"/>
      <c r="Y565" s="26"/>
      <c r="Z565" s="26"/>
      <c r="AA565" s="26"/>
      <c r="AB565" s="26"/>
      <c r="AC565" s="26"/>
    </row>
    <row r="566" ht="33.75" customHeight="1">
      <c r="A566" s="134" t="s">
        <v>974</v>
      </c>
      <c r="B566" s="135" t="s">
        <v>25</v>
      </c>
      <c r="C566" s="135" t="s">
        <v>940</v>
      </c>
      <c r="D566" s="135" t="s">
        <v>975</v>
      </c>
      <c r="E566" s="136" t="s">
        <v>976</v>
      </c>
      <c r="F566" s="137" t="s">
        <v>942</v>
      </c>
      <c r="G566" s="137" t="s">
        <v>168</v>
      </c>
      <c r="H566" s="100" t="s">
        <v>168</v>
      </c>
      <c r="I566" s="98"/>
      <c r="J566" s="137" t="s">
        <v>12</v>
      </c>
      <c r="K566" s="138" t="s">
        <v>12</v>
      </c>
      <c r="L566" s="139">
        <f>IF(COUNT(L567:N569)=0,"",SUM(L567:L569))</f>
        <v>0</v>
      </c>
      <c r="M566" s="139">
        <f t="shared" si="362"/>
        <v>0</v>
      </c>
      <c r="N566" s="139">
        <f>IF(COUNT(L567:N569)=0,"",SUM(N567:N569))</f>
        <v>0</v>
      </c>
      <c r="O566" s="139">
        <f>IF(COUNT(O567:O569)=0,"",SUM(O567:O569))</f>
        <v>0</v>
      </c>
      <c r="P566" s="140"/>
      <c r="Q566" s="139">
        <f t="shared" si="382"/>
        <v>0</v>
      </c>
      <c r="R566" s="141"/>
      <c r="S566" s="141"/>
      <c r="T566" s="98" t="s">
        <v>65</v>
      </c>
      <c r="U566" s="26"/>
      <c r="V566" s="26"/>
      <c r="W566" s="26"/>
      <c r="X566" s="26"/>
      <c r="Y566" s="26"/>
      <c r="Z566" s="26"/>
      <c r="AA566" s="26"/>
      <c r="AB566" s="26"/>
      <c r="AC566" s="26"/>
    </row>
    <row r="567" ht="33.75" customHeight="1">
      <c r="A567" s="142" t="s">
        <v>977</v>
      </c>
      <c r="B567" s="143" t="s">
        <v>25</v>
      </c>
      <c r="C567" s="143" t="s">
        <v>940</v>
      </c>
      <c r="D567" s="143" t="s">
        <v>975</v>
      </c>
      <c r="E567" s="144" t="s">
        <v>976</v>
      </c>
      <c r="F567" s="145" t="s">
        <v>942</v>
      </c>
      <c r="G567" s="145" t="s">
        <v>168</v>
      </c>
      <c r="H567" s="108" t="s">
        <v>168</v>
      </c>
      <c r="I567" s="106"/>
      <c r="J567" s="145" t="s">
        <v>12</v>
      </c>
      <c r="K567" s="146" t="s">
        <v>12</v>
      </c>
      <c r="L567" s="109"/>
      <c r="M567" s="109">
        <f t="shared" si="362"/>
        <v>0</v>
      </c>
      <c r="N567" s="109"/>
      <c r="O567" s="147">
        <f t="shared" ref="O567:O569" si="388">IF(COUNT(L567:N567)=0,"",(L567+4*M567+N567)/6)</f>
        <v>0</v>
      </c>
      <c r="P567" s="110"/>
      <c r="Q567" s="148">
        <f t="shared" si="382"/>
        <v>0</v>
      </c>
      <c r="R567" s="111"/>
      <c r="S567" s="111"/>
      <c r="T567" s="106" t="s">
        <v>31</v>
      </c>
      <c r="U567" s="26"/>
      <c r="V567" s="26"/>
      <c r="W567" s="26"/>
      <c r="X567" s="26"/>
      <c r="Y567" s="26"/>
      <c r="Z567" s="26"/>
      <c r="AA567" s="26"/>
      <c r="AB567" s="26"/>
      <c r="AC567" s="26"/>
    </row>
    <row r="568" ht="33.75" customHeight="1">
      <c r="A568" s="142" t="s">
        <v>978</v>
      </c>
      <c r="B568" s="143" t="s">
        <v>25</v>
      </c>
      <c r="C568" s="143" t="s">
        <v>940</v>
      </c>
      <c r="D568" s="143" t="s">
        <v>975</v>
      </c>
      <c r="E568" s="144" t="s">
        <v>976</v>
      </c>
      <c r="F568" s="145" t="s">
        <v>942</v>
      </c>
      <c r="G568" s="145" t="s">
        <v>168</v>
      </c>
      <c r="H568" s="106" t="s">
        <v>168</v>
      </c>
      <c r="I568" s="106"/>
      <c r="J568" s="145" t="s">
        <v>12</v>
      </c>
      <c r="K568" s="146" t="s">
        <v>12</v>
      </c>
      <c r="L568" s="109"/>
      <c r="M568" s="109">
        <f t="shared" si="362"/>
        <v>0</v>
      </c>
      <c r="N568" s="109"/>
      <c r="O568" s="147">
        <f t="shared" si="388"/>
        <v>0</v>
      </c>
      <c r="P568" s="110"/>
      <c r="Q568" s="148">
        <f t="shared" si="382"/>
        <v>0</v>
      </c>
      <c r="R568" s="111"/>
      <c r="S568" s="111"/>
      <c r="T568" s="106" t="s">
        <v>32</v>
      </c>
      <c r="U568" s="26"/>
      <c r="V568" s="26"/>
      <c r="W568" s="26"/>
      <c r="X568" s="26"/>
      <c r="Y568" s="26"/>
      <c r="Z568" s="26"/>
      <c r="AA568" s="26"/>
      <c r="AB568" s="26"/>
      <c r="AC568" s="26"/>
    </row>
    <row r="569" ht="33.75" customHeight="1">
      <c r="A569" s="142" t="s">
        <v>979</v>
      </c>
      <c r="B569" s="143" t="s">
        <v>25</v>
      </c>
      <c r="C569" s="143" t="s">
        <v>940</v>
      </c>
      <c r="D569" s="143" t="s">
        <v>975</v>
      </c>
      <c r="E569" s="144" t="s">
        <v>976</v>
      </c>
      <c r="F569" s="145" t="s">
        <v>942</v>
      </c>
      <c r="G569" s="145" t="s">
        <v>168</v>
      </c>
      <c r="H569" s="106" t="s">
        <v>168</v>
      </c>
      <c r="I569" s="106"/>
      <c r="J569" s="145" t="s">
        <v>12</v>
      </c>
      <c r="K569" s="146" t="s">
        <v>12</v>
      </c>
      <c r="L569" s="109"/>
      <c r="M569" s="109">
        <f t="shared" si="362"/>
        <v>0</v>
      </c>
      <c r="N569" s="109"/>
      <c r="O569" s="147">
        <f t="shared" si="388"/>
        <v>0</v>
      </c>
      <c r="P569" s="110"/>
      <c r="Q569" s="148">
        <f t="shared" si="382"/>
        <v>0</v>
      </c>
      <c r="R569" s="111"/>
      <c r="S569" s="111"/>
      <c r="T569" s="106" t="s">
        <v>70</v>
      </c>
      <c r="U569" s="26"/>
      <c r="V569" s="26"/>
      <c r="W569" s="26"/>
      <c r="X569" s="26"/>
      <c r="Y569" s="26"/>
      <c r="Z569" s="26"/>
      <c r="AA569" s="26"/>
      <c r="AB569" s="26"/>
      <c r="AC569" s="26"/>
    </row>
    <row r="570" ht="33.75" customHeight="1">
      <c r="A570" s="134" t="s">
        <v>980</v>
      </c>
      <c r="B570" s="135" t="s">
        <v>25</v>
      </c>
      <c r="C570" s="135" t="s">
        <v>940</v>
      </c>
      <c r="D570" s="135" t="s">
        <v>981</v>
      </c>
      <c r="E570" s="136" t="s">
        <v>982</v>
      </c>
      <c r="F570" s="137" t="s">
        <v>983</v>
      </c>
      <c r="G570" s="137" t="s">
        <v>200</v>
      </c>
      <c r="H570" s="100" t="s">
        <v>200</v>
      </c>
      <c r="I570" s="98"/>
      <c r="J570" s="137" t="s">
        <v>14</v>
      </c>
      <c r="K570" s="138" t="s">
        <v>14</v>
      </c>
      <c r="L570" s="139">
        <f>IF(COUNT(L571:N573)=0,"",SUM(L571:L573))</f>
        <v>0</v>
      </c>
      <c r="M570" s="139">
        <f t="shared" si="362"/>
        <v>0</v>
      </c>
      <c r="N570" s="139">
        <f>IF(COUNT(L571:N573)=0,"",SUM(N571:N573))</f>
        <v>0</v>
      </c>
      <c r="O570" s="139">
        <f>IF(COUNT(O571:O573)=0,"",SUM(O571:O573))</f>
        <v>0</v>
      </c>
      <c r="P570" s="140"/>
      <c r="Q570" s="139">
        <f t="shared" si="382"/>
        <v>0</v>
      </c>
      <c r="R570" s="141"/>
      <c r="S570" s="141"/>
      <c r="T570" s="98" t="s">
        <v>65</v>
      </c>
      <c r="U570" s="26"/>
      <c r="V570" s="26"/>
      <c r="W570" s="26"/>
      <c r="X570" s="26"/>
      <c r="Y570" s="26"/>
      <c r="Z570" s="26"/>
      <c r="AA570" s="26"/>
      <c r="AB570" s="26"/>
      <c r="AC570" s="26"/>
    </row>
    <row r="571" ht="33.75" customHeight="1">
      <c r="A571" s="142" t="s">
        <v>984</v>
      </c>
      <c r="B571" s="143" t="s">
        <v>25</v>
      </c>
      <c r="C571" s="143" t="s">
        <v>940</v>
      </c>
      <c r="D571" s="143" t="s">
        <v>981</v>
      </c>
      <c r="E571" s="144" t="s">
        <v>982</v>
      </c>
      <c r="F571" s="145" t="s">
        <v>983</v>
      </c>
      <c r="G571" s="145" t="s">
        <v>200</v>
      </c>
      <c r="H571" s="108" t="s">
        <v>200</v>
      </c>
      <c r="I571" s="106"/>
      <c r="J571" s="145" t="s">
        <v>14</v>
      </c>
      <c r="K571" s="146" t="s">
        <v>14</v>
      </c>
      <c r="L571" s="109"/>
      <c r="M571" s="109">
        <f t="shared" si="362"/>
        <v>0</v>
      </c>
      <c r="N571" s="109"/>
      <c r="O571" s="147">
        <f t="shared" ref="O571:O573" si="389">IF(COUNT(L571:N571)=0,"",(L571+4*M571+N571)/6)</f>
        <v>0</v>
      </c>
      <c r="P571" s="110"/>
      <c r="Q571" s="148">
        <f t="shared" si="382"/>
        <v>0</v>
      </c>
      <c r="R571" s="111"/>
      <c r="S571" s="111"/>
      <c r="T571" s="106" t="s">
        <v>31</v>
      </c>
      <c r="U571" s="26"/>
      <c r="V571" s="26"/>
      <c r="W571" s="26"/>
      <c r="X571" s="26"/>
      <c r="Y571" s="26"/>
      <c r="Z571" s="26"/>
      <c r="AA571" s="26"/>
      <c r="AB571" s="26"/>
      <c r="AC571" s="26"/>
    </row>
    <row r="572" ht="33.75" customHeight="1">
      <c r="A572" s="142" t="s">
        <v>985</v>
      </c>
      <c r="B572" s="143" t="s">
        <v>25</v>
      </c>
      <c r="C572" s="143" t="s">
        <v>940</v>
      </c>
      <c r="D572" s="143" t="s">
        <v>981</v>
      </c>
      <c r="E572" s="144" t="s">
        <v>982</v>
      </c>
      <c r="F572" s="145" t="s">
        <v>983</v>
      </c>
      <c r="G572" s="145" t="s">
        <v>200</v>
      </c>
      <c r="H572" s="106" t="s">
        <v>200</v>
      </c>
      <c r="I572" s="106"/>
      <c r="J572" s="145" t="s">
        <v>14</v>
      </c>
      <c r="K572" s="146" t="s">
        <v>14</v>
      </c>
      <c r="L572" s="109"/>
      <c r="M572" s="109">
        <f t="shared" si="362"/>
        <v>0</v>
      </c>
      <c r="N572" s="109"/>
      <c r="O572" s="147">
        <f t="shared" si="389"/>
        <v>0</v>
      </c>
      <c r="P572" s="110"/>
      <c r="Q572" s="148">
        <f t="shared" si="382"/>
        <v>0</v>
      </c>
      <c r="R572" s="111"/>
      <c r="S572" s="111"/>
      <c r="T572" s="106" t="s">
        <v>32</v>
      </c>
      <c r="U572" s="26"/>
      <c r="V572" s="26"/>
      <c r="W572" s="26"/>
      <c r="X572" s="26"/>
      <c r="Y572" s="26"/>
      <c r="Z572" s="26"/>
      <c r="AA572" s="26"/>
      <c r="AB572" s="26"/>
      <c r="AC572" s="26"/>
    </row>
    <row r="573" ht="33.75" customHeight="1">
      <c r="A573" s="142" t="s">
        <v>986</v>
      </c>
      <c r="B573" s="143" t="s">
        <v>25</v>
      </c>
      <c r="C573" s="143" t="s">
        <v>940</v>
      </c>
      <c r="D573" s="143" t="s">
        <v>981</v>
      </c>
      <c r="E573" s="144" t="s">
        <v>982</v>
      </c>
      <c r="F573" s="145" t="s">
        <v>983</v>
      </c>
      <c r="G573" s="145" t="s">
        <v>200</v>
      </c>
      <c r="H573" s="106" t="s">
        <v>200</v>
      </c>
      <c r="I573" s="106"/>
      <c r="J573" s="145" t="s">
        <v>14</v>
      </c>
      <c r="K573" s="146" t="s">
        <v>14</v>
      </c>
      <c r="L573" s="109"/>
      <c r="M573" s="109">
        <f t="shared" si="362"/>
        <v>0</v>
      </c>
      <c r="N573" s="109"/>
      <c r="O573" s="147">
        <f t="shared" si="389"/>
        <v>0</v>
      </c>
      <c r="P573" s="110"/>
      <c r="Q573" s="148">
        <f t="shared" si="382"/>
        <v>0</v>
      </c>
      <c r="R573" s="111"/>
      <c r="S573" s="111"/>
      <c r="T573" s="106" t="s">
        <v>70</v>
      </c>
      <c r="U573" s="26"/>
      <c r="V573" s="26"/>
      <c r="W573" s="26"/>
      <c r="X573" s="26"/>
      <c r="Y573" s="26"/>
      <c r="Z573" s="26"/>
      <c r="AA573" s="26"/>
      <c r="AB573" s="26"/>
      <c r="AC573" s="26"/>
    </row>
    <row r="574" ht="33.75" customHeight="1">
      <c r="A574" s="112" t="s">
        <v>987</v>
      </c>
      <c r="B574" s="38" t="s">
        <v>25</v>
      </c>
      <c r="C574" s="38" t="s">
        <v>988</v>
      </c>
      <c r="D574" s="38" t="s">
        <v>988</v>
      </c>
      <c r="E574" s="113" t="s">
        <v>989</v>
      </c>
      <c r="F574" s="114"/>
      <c r="G574" s="114"/>
      <c r="H574" s="123"/>
      <c r="I574" s="45"/>
      <c r="J574" s="114"/>
      <c r="K574" s="115"/>
      <c r="L574" s="42">
        <f>IF(COUNT(L575,L579)=0,"",SUM(L575,L579))</f>
        <v>3</v>
      </c>
      <c r="M574" s="42">
        <f t="shared" si="362"/>
        <v>4.125</v>
      </c>
      <c r="N574" s="42">
        <f t="shared" ref="N574:O574" si="390">IF(COUNT(N575,N579)=0,"",SUM(N575,N579))</f>
        <v>5.25</v>
      </c>
      <c r="O574" s="42">
        <f t="shared" si="390"/>
        <v>4.125</v>
      </c>
      <c r="P574" s="43"/>
      <c r="Q574" s="42">
        <f>IF(COUNT(Q575,Q579)=0,"",SUM(Q575,Q579))</f>
        <v>4.125</v>
      </c>
      <c r="R574" s="44"/>
      <c r="S574" s="44"/>
      <c r="T574" s="45" t="s">
        <v>62</v>
      </c>
      <c r="U574" s="26"/>
      <c r="V574" s="26"/>
      <c r="W574" s="26"/>
      <c r="X574" s="46">
        <f t="shared" ref="X574:AA574" si="391">L574</f>
        <v>3</v>
      </c>
      <c r="Y574" s="46">
        <f t="shared" si="391"/>
        <v>4.125</v>
      </c>
      <c r="Z574" s="46">
        <f t="shared" si="391"/>
        <v>5.25</v>
      </c>
      <c r="AA574" s="46">
        <f t="shared" si="391"/>
        <v>4.125</v>
      </c>
      <c r="AB574" s="26"/>
      <c r="AC574" s="46">
        <f>Q574</f>
        <v>4.125</v>
      </c>
    </row>
    <row r="575" ht="33.75" customHeight="1">
      <c r="A575" s="116" t="s">
        <v>990</v>
      </c>
      <c r="B575" s="77" t="s">
        <v>25</v>
      </c>
      <c r="C575" s="77" t="s">
        <v>988</v>
      </c>
      <c r="D575" s="77" t="s">
        <v>991</v>
      </c>
      <c r="E575" s="117" t="s">
        <v>992</v>
      </c>
      <c r="F575" s="118" t="s">
        <v>867</v>
      </c>
      <c r="G575" s="118" t="s">
        <v>168</v>
      </c>
      <c r="H575" s="119" t="s">
        <v>168</v>
      </c>
      <c r="I575" s="54"/>
      <c r="J575" s="118" t="s">
        <v>9</v>
      </c>
      <c r="K575" s="120" t="s">
        <v>9</v>
      </c>
      <c r="L575" s="51">
        <f>IF(COUNT(L576:N578)=0,"",SUM(L576:L578))</f>
        <v>2</v>
      </c>
      <c r="M575" s="51">
        <f t="shared" si="362"/>
        <v>2.875</v>
      </c>
      <c r="N575" s="51">
        <f>IF(COUNT(L576:N578)=0,"",SUM(N576:N578))</f>
        <v>3.75</v>
      </c>
      <c r="O575" s="51">
        <f>IF(COUNT(O576:O578)=0,"",SUM(O576:O578))</f>
        <v>2.875</v>
      </c>
      <c r="P575" s="52"/>
      <c r="Q575" s="51">
        <f t="shared" ref="Q575:Q590" si="392">IF(O575="","",IF(P575="",O575,O575*(1+P575)))</f>
        <v>2.875</v>
      </c>
      <c r="R575" s="53"/>
      <c r="S575" s="53"/>
      <c r="T575" s="54" t="s">
        <v>65</v>
      </c>
      <c r="U575" s="179"/>
      <c r="V575" s="179"/>
      <c r="W575" s="179"/>
      <c r="X575" s="105"/>
      <c r="Y575" s="105"/>
      <c r="Z575" s="105"/>
      <c r="AA575" s="105"/>
      <c r="AB575" s="179"/>
      <c r="AC575" s="105"/>
    </row>
    <row r="576" ht="33.75" customHeight="1">
      <c r="A576" s="78" t="s">
        <v>993</v>
      </c>
      <c r="B576" s="79" t="s">
        <v>25</v>
      </c>
      <c r="C576" s="79" t="s">
        <v>988</v>
      </c>
      <c r="D576" s="79" t="s">
        <v>991</v>
      </c>
      <c r="E576" s="94" t="s">
        <v>992</v>
      </c>
      <c r="F576" s="95" t="s">
        <v>867</v>
      </c>
      <c r="G576" s="95" t="s">
        <v>168</v>
      </c>
      <c r="H576" s="65" t="s">
        <v>168</v>
      </c>
      <c r="I576" s="65"/>
      <c r="J576" s="95" t="s">
        <v>9</v>
      </c>
      <c r="K576" s="121" t="s">
        <v>9</v>
      </c>
      <c r="L576" s="129">
        <v>0.5</v>
      </c>
      <c r="M576" s="129">
        <f t="shared" si="362"/>
        <v>0.75</v>
      </c>
      <c r="N576" s="129">
        <v>1.0</v>
      </c>
      <c r="O576" s="130">
        <f t="shared" ref="O576:O578" si="393">IF(COUNT(L576:N576)=0,"",(L576+4*M576+N576)/6)</f>
        <v>0.75</v>
      </c>
      <c r="P576" s="159"/>
      <c r="Q576" s="208">
        <f t="shared" si="392"/>
        <v>0.75</v>
      </c>
      <c r="R576" s="132"/>
      <c r="S576" s="132"/>
      <c r="T576" s="65" t="s">
        <v>31</v>
      </c>
      <c r="U576" s="26"/>
      <c r="V576" s="26"/>
      <c r="W576" s="26"/>
      <c r="X576" s="26"/>
      <c r="Y576" s="26"/>
      <c r="Z576" s="26"/>
      <c r="AA576" s="26"/>
      <c r="AB576" s="26"/>
      <c r="AC576" s="26"/>
    </row>
    <row r="577" ht="33.75" customHeight="1">
      <c r="A577" s="78" t="s">
        <v>994</v>
      </c>
      <c r="B577" s="79" t="s">
        <v>25</v>
      </c>
      <c r="C577" s="79" t="s">
        <v>988</v>
      </c>
      <c r="D577" s="79" t="s">
        <v>991</v>
      </c>
      <c r="E577" s="94" t="s">
        <v>992</v>
      </c>
      <c r="F577" s="95" t="s">
        <v>867</v>
      </c>
      <c r="G577" s="95" t="s">
        <v>168</v>
      </c>
      <c r="H577" s="65" t="s">
        <v>168</v>
      </c>
      <c r="I577" s="65"/>
      <c r="J577" s="95" t="s">
        <v>9</v>
      </c>
      <c r="K577" s="121" t="s">
        <v>9</v>
      </c>
      <c r="L577" s="129">
        <v>1.0</v>
      </c>
      <c r="M577" s="129">
        <f t="shared" si="362"/>
        <v>1.5</v>
      </c>
      <c r="N577" s="129">
        <v>2.0</v>
      </c>
      <c r="O577" s="130">
        <f t="shared" si="393"/>
        <v>1.5</v>
      </c>
      <c r="P577" s="159"/>
      <c r="Q577" s="208">
        <f t="shared" si="392"/>
        <v>1.5</v>
      </c>
      <c r="R577" s="132"/>
      <c r="S577" s="132"/>
      <c r="T577" s="65" t="s">
        <v>32</v>
      </c>
      <c r="U577" s="26"/>
      <c r="V577" s="26"/>
      <c r="W577" s="26"/>
      <c r="X577" s="26"/>
      <c r="Y577" s="26"/>
      <c r="Z577" s="26"/>
      <c r="AA577" s="26"/>
      <c r="AB577" s="26"/>
      <c r="AC577" s="26"/>
    </row>
    <row r="578" ht="33.75" customHeight="1">
      <c r="A578" s="78" t="s">
        <v>995</v>
      </c>
      <c r="B578" s="79" t="s">
        <v>25</v>
      </c>
      <c r="C578" s="79" t="s">
        <v>988</v>
      </c>
      <c r="D578" s="79" t="s">
        <v>991</v>
      </c>
      <c r="E578" s="94" t="s">
        <v>992</v>
      </c>
      <c r="F578" s="95" t="s">
        <v>867</v>
      </c>
      <c r="G578" s="95" t="s">
        <v>168</v>
      </c>
      <c r="H578" s="97" t="s">
        <v>168</v>
      </c>
      <c r="I578" s="65"/>
      <c r="J578" s="95" t="s">
        <v>9</v>
      </c>
      <c r="K578" s="121" t="s">
        <v>9</v>
      </c>
      <c r="L578" s="129">
        <v>0.5</v>
      </c>
      <c r="M578" s="129">
        <f t="shared" si="362"/>
        <v>0.625</v>
      </c>
      <c r="N578" s="129">
        <v>0.75</v>
      </c>
      <c r="O578" s="130">
        <f t="shared" si="393"/>
        <v>0.625</v>
      </c>
      <c r="P578" s="159"/>
      <c r="Q578" s="208">
        <f t="shared" si="392"/>
        <v>0.625</v>
      </c>
      <c r="R578" s="132"/>
      <c r="S578" s="132"/>
      <c r="T578" s="65" t="s">
        <v>70</v>
      </c>
      <c r="U578" s="26"/>
      <c r="V578" s="26"/>
      <c r="W578" s="26"/>
      <c r="X578" s="26"/>
      <c r="Y578" s="26"/>
      <c r="Z578" s="26"/>
      <c r="AA578" s="26"/>
      <c r="AB578" s="26"/>
      <c r="AC578" s="26"/>
    </row>
    <row r="579" ht="33.75" customHeight="1">
      <c r="A579" s="116" t="s">
        <v>996</v>
      </c>
      <c r="B579" s="77" t="s">
        <v>25</v>
      </c>
      <c r="C579" s="77" t="s">
        <v>988</v>
      </c>
      <c r="D579" s="77" t="s">
        <v>997</v>
      </c>
      <c r="E579" s="117" t="s">
        <v>998</v>
      </c>
      <c r="F579" s="118" t="s">
        <v>990</v>
      </c>
      <c r="G579" s="118" t="s">
        <v>168</v>
      </c>
      <c r="H579" s="119" t="s">
        <v>168</v>
      </c>
      <c r="I579" s="54"/>
      <c r="J579" s="118" t="s">
        <v>9</v>
      </c>
      <c r="K579" s="120" t="s">
        <v>9</v>
      </c>
      <c r="L579" s="51">
        <f>IF(COUNT(L580:N582)=0,"",SUM(L580:L582))</f>
        <v>1</v>
      </c>
      <c r="M579" s="51">
        <f t="shared" si="362"/>
        <v>1.25</v>
      </c>
      <c r="N579" s="51">
        <f>IF(COUNT(L580:N582)=0,"",SUM(N580:N582))</f>
        <v>1.5</v>
      </c>
      <c r="O579" s="51">
        <f>IF(COUNT(O580:O582)=0,"",SUM(O580:O582))</f>
        <v>1.25</v>
      </c>
      <c r="P579" s="52"/>
      <c r="Q579" s="51">
        <f t="shared" si="392"/>
        <v>1.25</v>
      </c>
      <c r="R579" s="53"/>
      <c r="S579" s="53"/>
      <c r="T579" s="54" t="s">
        <v>65</v>
      </c>
      <c r="U579" s="179"/>
      <c r="V579" s="179"/>
      <c r="W579" s="179"/>
      <c r="X579" s="105"/>
      <c r="Y579" s="105"/>
      <c r="Z579" s="105"/>
      <c r="AA579" s="105"/>
      <c r="AB579" s="179"/>
      <c r="AC579" s="105"/>
    </row>
    <row r="580" ht="33.75" customHeight="1">
      <c r="A580" s="78" t="s">
        <v>999</v>
      </c>
      <c r="B580" s="79" t="s">
        <v>25</v>
      </c>
      <c r="C580" s="79" t="s">
        <v>988</v>
      </c>
      <c r="D580" s="79" t="s">
        <v>997</v>
      </c>
      <c r="E580" s="94" t="s">
        <v>998</v>
      </c>
      <c r="F580" s="95" t="s">
        <v>990</v>
      </c>
      <c r="G580" s="95" t="s">
        <v>168</v>
      </c>
      <c r="H580" s="65" t="s">
        <v>168</v>
      </c>
      <c r="I580" s="65"/>
      <c r="J580" s="95" t="s">
        <v>9</v>
      </c>
      <c r="K580" s="121" t="s">
        <v>9</v>
      </c>
      <c r="L580" s="129">
        <v>0.5</v>
      </c>
      <c r="M580" s="129">
        <f t="shared" si="362"/>
        <v>0.75</v>
      </c>
      <c r="N580" s="129">
        <v>1.0</v>
      </c>
      <c r="O580" s="130">
        <f t="shared" ref="O580:O582" si="394">IF(COUNT(L580:N580)=0,"",(L580+4*M580+N580)/6)</f>
        <v>0.75</v>
      </c>
      <c r="P580" s="159"/>
      <c r="Q580" s="208">
        <f t="shared" si="392"/>
        <v>0.75</v>
      </c>
      <c r="R580" s="132"/>
      <c r="S580" s="132"/>
      <c r="T580" s="65" t="s">
        <v>31</v>
      </c>
      <c r="U580" s="26"/>
      <c r="V580" s="26"/>
      <c r="W580" s="26"/>
      <c r="X580" s="26"/>
      <c r="Y580" s="26"/>
      <c r="Z580" s="26"/>
      <c r="AA580" s="26"/>
      <c r="AB580" s="26"/>
      <c r="AC580" s="26"/>
    </row>
    <row r="581" ht="33.75" customHeight="1">
      <c r="A581" s="78" t="s">
        <v>1000</v>
      </c>
      <c r="B581" s="79" t="s">
        <v>25</v>
      </c>
      <c r="C581" s="79" t="s">
        <v>988</v>
      </c>
      <c r="D581" s="79" t="s">
        <v>997</v>
      </c>
      <c r="E581" s="94" t="s">
        <v>998</v>
      </c>
      <c r="F581" s="95" t="s">
        <v>990</v>
      </c>
      <c r="G581" s="95" t="s">
        <v>168</v>
      </c>
      <c r="H581" s="65" t="s">
        <v>168</v>
      </c>
      <c r="I581" s="65"/>
      <c r="J581" s="95" t="s">
        <v>9</v>
      </c>
      <c r="K581" s="121" t="s">
        <v>9</v>
      </c>
      <c r="L581" s="129">
        <v>0.25</v>
      </c>
      <c r="M581" s="129">
        <f t="shared" si="362"/>
        <v>0.25</v>
      </c>
      <c r="N581" s="129">
        <v>0.25</v>
      </c>
      <c r="O581" s="130">
        <f t="shared" si="394"/>
        <v>0.25</v>
      </c>
      <c r="P581" s="159"/>
      <c r="Q581" s="208">
        <f t="shared" si="392"/>
        <v>0.25</v>
      </c>
      <c r="R581" s="132"/>
      <c r="S581" s="132"/>
      <c r="T581" s="65" t="s">
        <v>32</v>
      </c>
      <c r="U581" s="26"/>
      <c r="V581" s="26"/>
      <c r="W581" s="26"/>
      <c r="X581" s="26"/>
      <c r="Y581" s="26"/>
      <c r="Z581" s="26"/>
      <c r="AA581" s="26"/>
      <c r="AB581" s="26"/>
      <c r="AC581" s="26"/>
    </row>
    <row r="582" ht="33.75" customHeight="1">
      <c r="A582" s="78" t="s">
        <v>1001</v>
      </c>
      <c r="B582" s="79" t="s">
        <v>25</v>
      </c>
      <c r="C582" s="79" t="s">
        <v>988</v>
      </c>
      <c r="D582" s="79" t="s">
        <v>997</v>
      </c>
      <c r="E582" s="94" t="s">
        <v>998</v>
      </c>
      <c r="F582" s="95" t="s">
        <v>990</v>
      </c>
      <c r="G582" s="95" t="s">
        <v>168</v>
      </c>
      <c r="H582" s="97" t="s">
        <v>168</v>
      </c>
      <c r="I582" s="65"/>
      <c r="J582" s="95" t="s">
        <v>9</v>
      </c>
      <c r="K582" s="121" t="s">
        <v>9</v>
      </c>
      <c r="L582" s="129">
        <v>0.25</v>
      </c>
      <c r="M582" s="129">
        <f t="shared" si="362"/>
        <v>0.25</v>
      </c>
      <c r="N582" s="129">
        <v>0.25</v>
      </c>
      <c r="O582" s="130">
        <f t="shared" si="394"/>
        <v>0.25</v>
      </c>
      <c r="P582" s="159"/>
      <c r="Q582" s="208">
        <f t="shared" si="392"/>
        <v>0.25</v>
      </c>
      <c r="R582" s="132"/>
      <c r="S582" s="132"/>
      <c r="T582" s="65" t="s">
        <v>70</v>
      </c>
      <c r="U582" s="26"/>
      <c r="V582" s="26"/>
      <c r="W582" s="26"/>
      <c r="X582" s="26"/>
      <c r="Y582" s="26"/>
      <c r="Z582" s="26"/>
      <c r="AA582" s="26"/>
      <c r="AB582" s="26"/>
      <c r="AC582" s="26"/>
    </row>
    <row r="583" ht="33.75" customHeight="1">
      <c r="A583" s="134" t="s">
        <v>1002</v>
      </c>
      <c r="B583" s="135" t="s">
        <v>25</v>
      </c>
      <c r="C583" s="135" t="s">
        <v>988</v>
      </c>
      <c r="D583" s="135" t="s">
        <v>1003</v>
      </c>
      <c r="E583" s="136" t="s">
        <v>1004</v>
      </c>
      <c r="F583" s="137" t="s">
        <v>1005</v>
      </c>
      <c r="G583" s="137" t="s">
        <v>168</v>
      </c>
      <c r="H583" s="100" t="s">
        <v>168</v>
      </c>
      <c r="I583" s="98"/>
      <c r="J583" s="137" t="s">
        <v>12</v>
      </c>
      <c r="K583" s="138" t="s">
        <v>12</v>
      </c>
      <c r="L583" s="139">
        <f>IF(COUNT(L584:N586)=0,"",SUM(L584:L586))</f>
        <v>0</v>
      </c>
      <c r="M583" s="139">
        <f t="shared" si="362"/>
        <v>0</v>
      </c>
      <c r="N583" s="139">
        <f>IF(COUNT(L584:N586)=0,"",SUM(N584:N586))</f>
        <v>0</v>
      </c>
      <c r="O583" s="139">
        <f>IF(COUNT(O584:O586)=0,"",SUM(O584:O586))</f>
        <v>0</v>
      </c>
      <c r="P583" s="140"/>
      <c r="Q583" s="139">
        <f t="shared" si="392"/>
        <v>0</v>
      </c>
      <c r="R583" s="141"/>
      <c r="S583" s="141"/>
      <c r="T583" s="98" t="s">
        <v>65</v>
      </c>
      <c r="U583" s="26"/>
      <c r="V583" s="26"/>
      <c r="W583" s="26"/>
      <c r="X583" s="26"/>
      <c r="Y583" s="26"/>
      <c r="Z583" s="26"/>
      <c r="AA583" s="26"/>
      <c r="AB583" s="26"/>
      <c r="AC583" s="26"/>
    </row>
    <row r="584" ht="33.75" customHeight="1">
      <c r="A584" s="142" t="s">
        <v>1006</v>
      </c>
      <c r="B584" s="143" t="s">
        <v>25</v>
      </c>
      <c r="C584" s="143" t="s">
        <v>988</v>
      </c>
      <c r="D584" s="143" t="s">
        <v>1003</v>
      </c>
      <c r="E584" s="144" t="s">
        <v>1004</v>
      </c>
      <c r="F584" s="145" t="s">
        <v>1005</v>
      </c>
      <c r="G584" s="145" t="s">
        <v>168</v>
      </c>
      <c r="H584" s="108" t="s">
        <v>168</v>
      </c>
      <c r="I584" s="106"/>
      <c r="J584" s="145" t="s">
        <v>12</v>
      </c>
      <c r="K584" s="146" t="s">
        <v>12</v>
      </c>
      <c r="L584" s="109"/>
      <c r="M584" s="109">
        <f t="shared" si="362"/>
        <v>0</v>
      </c>
      <c r="N584" s="109"/>
      <c r="O584" s="147">
        <f t="shared" ref="O584:O586" si="395">IF(COUNT(L584:N584)=0,"",(L584+4*M584+N584)/6)</f>
        <v>0</v>
      </c>
      <c r="P584" s="110"/>
      <c r="Q584" s="148">
        <f t="shared" si="392"/>
        <v>0</v>
      </c>
      <c r="R584" s="111"/>
      <c r="S584" s="111"/>
      <c r="T584" s="106" t="s">
        <v>31</v>
      </c>
      <c r="U584" s="26"/>
      <c r="V584" s="26"/>
      <c r="W584" s="26"/>
      <c r="X584" s="26"/>
      <c r="Y584" s="26"/>
      <c r="Z584" s="26"/>
      <c r="AA584" s="26"/>
      <c r="AB584" s="26"/>
      <c r="AC584" s="26"/>
    </row>
    <row r="585" ht="33.75" customHeight="1">
      <c r="A585" s="142" t="s">
        <v>1007</v>
      </c>
      <c r="B585" s="143" t="s">
        <v>25</v>
      </c>
      <c r="C585" s="143" t="s">
        <v>988</v>
      </c>
      <c r="D585" s="143" t="s">
        <v>1003</v>
      </c>
      <c r="E585" s="144" t="s">
        <v>1004</v>
      </c>
      <c r="F585" s="145" t="s">
        <v>1005</v>
      </c>
      <c r="G585" s="145" t="s">
        <v>168</v>
      </c>
      <c r="H585" s="106" t="s">
        <v>168</v>
      </c>
      <c r="I585" s="106"/>
      <c r="J585" s="145" t="s">
        <v>12</v>
      </c>
      <c r="K585" s="146" t="s">
        <v>12</v>
      </c>
      <c r="L585" s="109"/>
      <c r="M585" s="109">
        <f t="shared" si="362"/>
        <v>0</v>
      </c>
      <c r="N585" s="109"/>
      <c r="O585" s="147">
        <f t="shared" si="395"/>
        <v>0</v>
      </c>
      <c r="P585" s="110"/>
      <c r="Q585" s="148">
        <f t="shared" si="392"/>
        <v>0</v>
      </c>
      <c r="R585" s="111"/>
      <c r="S585" s="111"/>
      <c r="T585" s="106" t="s">
        <v>32</v>
      </c>
      <c r="U585" s="26"/>
      <c r="V585" s="26"/>
      <c r="W585" s="26"/>
      <c r="X585" s="26"/>
      <c r="Y585" s="26"/>
      <c r="Z585" s="26"/>
      <c r="AA585" s="26"/>
      <c r="AB585" s="26"/>
      <c r="AC585" s="26"/>
    </row>
    <row r="586" ht="33.75" customHeight="1">
      <c r="A586" s="142" t="s">
        <v>1008</v>
      </c>
      <c r="B586" s="143" t="s">
        <v>25</v>
      </c>
      <c r="C586" s="143" t="s">
        <v>988</v>
      </c>
      <c r="D586" s="143" t="s">
        <v>1003</v>
      </c>
      <c r="E586" s="144" t="s">
        <v>1004</v>
      </c>
      <c r="F586" s="145" t="s">
        <v>1005</v>
      </c>
      <c r="G586" s="145" t="s">
        <v>168</v>
      </c>
      <c r="H586" s="106" t="s">
        <v>168</v>
      </c>
      <c r="I586" s="106"/>
      <c r="J586" s="145" t="s">
        <v>12</v>
      </c>
      <c r="K586" s="146" t="s">
        <v>12</v>
      </c>
      <c r="L586" s="109"/>
      <c r="M586" s="109">
        <f t="shared" si="362"/>
        <v>0</v>
      </c>
      <c r="N586" s="109"/>
      <c r="O586" s="147">
        <f t="shared" si="395"/>
        <v>0</v>
      </c>
      <c r="P586" s="110"/>
      <c r="Q586" s="148">
        <f t="shared" si="392"/>
        <v>0</v>
      </c>
      <c r="R586" s="111"/>
      <c r="S586" s="111"/>
      <c r="T586" s="106" t="s">
        <v>70</v>
      </c>
      <c r="U586" s="26"/>
      <c r="V586" s="26"/>
      <c r="W586" s="26"/>
      <c r="X586" s="26"/>
      <c r="Y586" s="26"/>
      <c r="Z586" s="26"/>
      <c r="AA586" s="26"/>
      <c r="AB586" s="26"/>
      <c r="AC586" s="26"/>
    </row>
    <row r="587" ht="33.75" customHeight="1">
      <c r="A587" s="134" t="s">
        <v>1009</v>
      </c>
      <c r="B587" s="135" t="s">
        <v>25</v>
      </c>
      <c r="C587" s="135" t="s">
        <v>988</v>
      </c>
      <c r="D587" s="135" t="s">
        <v>1010</v>
      </c>
      <c r="E587" s="136" t="s">
        <v>1011</v>
      </c>
      <c r="F587" s="137" t="s">
        <v>990</v>
      </c>
      <c r="G587" s="137" t="s">
        <v>200</v>
      </c>
      <c r="H587" s="100" t="s">
        <v>200</v>
      </c>
      <c r="I587" s="98"/>
      <c r="J587" s="137" t="s">
        <v>12</v>
      </c>
      <c r="K587" s="138" t="s">
        <v>12</v>
      </c>
      <c r="L587" s="139">
        <f>IF(COUNT(L588:N590)=0,"",SUM(L588:L590))</f>
        <v>0</v>
      </c>
      <c r="M587" s="139">
        <f t="shared" si="362"/>
        <v>0</v>
      </c>
      <c r="N587" s="139">
        <f>IF(COUNT(L588:N590)=0,"",SUM(N588:N590))</f>
        <v>0</v>
      </c>
      <c r="O587" s="139">
        <f>IF(COUNT(O588:O590)=0,"",SUM(O588:O590))</f>
        <v>0</v>
      </c>
      <c r="P587" s="140"/>
      <c r="Q587" s="139">
        <f t="shared" si="392"/>
        <v>0</v>
      </c>
      <c r="R587" s="141"/>
      <c r="S587" s="141"/>
      <c r="T587" s="98" t="s">
        <v>65</v>
      </c>
      <c r="U587" s="26"/>
      <c r="V587" s="26"/>
      <c r="W587" s="26"/>
      <c r="X587" s="26"/>
      <c r="Y587" s="26"/>
      <c r="Z587" s="26"/>
      <c r="AA587" s="26"/>
      <c r="AB587" s="26"/>
      <c r="AC587" s="26"/>
    </row>
    <row r="588" ht="33.75" customHeight="1">
      <c r="A588" s="142" t="s">
        <v>1012</v>
      </c>
      <c r="B588" s="143" t="s">
        <v>25</v>
      </c>
      <c r="C588" s="143" t="s">
        <v>988</v>
      </c>
      <c r="D588" s="143" t="s">
        <v>1010</v>
      </c>
      <c r="E588" s="144" t="s">
        <v>1011</v>
      </c>
      <c r="F588" s="145" t="s">
        <v>990</v>
      </c>
      <c r="G588" s="145" t="s">
        <v>200</v>
      </c>
      <c r="H588" s="108" t="s">
        <v>200</v>
      </c>
      <c r="I588" s="106"/>
      <c r="J588" s="145" t="s">
        <v>12</v>
      </c>
      <c r="K588" s="146" t="s">
        <v>12</v>
      </c>
      <c r="L588" s="109"/>
      <c r="M588" s="109">
        <f t="shared" si="362"/>
        <v>0</v>
      </c>
      <c r="N588" s="109"/>
      <c r="O588" s="147">
        <f t="shared" ref="O588:O590" si="396">IF(COUNT(L588:N588)=0,"",(L588+4*M588+N588)/6)</f>
        <v>0</v>
      </c>
      <c r="P588" s="110"/>
      <c r="Q588" s="148">
        <f t="shared" si="392"/>
        <v>0</v>
      </c>
      <c r="R588" s="111"/>
      <c r="S588" s="111"/>
      <c r="T588" s="106" t="s">
        <v>31</v>
      </c>
      <c r="U588" s="26"/>
      <c r="V588" s="26"/>
      <c r="W588" s="26"/>
      <c r="X588" s="26"/>
      <c r="Y588" s="26"/>
      <c r="Z588" s="26"/>
      <c r="AA588" s="26"/>
      <c r="AB588" s="26"/>
      <c r="AC588" s="26"/>
    </row>
    <row r="589" ht="33.75" customHeight="1">
      <c r="A589" s="142" t="s">
        <v>1013</v>
      </c>
      <c r="B589" s="143" t="s">
        <v>25</v>
      </c>
      <c r="C589" s="143" t="s">
        <v>988</v>
      </c>
      <c r="D589" s="143" t="s">
        <v>1010</v>
      </c>
      <c r="E589" s="144" t="s">
        <v>1011</v>
      </c>
      <c r="F589" s="145" t="s">
        <v>990</v>
      </c>
      <c r="G589" s="145" t="s">
        <v>200</v>
      </c>
      <c r="H589" s="106" t="s">
        <v>200</v>
      </c>
      <c r="I589" s="106"/>
      <c r="J589" s="145" t="s">
        <v>12</v>
      </c>
      <c r="K589" s="146" t="s">
        <v>12</v>
      </c>
      <c r="L589" s="109"/>
      <c r="M589" s="109">
        <f t="shared" si="362"/>
        <v>0</v>
      </c>
      <c r="N589" s="109"/>
      <c r="O589" s="147">
        <f t="shared" si="396"/>
        <v>0</v>
      </c>
      <c r="P589" s="110"/>
      <c r="Q589" s="148">
        <f t="shared" si="392"/>
        <v>0</v>
      </c>
      <c r="R589" s="111"/>
      <c r="S589" s="111"/>
      <c r="T589" s="106" t="s">
        <v>32</v>
      </c>
      <c r="U589" s="26"/>
      <c r="V589" s="26"/>
      <c r="W589" s="26"/>
      <c r="X589" s="26"/>
      <c r="Y589" s="26"/>
      <c r="Z589" s="26"/>
      <c r="AA589" s="26"/>
      <c r="AB589" s="26"/>
      <c r="AC589" s="26"/>
    </row>
    <row r="590" ht="33.75" customHeight="1">
      <c r="A590" s="142" t="s">
        <v>1014</v>
      </c>
      <c r="B590" s="143" t="s">
        <v>25</v>
      </c>
      <c r="C590" s="143" t="s">
        <v>988</v>
      </c>
      <c r="D590" s="143" t="s">
        <v>1010</v>
      </c>
      <c r="E590" s="144" t="s">
        <v>1011</v>
      </c>
      <c r="F590" s="145" t="s">
        <v>990</v>
      </c>
      <c r="G590" s="145" t="s">
        <v>200</v>
      </c>
      <c r="H590" s="106" t="s">
        <v>200</v>
      </c>
      <c r="I590" s="106"/>
      <c r="J590" s="145" t="s">
        <v>12</v>
      </c>
      <c r="K590" s="146" t="s">
        <v>12</v>
      </c>
      <c r="L590" s="109"/>
      <c r="M590" s="109">
        <f t="shared" si="362"/>
        <v>0</v>
      </c>
      <c r="N590" s="109"/>
      <c r="O590" s="147">
        <f t="shared" si="396"/>
        <v>0</v>
      </c>
      <c r="P590" s="110"/>
      <c r="Q590" s="148">
        <f t="shared" si="392"/>
        <v>0</v>
      </c>
      <c r="R590" s="111"/>
      <c r="S590" s="111"/>
      <c r="T590" s="106" t="s">
        <v>70</v>
      </c>
      <c r="U590" s="26"/>
      <c r="V590" s="26"/>
      <c r="W590" s="26"/>
      <c r="X590" s="26"/>
      <c r="Y590" s="26"/>
      <c r="Z590" s="26"/>
      <c r="AA590" s="26"/>
      <c r="AB590" s="26"/>
      <c r="AC590" s="26"/>
    </row>
    <row r="591" ht="33.75" customHeight="1">
      <c r="A591" s="112" t="s">
        <v>1015</v>
      </c>
      <c r="B591" s="38" t="s">
        <v>25</v>
      </c>
      <c r="C591" s="38" t="s">
        <v>1016</v>
      </c>
      <c r="D591" s="38" t="s">
        <v>1016</v>
      </c>
      <c r="E591" s="113" t="s">
        <v>1017</v>
      </c>
      <c r="F591" s="114"/>
      <c r="G591" s="114"/>
      <c r="H591" s="45"/>
      <c r="I591" s="45"/>
      <c r="J591" s="114"/>
      <c r="K591" s="115"/>
      <c r="L591" s="42">
        <f>IF(COUNT(L592,L596)=0,"",SUM(L592,L596))</f>
        <v>2.75</v>
      </c>
      <c r="M591" s="42">
        <f t="shared" si="362"/>
        <v>3.75</v>
      </c>
      <c r="N591" s="42">
        <f t="shared" ref="N591:O591" si="397">IF(COUNT(N592,N596)=0,"",SUM(N592,N596))</f>
        <v>4.75</v>
      </c>
      <c r="O591" s="42">
        <f t="shared" si="397"/>
        <v>3.75</v>
      </c>
      <c r="P591" s="43"/>
      <c r="Q591" s="42">
        <f>IF(COUNT(Q592,Q596)=0,"",SUM(Q592,Q596))</f>
        <v>3.75</v>
      </c>
      <c r="R591" s="44"/>
      <c r="S591" s="44"/>
      <c r="T591" s="45" t="s">
        <v>62</v>
      </c>
      <c r="U591" s="26"/>
      <c r="V591" s="26"/>
      <c r="W591" s="26"/>
      <c r="X591" s="46">
        <f t="shared" ref="X591:AA591" si="398">L591</f>
        <v>2.75</v>
      </c>
      <c r="Y591" s="46">
        <f t="shared" si="398"/>
        <v>3.75</v>
      </c>
      <c r="Z591" s="46">
        <f t="shared" si="398"/>
        <v>4.75</v>
      </c>
      <c r="AA591" s="46">
        <f t="shared" si="398"/>
        <v>3.75</v>
      </c>
      <c r="AB591" s="26"/>
      <c r="AC591" s="46">
        <f>Q591</f>
        <v>3.75</v>
      </c>
    </row>
    <row r="592" ht="33.75" customHeight="1">
      <c r="A592" s="116" t="s">
        <v>1018</v>
      </c>
      <c r="B592" s="77" t="s">
        <v>25</v>
      </c>
      <c r="C592" s="77" t="s">
        <v>1016</v>
      </c>
      <c r="D592" s="77" t="s">
        <v>1019</v>
      </c>
      <c r="E592" s="117" t="s">
        <v>1020</v>
      </c>
      <c r="F592" s="118" t="s">
        <v>855</v>
      </c>
      <c r="G592" s="118" t="s">
        <v>168</v>
      </c>
      <c r="H592" s="119" t="s">
        <v>168</v>
      </c>
      <c r="I592" s="54"/>
      <c r="J592" s="118" t="s">
        <v>9</v>
      </c>
      <c r="K592" s="120" t="s">
        <v>9</v>
      </c>
      <c r="L592" s="51">
        <f>IF(COUNT(L593:N595)=0,"",SUM(L593:L595))</f>
        <v>1.75</v>
      </c>
      <c r="M592" s="51">
        <f t="shared" si="362"/>
        <v>2.25</v>
      </c>
      <c r="N592" s="51">
        <f>IF(COUNT(L593:N595)=0,"",SUM(N593:N595))</f>
        <v>2.75</v>
      </c>
      <c r="O592" s="51">
        <f>IF(COUNT(O593:O595)=0,"",SUM(O593:O595))</f>
        <v>2.25</v>
      </c>
      <c r="P592" s="52"/>
      <c r="Q592" s="51">
        <f t="shared" ref="Q592:Q603" si="399">IF(O592="","",IF(P592="",O592,O592*(1+P592)))</f>
        <v>2.25</v>
      </c>
      <c r="R592" s="53"/>
      <c r="S592" s="53"/>
      <c r="T592" s="54" t="s">
        <v>65</v>
      </c>
      <c r="U592" s="179"/>
      <c r="V592" s="179"/>
      <c r="W592" s="179"/>
      <c r="X592" s="105"/>
      <c r="Y592" s="105"/>
      <c r="Z592" s="105"/>
      <c r="AA592" s="105"/>
      <c r="AB592" s="179"/>
      <c r="AC592" s="105"/>
    </row>
    <row r="593" ht="33.75" customHeight="1">
      <c r="A593" s="78" t="s">
        <v>1021</v>
      </c>
      <c r="B593" s="79" t="s">
        <v>25</v>
      </c>
      <c r="C593" s="79" t="s">
        <v>1016</v>
      </c>
      <c r="D593" s="79" t="s">
        <v>1019</v>
      </c>
      <c r="E593" s="94" t="s">
        <v>1020</v>
      </c>
      <c r="F593" s="95" t="s">
        <v>855</v>
      </c>
      <c r="G593" s="95" t="s">
        <v>168</v>
      </c>
      <c r="H593" s="97" t="s">
        <v>168</v>
      </c>
      <c r="I593" s="65"/>
      <c r="J593" s="95" t="s">
        <v>9</v>
      </c>
      <c r="K593" s="121" t="s">
        <v>9</v>
      </c>
      <c r="L593" s="129">
        <v>0.25</v>
      </c>
      <c r="M593" s="129">
        <f t="shared" si="362"/>
        <v>0.375</v>
      </c>
      <c r="N593" s="129">
        <v>0.5</v>
      </c>
      <c r="O593" s="130">
        <f t="shared" ref="O593:O595" si="400">IF(COUNT(L593:N593)=0,"",(L593+4*M593+N593)/6)</f>
        <v>0.375</v>
      </c>
      <c r="P593" s="159"/>
      <c r="Q593" s="208">
        <f t="shared" si="399"/>
        <v>0.375</v>
      </c>
      <c r="R593" s="132"/>
      <c r="S593" s="132"/>
      <c r="T593" s="65" t="s">
        <v>31</v>
      </c>
      <c r="U593" s="26"/>
      <c r="V593" s="26"/>
      <c r="W593" s="26"/>
      <c r="X593" s="26"/>
      <c r="Y593" s="26"/>
      <c r="Z593" s="26"/>
      <c r="AA593" s="26"/>
      <c r="AB593" s="26"/>
      <c r="AC593" s="26"/>
    </row>
    <row r="594" ht="33.75" customHeight="1">
      <c r="A594" s="78" t="s">
        <v>1022</v>
      </c>
      <c r="B594" s="79" t="s">
        <v>25</v>
      </c>
      <c r="C594" s="79" t="s">
        <v>1016</v>
      </c>
      <c r="D594" s="79" t="s">
        <v>1019</v>
      </c>
      <c r="E594" s="94" t="s">
        <v>1020</v>
      </c>
      <c r="F594" s="95" t="s">
        <v>855</v>
      </c>
      <c r="G594" s="95" t="s">
        <v>168</v>
      </c>
      <c r="H594" s="97" t="s">
        <v>168</v>
      </c>
      <c r="I594" s="65"/>
      <c r="J594" s="95" t="s">
        <v>9</v>
      </c>
      <c r="K594" s="121" t="s">
        <v>9</v>
      </c>
      <c r="L594" s="129">
        <v>1.0</v>
      </c>
      <c r="M594" s="129">
        <f t="shared" si="362"/>
        <v>1.25</v>
      </c>
      <c r="N594" s="129">
        <v>1.5</v>
      </c>
      <c r="O594" s="130">
        <f t="shared" si="400"/>
        <v>1.25</v>
      </c>
      <c r="P594" s="159"/>
      <c r="Q594" s="208">
        <f t="shared" si="399"/>
        <v>1.25</v>
      </c>
      <c r="R594" s="132"/>
      <c r="S594" s="132"/>
      <c r="T594" s="65" t="s">
        <v>32</v>
      </c>
      <c r="U594" s="26"/>
      <c r="V594" s="26"/>
      <c r="W594" s="26"/>
      <c r="X594" s="26"/>
      <c r="Y594" s="26"/>
      <c r="Z594" s="26"/>
      <c r="AA594" s="26"/>
      <c r="AB594" s="26"/>
      <c r="AC594" s="26"/>
    </row>
    <row r="595" ht="33.75" customHeight="1">
      <c r="A595" s="78" t="s">
        <v>1023</v>
      </c>
      <c r="B595" s="79" t="s">
        <v>25</v>
      </c>
      <c r="C595" s="79" t="s">
        <v>1016</v>
      </c>
      <c r="D595" s="79" t="s">
        <v>1019</v>
      </c>
      <c r="E595" s="94" t="s">
        <v>1020</v>
      </c>
      <c r="F595" s="95" t="s">
        <v>855</v>
      </c>
      <c r="G595" s="95" t="s">
        <v>168</v>
      </c>
      <c r="H595" s="97" t="s">
        <v>168</v>
      </c>
      <c r="I595" s="65"/>
      <c r="J595" s="95" t="s">
        <v>9</v>
      </c>
      <c r="K595" s="121" t="s">
        <v>9</v>
      </c>
      <c r="L595" s="129">
        <v>0.5</v>
      </c>
      <c r="M595" s="129">
        <f t="shared" si="362"/>
        <v>0.625</v>
      </c>
      <c r="N595" s="129">
        <v>0.75</v>
      </c>
      <c r="O595" s="130">
        <f t="shared" si="400"/>
        <v>0.625</v>
      </c>
      <c r="P595" s="159"/>
      <c r="Q595" s="208">
        <f t="shared" si="399"/>
        <v>0.625</v>
      </c>
      <c r="R595" s="132"/>
      <c r="S595" s="132"/>
      <c r="T595" s="65" t="s">
        <v>70</v>
      </c>
      <c r="U595" s="26"/>
      <c r="V595" s="26"/>
      <c r="W595" s="26"/>
      <c r="X595" s="26"/>
      <c r="Y595" s="26"/>
      <c r="Z595" s="26"/>
      <c r="AA595" s="26"/>
      <c r="AB595" s="26"/>
      <c r="AC595" s="26"/>
    </row>
    <row r="596" ht="33.75" customHeight="1">
      <c r="A596" s="116" t="s">
        <v>1024</v>
      </c>
      <c r="B596" s="77" t="s">
        <v>25</v>
      </c>
      <c r="C596" s="77" t="s">
        <v>1016</v>
      </c>
      <c r="D596" s="77" t="s">
        <v>1025</v>
      </c>
      <c r="E596" s="117" t="s">
        <v>1026</v>
      </c>
      <c r="F596" s="118" t="s">
        <v>1018</v>
      </c>
      <c r="G596" s="118" t="s">
        <v>154</v>
      </c>
      <c r="H596" s="119" t="s">
        <v>154</v>
      </c>
      <c r="I596" s="54"/>
      <c r="J596" s="118" t="s">
        <v>9</v>
      </c>
      <c r="K596" s="120" t="s">
        <v>9</v>
      </c>
      <c r="L596" s="51">
        <f>IF(COUNT(L597:N599)=0,"",SUM(L597:L599))</f>
        <v>1</v>
      </c>
      <c r="M596" s="51">
        <f t="shared" si="362"/>
        <v>1.5</v>
      </c>
      <c r="N596" s="51">
        <f>IF(COUNT(L597:N599)=0,"",SUM(N597:N599))</f>
        <v>2</v>
      </c>
      <c r="O596" s="51">
        <f>IF(COUNT(O597:O599)=0,"",SUM(O597:O599))</f>
        <v>1.5</v>
      </c>
      <c r="P596" s="52"/>
      <c r="Q596" s="51">
        <f t="shared" si="399"/>
        <v>1.5</v>
      </c>
      <c r="R596" s="53"/>
      <c r="S596" s="53"/>
      <c r="T596" s="54" t="s">
        <v>65</v>
      </c>
      <c r="U596" s="179"/>
      <c r="V596" s="179"/>
      <c r="W596" s="179"/>
      <c r="X596" s="105"/>
      <c r="Y596" s="105"/>
      <c r="Z596" s="105"/>
      <c r="AA596" s="105"/>
      <c r="AB596" s="179"/>
      <c r="AC596" s="105"/>
    </row>
    <row r="597" ht="33.75" customHeight="1">
      <c r="A597" s="78" t="s">
        <v>1027</v>
      </c>
      <c r="B597" s="79" t="s">
        <v>25</v>
      </c>
      <c r="C597" s="79" t="s">
        <v>1016</v>
      </c>
      <c r="D597" s="79" t="s">
        <v>1025</v>
      </c>
      <c r="E597" s="94" t="s">
        <v>1026</v>
      </c>
      <c r="F597" s="95" t="s">
        <v>1018</v>
      </c>
      <c r="G597" s="95" t="s">
        <v>154</v>
      </c>
      <c r="H597" s="65" t="s">
        <v>154</v>
      </c>
      <c r="I597" s="65"/>
      <c r="J597" s="95" t="s">
        <v>9</v>
      </c>
      <c r="K597" s="121" t="s">
        <v>9</v>
      </c>
      <c r="L597" s="129">
        <v>0.5</v>
      </c>
      <c r="M597" s="129">
        <f t="shared" si="362"/>
        <v>0.75</v>
      </c>
      <c r="N597" s="129">
        <v>1.0</v>
      </c>
      <c r="O597" s="130">
        <f t="shared" ref="O597:O599" si="401">IF(COUNT(L597:N597)=0,"",(L597+4*M597+N597)/6)</f>
        <v>0.75</v>
      </c>
      <c r="P597" s="159"/>
      <c r="Q597" s="208">
        <f t="shared" si="399"/>
        <v>0.75</v>
      </c>
      <c r="R597" s="132"/>
      <c r="S597" s="132"/>
      <c r="T597" s="65" t="s">
        <v>31</v>
      </c>
      <c r="U597" s="26"/>
      <c r="V597" s="26"/>
      <c r="W597" s="26"/>
      <c r="X597" s="26"/>
      <c r="Y597" s="26"/>
      <c r="Z597" s="26"/>
      <c r="AA597" s="26"/>
      <c r="AB597" s="26"/>
      <c r="AC597" s="26"/>
    </row>
    <row r="598" ht="33.75" customHeight="1">
      <c r="A598" s="78" t="s">
        <v>1028</v>
      </c>
      <c r="B598" s="79" t="s">
        <v>25</v>
      </c>
      <c r="C598" s="79" t="s">
        <v>1016</v>
      </c>
      <c r="D598" s="79" t="s">
        <v>1025</v>
      </c>
      <c r="E598" s="94" t="s">
        <v>1026</v>
      </c>
      <c r="F598" s="95" t="s">
        <v>1018</v>
      </c>
      <c r="G598" s="95" t="s">
        <v>154</v>
      </c>
      <c r="H598" s="65" t="s">
        <v>154</v>
      </c>
      <c r="I598" s="65"/>
      <c r="J598" s="95" t="s">
        <v>9</v>
      </c>
      <c r="K598" s="121" t="s">
        <v>9</v>
      </c>
      <c r="L598" s="129">
        <v>0.25</v>
      </c>
      <c r="M598" s="129">
        <f t="shared" si="362"/>
        <v>0.375</v>
      </c>
      <c r="N598" s="129">
        <v>0.5</v>
      </c>
      <c r="O598" s="130">
        <f t="shared" si="401"/>
        <v>0.375</v>
      </c>
      <c r="P598" s="159"/>
      <c r="Q598" s="208">
        <f t="shared" si="399"/>
        <v>0.375</v>
      </c>
      <c r="R598" s="132"/>
      <c r="S598" s="132"/>
      <c r="T598" s="65" t="s">
        <v>32</v>
      </c>
      <c r="U598" s="26"/>
      <c r="V598" s="26"/>
      <c r="W598" s="26"/>
      <c r="X598" s="26"/>
      <c r="Y598" s="26"/>
      <c r="Z598" s="26"/>
      <c r="AA598" s="26"/>
      <c r="AB598" s="26"/>
      <c r="AC598" s="26"/>
    </row>
    <row r="599" ht="33.75" customHeight="1">
      <c r="A599" s="78" t="s">
        <v>1029</v>
      </c>
      <c r="B599" s="79" t="s">
        <v>25</v>
      </c>
      <c r="C599" s="79" t="s">
        <v>1016</v>
      </c>
      <c r="D599" s="79" t="s">
        <v>1025</v>
      </c>
      <c r="E599" s="94" t="s">
        <v>1026</v>
      </c>
      <c r="F599" s="95" t="s">
        <v>1018</v>
      </c>
      <c r="G599" s="95" t="s">
        <v>154</v>
      </c>
      <c r="H599" s="97" t="s">
        <v>154</v>
      </c>
      <c r="I599" s="65"/>
      <c r="J599" s="95" t="s">
        <v>9</v>
      </c>
      <c r="K599" s="121" t="s">
        <v>9</v>
      </c>
      <c r="L599" s="129">
        <v>0.25</v>
      </c>
      <c r="M599" s="129">
        <f t="shared" si="362"/>
        <v>0.375</v>
      </c>
      <c r="N599" s="129">
        <v>0.5</v>
      </c>
      <c r="O599" s="130">
        <f t="shared" si="401"/>
        <v>0.375</v>
      </c>
      <c r="P599" s="159"/>
      <c r="Q599" s="208">
        <f t="shared" si="399"/>
        <v>0.375</v>
      </c>
      <c r="R599" s="132"/>
      <c r="S599" s="132"/>
      <c r="T599" s="65" t="s">
        <v>70</v>
      </c>
      <c r="U599" s="26"/>
      <c r="V599" s="26"/>
      <c r="W599" s="26"/>
      <c r="X599" s="26"/>
      <c r="Y599" s="26"/>
      <c r="Z599" s="26"/>
      <c r="AA599" s="26"/>
      <c r="AB599" s="26"/>
      <c r="AC599" s="26"/>
    </row>
    <row r="600" ht="33.75" customHeight="1">
      <c r="A600" s="134" t="s">
        <v>1030</v>
      </c>
      <c r="B600" s="135" t="s">
        <v>25</v>
      </c>
      <c r="C600" s="135" t="s">
        <v>1016</v>
      </c>
      <c r="D600" s="135" t="s">
        <v>1031</v>
      </c>
      <c r="E600" s="136" t="s">
        <v>1032</v>
      </c>
      <c r="F600" s="137" t="s">
        <v>1018</v>
      </c>
      <c r="G600" s="137" t="s">
        <v>168</v>
      </c>
      <c r="H600" s="100" t="s">
        <v>168</v>
      </c>
      <c r="I600" s="98"/>
      <c r="J600" s="137" t="s">
        <v>12</v>
      </c>
      <c r="K600" s="138" t="s">
        <v>12</v>
      </c>
      <c r="L600" s="139">
        <f>IF(COUNT(L601:N603)=0,"",SUM(L601:L603))</f>
        <v>0</v>
      </c>
      <c r="M600" s="139">
        <f t="shared" si="362"/>
        <v>0</v>
      </c>
      <c r="N600" s="139">
        <f>IF(COUNT(L601:N603)=0,"",SUM(N601:N603))</f>
        <v>0</v>
      </c>
      <c r="O600" s="139">
        <f>IF(COUNT(O601:O603)=0,"",SUM(O601:O603))</f>
        <v>0</v>
      </c>
      <c r="P600" s="140"/>
      <c r="Q600" s="139">
        <f t="shared" si="399"/>
        <v>0</v>
      </c>
      <c r="R600" s="141"/>
      <c r="S600" s="141"/>
      <c r="T600" s="98" t="s">
        <v>65</v>
      </c>
      <c r="U600" s="26"/>
      <c r="V600" s="26"/>
      <c r="W600" s="26"/>
      <c r="X600" s="26"/>
      <c r="Y600" s="26"/>
      <c r="Z600" s="26"/>
      <c r="AA600" s="26"/>
      <c r="AB600" s="26"/>
      <c r="AC600" s="26"/>
    </row>
    <row r="601" ht="33.75" customHeight="1">
      <c r="A601" s="142" t="s">
        <v>1033</v>
      </c>
      <c r="B601" s="143" t="s">
        <v>25</v>
      </c>
      <c r="C601" s="143" t="s">
        <v>1016</v>
      </c>
      <c r="D601" s="143" t="s">
        <v>1031</v>
      </c>
      <c r="E601" s="144" t="s">
        <v>1032</v>
      </c>
      <c r="F601" s="145" t="s">
        <v>1018</v>
      </c>
      <c r="G601" s="145" t="s">
        <v>168</v>
      </c>
      <c r="H601" s="108" t="s">
        <v>168</v>
      </c>
      <c r="I601" s="106"/>
      <c r="J601" s="145" t="s">
        <v>12</v>
      </c>
      <c r="K601" s="146" t="s">
        <v>12</v>
      </c>
      <c r="L601" s="109"/>
      <c r="M601" s="109">
        <f t="shared" si="362"/>
        <v>0</v>
      </c>
      <c r="N601" s="109"/>
      <c r="O601" s="147">
        <f t="shared" ref="O601:O603" si="402">IF(COUNT(L601:N601)=0,"",(L601+4*M601+N601)/6)</f>
        <v>0</v>
      </c>
      <c r="P601" s="110"/>
      <c r="Q601" s="148">
        <f t="shared" si="399"/>
        <v>0</v>
      </c>
      <c r="R601" s="111"/>
      <c r="S601" s="111"/>
      <c r="T601" s="106" t="s">
        <v>31</v>
      </c>
      <c r="U601" s="26"/>
      <c r="V601" s="26"/>
      <c r="W601" s="26"/>
      <c r="X601" s="26"/>
      <c r="Y601" s="26"/>
      <c r="Z601" s="26"/>
      <c r="AA601" s="26"/>
      <c r="AB601" s="26"/>
      <c r="AC601" s="26"/>
    </row>
    <row r="602" ht="33.75" customHeight="1">
      <c r="A602" s="142" t="s">
        <v>1034</v>
      </c>
      <c r="B602" s="143" t="s">
        <v>25</v>
      </c>
      <c r="C602" s="143" t="s">
        <v>1016</v>
      </c>
      <c r="D602" s="143" t="s">
        <v>1031</v>
      </c>
      <c r="E602" s="144" t="s">
        <v>1032</v>
      </c>
      <c r="F602" s="145" t="s">
        <v>1018</v>
      </c>
      <c r="G602" s="145" t="s">
        <v>168</v>
      </c>
      <c r="H602" s="106" t="s">
        <v>168</v>
      </c>
      <c r="I602" s="106"/>
      <c r="J602" s="145" t="s">
        <v>12</v>
      </c>
      <c r="K602" s="146" t="s">
        <v>12</v>
      </c>
      <c r="L602" s="109"/>
      <c r="M602" s="109">
        <f t="shared" si="362"/>
        <v>0</v>
      </c>
      <c r="N602" s="109"/>
      <c r="O602" s="147">
        <f t="shared" si="402"/>
        <v>0</v>
      </c>
      <c r="P602" s="110"/>
      <c r="Q602" s="148">
        <f t="shared" si="399"/>
        <v>0</v>
      </c>
      <c r="R602" s="111"/>
      <c r="S602" s="111"/>
      <c r="T602" s="106" t="s">
        <v>32</v>
      </c>
      <c r="U602" s="26"/>
      <c r="V602" s="26"/>
      <c r="W602" s="26"/>
      <c r="X602" s="26"/>
      <c r="Y602" s="26"/>
      <c r="Z602" s="26"/>
      <c r="AA602" s="26"/>
      <c r="AB602" s="26"/>
      <c r="AC602" s="26"/>
    </row>
    <row r="603" ht="33.75" customHeight="1">
      <c r="A603" s="142" t="s">
        <v>1035</v>
      </c>
      <c r="B603" s="143" t="s">
        <v>25</v>
      </c>
      <c r="C603" s="143" t="s">
        <v>1016</v>
      </c>
      <c r="D603" s="143" t="s">
        <v>1031</v>
      </c>
      <c r="E603" s="144" t="s">
        <v>1032</v>
      </c>
      <c r="F603" s="145" t="s">
        <v>1018</v>
      </c>
      <c r="G603" s="145" t="s">
        <v>168</v>
      </c>
      <c r="H603" s="106" t="s">
        <v>168</v>
      </c>
      <c r="I603" s="106"/>
      <c r="J603" s="145" t="s">
        <v>12</v>
      </c>
      <c r="K603" s="146" t="s">
        <v>12</v>
      </c>
      <c r="L603" s="109"/>
      <c r="M603" s="109">
        <f t="shared" si="362"/>
        <v>0</v>
      </c>
      <c r="N603" s="109"/>
      <c r="O603" s="147">
        <f t="shared" si="402"/>
        <v>0</v>
      </c>
      <c r="P603" s="110"/>
      <c r="Q603" s="148">
        <f t="shared" si="399"/>
        <v>0</v>
      </c>
      <c r="R603" s="111"/>
      <c r="S603" s="111"/>
      <c r="T603" s="106" t="s">
        <v>70</v>
      </c>
      <c r="U603" s="26"/>
      <c r="V603" s="26"/>
      <c r="W603" s="26"/>
      <c r="X603" s="26"/>
      <c r="Y603" s="26"/>
      <c r="Z603" s="26"/>
      <c r="AA603" s="26"/>
      <c r="AB603" s="26"/>
      <c r="AC603" s="26"/>
    </row>
    <row r="604" ht="33.75" customHeight="1">
      <c r="A604" s="27" t="s">
        <v>1036</v>
      </c>
      <c r="B604" s="28"/>
      <c r="C604" s="28"/>
      <c r="D604" s="28"/>
      <c r="E604" s="29"/>
      <c r="F604" s="30"/>
      <c r="G604" s="30"/>
      <c r="H604" s="30"/>
      <c r="I604" s="30"/>
      <c r="J604" s="30"/>
      <c r="K604" s="31"/>
      <c r="L604" s="32">
        <f t="shared" ref="L604:N604" si="403">SUM(X605:X702)</f>
        <v>27</v>
      </c>
      <c r="M604" s="32">
        <f t="shared" si="403"/>
        <v>30.375</v>
      </c>
      <c r="N604" s="32">
        <f t="shared" si="403"/>
        <v>33.75</v>
      </c>
      <c r="O604" s="32">
        <f>SUM(AA605:AA701)</f>
        <v>26</v>
      </c>
      <c r="P604" s="33"/>
      <c r="Q604" s="32">
        <f>SUM(AC605:AC701)</f>
        <v>26</v>
      </c>
      <c r="R604" s="34"/>
      <c r="S604" s="34"/>
      <c r="T604" s="35" t="s">
        <v>59</v>
      </c>
      <c r="U604" s="26"/>
      <c r="V604" s="26"/>
      <c r="W604" s="26"/>
      <c r="X604" s="26"/>
      <c r="Y604" s="26"/>
      <c r="Z604" s="26"/>
      <c r="AA604" s="26"/>
      <c r="AB604" s="26"/>
      <c r="AC604" s="26"/>
    </row>
    <row r="605" ht="33.75" customHeight="1">
      <c r="A605" s="112" t="s">
        <v>1037</v>
      </c>
      <c r="B605" s="38" t="s">
        <v>26</v>
      </c>
      <c r="C605" s="38" t="s">
        <v>1038</v>
      </c>
      <c r="D605" s="38" t="s">
        <v>1038</v>
      </c>
      <c r="E605" s="113" t="s">
        <v>1039</v>
      </c>
      <c r="F605" s="114"/>
      <c r="G605" s="114"/>
      <c r="H605" s="123"/>
      <c r="I605" s="123"/>
      <c r="J605" s="114"/>
      <c r="K605" s="115"/>
      <c r="L605" s="42">
        <f>IF(COUNT(L606,L610,L614,L618,L622,L626)=0,"",SUM(L606,L610,L614,L618,L622,L626))</f>
        <v>4</v>
      </c>
      <c r="M605" s="42">
        <f t="shared" ref="M605:M701" si="406">(N605+L605)/2</f>
        <v>5.625</v>
      </c>
      <c r="N605" s="42">
        <f t="shared" ref="N605:O605" si="404">IF(COUNT(N606,N610,N614,N618,N622,N626)=0,"",SUM(N606,N610,N614,N618,N622,N626))</f>
        <v>7.25</v>
      </c>
      <c r="O605" s="42">
        <f t="shared" si="404"/>
        <v>5.625</v>
      </c>
      <c r="P605" s="124"/>
      <c r="Q605" s="42">
        <f>IF(COUNT(Q606,Q610,Q614,Q618,Q622,Q626)=0,"",SUM(Q606,Q610,Q614,Q618,Q622,Q626))</f>
        <v>5.625</v>
      </c>
      <c r="R605" s="126"/>
      <c r="S605" s="126"/>
      <c r="T605" s="123" t="s">
        <v>62</v>
      </c>
      <c r="U605" s="26"/>
      <c r="V605" s="26"/>
      <c r="W605" s="26"/>
      <c r="X605" s="46">
        <f t="shared" ref="X605:AA605" si="405">L605</f>
        <v>4</v>
      </c>
      <c r="Y605" s="46">
        <f t="shared" si="405"/>
        <v>5.625</v>
      </c>
      <c r="Z605" s="46">
        <f t="shared" si="405"/>
        <v>7.25</v>
      </c>
      <c r="AA605" s="46">
        <f t="shared" si="405"/>
        <v>5.625</v>
      </c>
      <c r="AB605" s="26"/>
      <c r="AC605" s="46">
        <f>Q605</f>
        <v>5.625</v>
      </c>
    </row>
    <row r="606" ht="33.75" customHeight="1">
      <c r="A606" s="116" t="s">
        <v>1040</v>
      </c>
      <c r="B606" s="77" t="s">
        <v>26</v>
      </c>
      <c r="C606" s="77" t="s">
        <v>1038</v>
      </c>
      <c r="D606" s="77" t="s">
        <v>1041</v>
      </c>
      <c r="E606" s="117" t="s">
        <v>1042</v>
      </c>
      <c r="F606" s="118" t="s">
        <v>233</v>
      </c>
      <c r="G606" s="118" t="s">
        <v>168</v>
      </c>
      <c r="H606" s="54" t="s">
        <v>168</v>
      </c>
      <c r="I606" s="54"/>
      <c r="J606" s="118" t="s">
        <v>9</v>
      </c>
      <c r="K606" s="120" t="s">
        <v>9</v>
      </c>
      <c r="L606" s="51">
        <f>IF(COUNT(L607:N609)=0,"",SUM(L607:L609))</f>
        <v>1</v>
      </c>
      <c r="M606" s="51">
        <f t="shared" si="406"/>
        <v>1.375</v>
      </c>
      <c r="N606" s="51">
        <f>IF(COUNT(L607:N609)=0,"",SUM(N607:N609))</f>
        <v>1.75</v>
      </c>
      <c r="O606" s="51">
        <f>IF(COUNT(O607:O609)=0,"",SUM(O607:O609))</f>
        <v>1.375</v>
      </c>
      <c r="P606" s="52"/>
      <c r="Q606" s="51">
        <f t="shared" ref="Q606:Q621" si="407">IF(O606="","",IF(P606="",O606,O606*(1+P606)))</f>
        <v>1.375</v>
      </c>
      <c r="R606" s="53"/>
      <c r="S606" s="53"/>
      <c r="T606" s="54" t="s">
        <v>65</v>
      </c>
      <c r="U606" s="179"/>
      <c r="V606" s="179"/>
      <c r="W606" s="179"/>
      <c r="X606" s="105"/>
      <c r="Y606" s="105"/>
      <c r="Z606" s="105"/>
      <c r="AA606" s="105"/>
      <c r="AB606" s="179"/>
      <c r="AC606" s="105"/>
    </row>
    <row r="607" ht="33.75" customHeight="1">
      <c r="A607" s="78" t="s">
        <v>1043</v>
      </c>
      <c r="B607" s="79" t="s">
        <v>26</v>
      </c>
      <c r="C607" s="79" t="s">
        <v>1038</v>
      </c>
      <c r="D607" s="79" t="s">
        <v>1041</v>
      </c>
      <c r="E607" s="94" t="s">
        <v>1042</v>
      </c>
      <c r="F607" s="95" t="s">
        <v>233</v>
      </c>
      <c r="G607" s="95" t="s">
        <v>168</v>
      </c>
      <c r="H607" s="97" t="s">
        <v>168</v>
      </c>
      <c r="I607" s="65"/>
      <c r="J607" s="95" t="s">
        <v>9</v>
      </c>
      <c r="K607" s="121" t="s">
        <v>9</v>
      </c>
      <c r="L607" s="129">
        <v>0.5</v>
      </c>
      <c r="M607" s="129">
        <f t="shared" si="406"/>
        <v>0.625</v>
      </c>
      <c r="N607" s="129">
        <v>0.75</v>
      </c>
      <c r="O607" s="130">
        <f t="shared" ref="O607:O609" si="408">IF(COUNT(L607:N607)=0,"",(L607+4*M607+N607)/6)</f>
        <v>0.625</v>
      </c>
      <c r="P607" s="159"/>
      <c r="Q607" s="208">
        <f t="shared" si="407"/>
        <v>0.625</v>
      </c>
      <c r="R607" s="132"/>
      <c r="S607" s="132"/>
      <c r="T607" s="65" t="s">
        <v>31</v>
      </c>
      <c r="U607" s="26"/>
      <c r="V607" s="26"/>
      <c r="W607" s="26"/>
      <c r="X607" s="26"/>
      <c r="Y607" s="26"/>
      <c r="Z607" s="26"/>
      <c r="AA607" s="26"/>
      <c r="AB607" s="26"/>
      <c r="AC607" s="26"/>
    </row>
    <row r="608" ht="33.75" customHeight="1">
      <c r="A608" s="78" t="s">
        <v>1044</v>
      </c>
      <c r="B608" s="79" t="s">
        <v>26</v>
      </c>
      <c r="C608" s="79" t="s">
        <v>1038</v>
      </c>
      <c r="D608" s="79" t="s">
        <v>1041</v>
      </c>
      <c r="E608" s="94" t="s">
        <v>1042</v>
      </c>
      <c r="F608" s="95" t="s">
        <v>233</v>
      </c>
      <c r="G608" s="95" t="s">
        <v>168</v>
      </c>
      <c r="H608" s="65" t="s">
        <v>168</v>
      </c>
      <c r="I608" s="65"/>
      <c r="J608" s="95" t="s">
        <v>9</v>
      </c>
      <c r="K608" s="121" t="s">
        <v>9</v>
      </c>
      <c r="L608" s="129">
        <v>0.25</v>
      </c>
      <c r="M608" s="129">
        <f t="shared" si="406"/>
        <v>0.375</v>
      </c>
      <c r="N608" s="129">
        <v>0.5</v>
      </c>
      <c r="O608" s="130">
        <f t="shared" si="408"/>
        <v>0.375</v>
      </c>
      <c r="P608" s="159"/>
      <c r="Q608" s="208">
        <f t="shared" si="407"/>
        <v>0.375</v>
      </c>
      <c r="R608" s="132"/>
      <c r="S608" s="132"/>
      <c r="T608" s="65" t="s">
        <v>32</v>
      </c>
      <c r="U608" s="26"/>
      <c r="V608" s="26"/>
      <c r="W608" s="26"/>
      <c r="X608" s="26"/>
      <c r="Y608" s="26"/>
      <c r="Z608" s="26"/>
      <c r="AA608" s="26"/>
      <c r="AB608" s="26"/>
      <c r="AC608" s="26"/>
    </row>
    <row r="609" ht="33.75" customHeight="1">
      <c r="A609" s="78" t="s">
        <v>1045</v>
      </c>
      <c r="B609" s="79" t="s">
        <v>26</v>
      </c>
      <c r="C609" s="79" t="s">
        <v>1038</v>
      </c>
      <c r="D609" s="79" t="s">
        <v>1041</v>
      </c>
      <c r="E609" s="94" t="s">
        <v>1042</v>
      </c>
      <c r="F609" s="95" t="s">
        <v>233</v>
      </c>
      <c r="G609" s="95" t="s">
        <v>168</v>
      </c>
      <c r="H609" s="65" t="s">
        <v>168</v>
      </c>
      <c r="I609" s="65"/>
      <c r="J609" s="95" t="s">
        <v>9</v>
      </c>
      <c r="K609" s="121" t="s">
        <v>9</v>
      </c>
      <c r="L609" s="129">
        <v>0.25</v>
      </c>
      <c r="M609" s="129">
        <f t="shared" si="406"/>
        <v>0.375</v>
      </c>
      <c r="N609" s="129">
        <v>0.5</v>
      </c>
      <c r="O609" s="130">
        <f t="shared" si="408"/>
        <v>0.375</v>
      </c>
      <c r="P609" s="159"/>
      <c r="Q609" s="208">
        <f t="shared" si="407"/>
        <v>0.375</v>
      </c>
      <c r="R609" s="132"/>
      <c r="S609" s="132"/>
      <c r="T609" s="65" t="s">
        <v>70</v>
      </c>
      <c r="U609" s="26"/>
      <c r="V609" s="26"/>
      <c r="W609" s="26"/>
      <c r="X609" s="26"/>
      <c r="Y609" s="26"/>
      <c r="Z609" s="26"/>
      <c r="AA609" s="26"/>
      <c r="AB609" s="26"/>
      <c r="AC609" s="26"/>
    </row>
    <row r="610" ht="33.75" customHeight="1">
      <c r="A610" s="116" t="s">
        <v>1046</v>
      </c>
      <c r="B610" s="77" t="s">
        <v>26</v>
      </c>
      <c r="C610" s="77" t="s">
        <v>1038</v>
      </c>
      <c r="D610" s="77" t="s">
        <v>1047</v>
      </c>
      <c r="E610" s="117" t="s">
        <v>1048</v>
      </c>
      <c r="F610" s="118" t="s">
        <v>233</v>
      </c>
      <c r="G610" s="118" t="s">
        <v>168</v>
      </c>
      <c r="H610" s="119" t="s">
        <v>168</v>
      </c>
      <c r="I610" s="119"/>
      <c r="J610" s="118" t="s">
        <v>9</v>
      </c>
      <c r="K610" s="120" t="s">
        <v>9</v>
      </c>
      <c r="L610" s="51">
        <f>IF(COUNT(L611:N613)=0,"",SUM(L611:L613))</f>
        <v>1</v>
      </c>
      <c r="M610" s="51">
        <f t="shared" si="406"/>
        <v>1.375</v>
      </c>
      <c r="N610" s="51">
        <f>IF(COUNT(L611:N613)=0,"",SUM(N611:N613))</f>
        <v>1.75</v>
      </c>
      <c r="O610" s="51">
        <f>IF(COUNT(O611:O613)=0,"",SUM(O611:O613))</f>
        <v>1.375</v>
      </c>
      <c r="P610" s="52"/>
      <c r="Q610" s="202">
        <f t="shared" si="407"/>
        <v>1.375</v>
      </c>
      <c r="R610" s="163"/>
      <c r="S610" s="163"/>
      <c r="T610" s="119" t="s">
        <v>65</v>
      </c>
      <c r="U610" s="179"/>
      <c r="V610" s="179"/>
      <c r="W610" s="179"/>
      <c r="X610" s="105"/>
      <c r="Y610" s="105"/>
      <c r="Z610" s="105"/>
      <c r="AA610" s="105"/>
      <c r="AB610" s="179"/>
      <c r="AC610" s="105"/>
    </row>
    <row r="611" ht="33.75" customHeight="1">
      <c r="A611" s="78" t="s">
        <v>1049</v>
      </c>
      <c r="B611" s="79" t="s">
        <v>26</v>
      </c>
      <c r="C611" s="79" t="s">
        <v>1038</v>
      </c>
      <c r="D611" s="79" t="s">
        <v>1047</v>
      </c>
      <c r="E611" s="94" t="s">
        <v>1048</v>
      </c>
      <c r="F611" s="95" t="s">
        <v>233</v>
      </c>
      <c r="G611" s="95" t="s">
        <v>168</v>
      </c>
      <c r="H611" s="65" t="s">
        <v>168</v>
      </c>
      <c r="I611" s="65"/>
      <c r="J611" s="95" t="s">
        <v>9</v>
      </c>
      <c r="K611" s="121" t="s">
        <v>9</v>
      </c>
      <c r="L611" s="129">
        <v>0.5</v>
      </c>
      <c r="M611" s="129">
        <f t="shared" si="406"/>
        <v>0.625</v>
      </c>
      <c r="N611" s="129">
        <v>0.75</v>
      </c>
      <c r="O611" s="130">
        <f t="shared" ref="O611:O613" si="409">IF(COUNT(L611:N611)=0,"",(L611+4*M611+N611)/6)</f>
        <v>0.625</v>
      </c>
      <c r="P611" s="159"/>
      <c r="Q611" s="208">
        <f t="shared" si="407"/>
        <v>0.625</v>
      </c>
      <c r="R611" s="132"/>
      <c r="S611" s="132"/>
      <c r="T611" s="65" t="s">
        <v>31</v>
      </c>
      <c r="U611" s="26"/>
      <c r="V611" s="26"/>
      <c r="W611" s="26"/>
      <c r="X611" s="26"/>
      <c r="Y611" s="26"/>
      <c r="Z611" s="26"/>
      <c r="AA611" s="26"/>
      <c r="AB611" s="26"/>
      <c r="AC611" s="26"/>
    </row>
    <row r="612" ht="33.75" customHeight="1">
      <c r="A612" s="78" t="s">
        <v>1050</v>
      </c>
      <c r="B612" s="79" t="s">
        <v>26</v>
      </c>
      <c r="C612" s="79" t="s">
        <v>1038</v>
      </c>
      <c r="D612" s="79" t="s">
        <v>1047</v>
      </c>
      <c r="E612" s="94" t="s">
        <v>1048</v>
      </c>
      <c r="F612" s="95" t="s">
        <v>233</v>
      </c>
      <c r="G612" s="95" t="s">
        <v>168</v>
      </c>
      <c r="H612" s="65" t="s">
        <v>168</v>
      </c>
      <c r="I612" s="65"/>
      <c r="J612" s="95" t="s">
        <v>9</v>
      </c>
      <c r="K612" s="121" t="s">
        <v>9</v>
      </c>
      <c r="L612" s="129">
        <v>0.25</v>
      </c>
      <c r="M612" s="129">
        <f t="shared" si="406"/>
        <v>0.375</v>
      </c>
      <c r="N612" s="129">
        <v>0.5</v>
      </c>
      <c r="O612" s="130">
        <f t="shared" si="409"/>
        <v>0.375</v>
      </c>
      <c r="P612" s="159"/>
      <c r="Q612" s="208">
        <f t="shared" si="407"/>
        <v>0.375</v>
      </c>
      <c r="R612" s="132"/>
      <c r="S612" s="132"/>
      <c r="T612" s="65" t="s">
        <v>32</v>
      </c>
      <c r="U612" s="26"/>
      <c r="V612" s="26"/>
      <c r="W612" s="26"/>
      <c r="X612" s="26"/>
      <c r="Y612" s="26"/>
      <c r="Z612" s="26"/>
      <c r="AA612" s="26"/>
      <c r="AB612" s="26"/>
      <c r="AC612" s="26"/>
    </row>
    <row r="613" ht="33.75" customHeight="1">
      <c r="A613" s="78" t="s">
        <v>1051</v>
      </c>
      <c r="B613" s="79" t="s">
        <v>26</v>
      </c>
      <c r="C613" s="79" t="s">
        <v>1038</v>
      </c>
      <c r="D613" s="79" t="s">
        <v>1047</v>
      </c>
      <c r="E613" s="94" t="s">
        <v>1048</v>
      </c>
      <c r="F613" s="95" t="s">
        <v>233</v>
      </c>
      <c r="G613" s="95" t="s">
        <v>168</v>
      </c>
      <c r="H613" s="97" t="s">
        <v>168</v>
      </c>
      <c r="I613" s="65"/>
      <c r="J613" s="95" t="s">
        <v>9</v>
      </c>
      <c r="K613" s="121" t="s">
        <v>9</v>
      </c>
      <c r="L613" s="129">
        <v>0.25</v>
      </c>
      <c r="M613" s="129">
        <f t="shared" si="406"/>
        <v>0.375</v>
      </c>
      <c r="N613" s="129">
        <v>0.5</v>
      </c>
      <c r="O613" s="130">
        <f t="shared" si="409"/>
        <v>0.375</v>
      </c>
      <c r="P613" s="159"/>
      <c r="Q613" s="208">
        <f t="shared" si="407"/>
        <v>0.375</v>
      </c>
      <c r="R613" s="132"/>
      <c r="S613" s="132"/>
      <c r="T613" s="65" t="s">
        <v>70</v>
      </c>
      <c r="U613" s="26"/>
      <c r="V613" s="26"/>
      <c r="W613" s="26"/>
      <c r="X613" s="26"/>
      <c r="Y613" s="26"/>
      <c r="Z613" s="26"/>
      <c r="AA613" s="26"/>
      <c r="AB613" s="26"/>
      <c r="AC613" s="26"/>
    </row>
    <row r="614" ht="33.75" customHeight="1">
      <c r="A614" s="116" t="s">
        <v>1052</v>
      </c>
      <c r="B614" s="77" t="s">
        <v>26</v>
      </c>
      <c r="C614" s="77" t="s">
        <v>1038</v>
      </c>
      <c r="D614" s="77" t="s">
        <v>1053</v>
      </c>
      <c r="E614" s="117" t="s">
        <v>1054</v>
      </c>
      <c r="F614" s="118" t="s">
        <v>1055</v>
      </c>
      <c r="G614" s="118" t="s">
        <v>168</v>
      </c>
      <c r="H614" s="119" t="s">
        <v>168</v>
      </c>
      <c r="I614" s="119"/>
      <c r="J614" s="118" t="s">
        <v>9</v>
      </c>
      <c r="K614" s="120" t="s">
        <v>9</v>
      </c>
      <c r="L614" s="51">
        <f>IF(COUNT(L615:N617)=0,"",SUM(L615:L617))</f>
        <v>1</v>
      </c>
      <c r="M614" s="51">
        <f t="shared" si="406"/>
        <v>1.375</v>
      </c>
      <c r="N614" s="51">
        <f>IF(COUNT(L615:N617)=0,"",SUM(N615:N617))</f>
        <v>1.75</v>
      </c>
      <c r="O614" s="51">
        <f>IF(COUNT(O615:O617)=0,"",SUM(O615:O617))</f>
        <v>1.375</v>
      </c>
      <c r="P614" s="52"/>
      <c r="Q614" s="202">
        <f t="shared" si="407"/>
        <v>1.375</v>
      </c>
      <c r="R614" s="163"/>
      <c r="S614" s="163"/>
      <c r="T614" s="119" t="s">
        <v>65</v>
      </c>
      <c r="U614" s="179"/>
      <c r="V614" s="179"/>
      <c r="W614" s="179"/>
      <c r="X614" s="105"/>
      <c r="Y614" s="105"/>
      <c r="Z614" s="105"/>
      <c r="AA614" s="105"/>
      <c r="AB614" s="179"/>
      <c r="AC614" s="105"/>
    </row>
    <row r="615" ht="33.75" customHeight="1">
      <c r="A615" s="78" t="s">
        <v>1056</v>
      </c>
      <c r="B615" s="79" t="s">
        <v>26</v>
      </c>
      <c r="C615" s="79" t="s">
        <v>1038</v>
      </c>
      <c r="D615" s="79" t="s">
        <v>1053</v>
      </c>
      <c r="E615" s="94" t="s">
        <v>1054</v>
      </c>
      <c r="F615" s="95" t="s">
        <v>1055</v>
      </c>
      <c r="G615" s="95" t="s">
        <v>168</v>
      </c>
      <c r="H615" s="65" t="s">
        <v>168</v>
      </c>
      <c r="I615" s="65"/>
      <c r="J615" s="95" t="s">
        <v>9</v>
      </c>
      <c r="K615" s="121" t="s">
        <v>9</v>
      </c>
      <c r="L615" s="129">
        <v>0.5</v>
      </c>
      <c r="M615" s="129">
        <f t="shared" si="406"/>
        <v>0.625</v>
      </c>
      <c r="N615" s="129">
        <v>0.75</v>
      </c>
      <c r="O615" s="130">
        <f t="shared" ref="O615:O617" si="410">IF(COUNT(L615:N615)=0,"",(L615+4*M615+N615)/6)</f>
        <v>0.625</v>
      </c>
      <c r="P615" s="159"/>
      <c r="Q615" s="208">
        <f t="shared" si="407"/>
        <v>0.625</v>
      </c>
      <c r="R615" s="132"/>
      <c r="S615" s="132"/>
      <c r="T615" s="65" t="s">
        <v>31</v>
      </c>
      <c r="U615" s="26"/>
      <c r="V615" s="26"/>
      <c r="W615" s="26"/>
      <c r="X615" s="26"/>
      <c r="Y615" s="26"/>
      <c r="Z615" s="26"/>
      <c r="AA615" s="26"/>
      <c r="AB615" s="26"/>
      <c r="AC615" s="26"/>
    </row>
    <row r="616" ht="33.75" customHeight="1">
      <c r="A616" s="78" t="s">
        <v>1057</v>
      </c>
      <c r="B616" s="79" t="s">
        <v>26</v>
      </c>
      <c r="C616" s="79" t="s">
        <v>1038</v>
      </c>
      <c r="D616" s="79" t="s">
        <v>1053</v>
      </c>
      <c r="E616" s="94" t="s">
        <v>1054</v>
      </c>
      <c r="F616" s="95" t="s">
        <v>1055</v>
      </c>
      <c r="G616" s="95" t="s">
        <v>168</v>
      </c>
      <c r="H616" s="65" t="s">
        <v>168</v>
      </c>
      <c r="I616" s="65"/>
      <c r="J616" s="95" t="s">
        <v>9</v>
      </c>
      <c r="K616" s="121" t="s">
        <v>9</v>
      </c>
      <c r="L616" s="129">
        <v>0.25</v>
      </c>
      <c r="M616" s="129">
        <f t="shared" si="406"/>
        <v>0.375</v>
      </c>
      <c r="N616" s="129">
        <v>0.5</v>
      </c>
      <c r="O616" s="130">
        <f t="shared" si="410"/>
        <v>0.375</v>
      </c>
      <c r="P616" s="159"/>
      <c r="Q616" s="208">
        <f t="shared" si="407"/>
        <v>0.375</v>
      </c>
      <c r="R616" s="132"/>
      <c r="S616" s="132"/>
      <c r="T616" s="65" t="s">
        <v>32</v>
      </c>
      <c r="U616" s="26"/>
      <c r="V616" s="26"/>
      <c r="W616" s="26"/>
      <c r="X616" s="26"/>
      <c r="Y616" s="26"/>
      <c r="Z616" s="26"/>
      <c r="AA616" s="26"/>
      <c r="AB616" s="26"/>
      <c r="AC616" s="26"/>
    </row>
    <row r="617" ht="33.75" customHeight="1">
      <c r="A617" s="78" t="s">
        <v>1058</v>
      </c>
      <c r="B617" s="79" t="s">
        <v>26</v>
      </c>
      <c r="C617" s="79" t="s">
        <v>1038</v>
      </c>
      <c r="D617" s="79" t="s">
        <v>1053</v>
      </c>
      <c r="E617" s="94" t="s">
        <v>1054</v>
      </c>
      <c r="F617" s="95" t="s">
        <v>1055</v>
      </c>
      <c r="G617" s="95" t="s">
        <v>168</v>
      </c>
      <c r="H617" s="97" t="s">
        <v>168</v>
      </c>
      <c r="I617" s="65"/>
      <c r="J617" s="95" t="s">
        <v>9</v>
      </c>
      <c r="K617" s="121" t="s">
        <v>9</v>
      </c>
      <c r="L617" s="129">
        <v>0.25</v>
      </c>
      <c r="M617" s="129">
        <f t="shared" si="406"/>
        <v>0.375</v>
      </c>
      <c r="N617" s="129">
        <v>0.5</v>
      </c>
      <c r="O617" s="130">
        <f t="shared" si="410"/>
        <v>0.375</v>
      </c>
      <c r="P617" s="159"/>
      <c r="Q617" s="208">
        <f t="shared" si="407"/>
        <v>0.375</v>
      </c>
      <c r="R617" s="132"/>
      <c r="S617" s="132"/>
      <c r="T617" s="65" t="s">
        <v>70</v>
      </c>
      <c r="U617" s="26"/>
      <c r="V617" s="26"/>
      <c r="W617" s="26"/>
      <c r="X617" s="26"/>
      <c r="Y617" s="26"/>
      <c r="Z617" s="26"/>
      <c r="AA617" s="26"/>
      <c r="AB617" s="26"/>
      <c r="AC617" s="26"/>
    </row>
    <row r="618" ht="33.75" customHeight="1">
      <c r="A618" s="116" t="s">
        <v>1059</v>
      </c>
      <c r="B618" s="77" t="s">
        <v>26</v>
      </c>
      <c r="C618" s="77" t="s">
        <v>1038</v>
      </c>
      <c r="D618" s="77" t="s">
        <v>1060</v>
      </c>
      <c r="E618" s="117" t="s">
        <v>1061</v>
      </c>
      <c r="F618" s="118" t="s">
        <v>1062</v>
      </c>
      <c r="G618" s="118" t="s">
        <v>200</v>
      </c>
      <c r="H618" s="119" t="s">
        <v>200</v>
      </c>
      <c r="I618" s="119"/>
      <c r="J618" s="118" t="s">
        <v>9</v>
      </c>
      <c r="K618" s="120" t="s">
        <v>9</v>
      </c>
      <c r="L618" s="51">
        <f>IF(COUNT(L619:N621)=0,"",SUM(L619:L621))</f>
        <v>0.5</v>
      </c>
      <c r="M618" s="51">
        <f t="shared" si="406"/>
        <v>0.75</v>
      </c>
      <c r="N618" s="51">
        <f>IF(COUNT(L619:N621)=0,"",SUM(N619:N621))</f>
        <v>1</v>
      </c>
      <c r="O618" s="51">
        <f>IF(COUNT(O619:O621)=0,"",SUM(O619:O621))</f>
        <v>0.75</v>
      </c>
      <c r="P618" s="52"/>
      <c r="Q618" s="202">
        <f t="shared" si="407"/>
        <v>0.75</v>
      </c>
      <c r="R618" s="163"/>
      <c r="S618" s="163"/>
      <c r="T618" s="119" t="s">
        <v>65</v>
      </c>
      <c r="U618" s="179"/>
      <c r="V618" s="179"/>
      <c r="W618" s="179"/>
      <c r="X618" s="105"/>
      <c r="Y618" s="105"/>
      <c r="Z618" s="105"/>
      <c r="AA618" s="105"/>
      <c r="AB618" s="179"/>
      <c r="AC618" s="105"/>
    </row>
    <row r="619" ht="33.75" customHeight="1">
      <c r="A619" s="78" t="s">
        <v>1063</v>
      </c>
      <c r="B619" s="79" t="s">
        <v>26</v>
      </c>
      <c r="C619" s="79" t="s">
        <v>1038</v>
      </c>
      <c r="D619" s="79" t="s">
        <v>1060</v>
      </c>
      <c r="E619" s="94" t="s">
        <v>1061</v>
      </c>
      <c r="F619" s="95" t="s">
        <v>1062</v>
      </c>
      <c r="G619" s="95" t="s">
        <v>200</v>
      </c>
      <c r="H619" s="65" t="s">
        <v>200</v>
      </c>
      <c r="I619" s="65"/>
      <c r="J619" s="95" t="s">
        <v>9</v>
      </c>
      <c r="K619" s="121" t="s">
        <v>9</v>
      </c>
      <c r="L619" s="129">
        <v>0.0</v>
      </c>
      <c r="M619" s="129">
        <f t="shared" si="406"/>
        <v>0</v>
      </c>
      <c r="N619" s="129">
        <v>0.0</v>
      </c>
      <c r="O619" s="130">
        <f t="shared" ref="O619:O621" si="411">IF(COUNT(L619:N619)=0,"",(L619+4*M619+N619)/6)</f>
        <v>0</v>
      </c>
      <c r="P619" s="159"/>
      <c r="Q619" s="208">
        <f t="shared" si="407"/>
        <v>0</v>
      </c>
      <c r="R619" s="132"/>
      <c r="S619" s="132"/>
      <c r="T619" s="65" t="s">
        <v>31</v>
      </c>
      <c r="U619" s="26"/>
      <c r="V619" s="26"/>
      <c r="W619" s="26"/>
      <c r="X619" s="26"/>
      <c r="Y619" s="26"/>
      <c r="Z619" s="26"/>
      <c r="AA619" s="26"/>
      <c r="AB619" s="26"/>
      <c r="AC619" s="26"/>
    </row>
    <row r="620" ht="33.75" customHeight="1">
      <c r="A620" s="78" t="s">
        <v>1064</v>
      </c>
      <c r="B620" s="79" t="s">
        <v>26</v>
      </c>
      <c r="C620" s="79" t="s">
        <v>1038</v>
      </c>
      <c r="D620" s="79" t="s">
        <v>1060</v>
      </c>
      <c r="E620" s="94" t="s">
        <v>1061</v>
      </c>
      <c r="F620" s="95" t="s">
        <v>1062</v>
      </c>
      <c r="G620" s="95" t="s">
        <v>200</v>
      </c>
      <c r="H620" s="65" t="s">
        <v>200</v>
      </c>
      <c r="I620" s="65"/>
      <c r="J620" s="95" t="s">
        <v>9</v>
      </c>
      <c r="K620" s="121" t="s">
        <v>9</v>
      </c>
      <c r="L620" s="129">
        <v>0.25</v>
      </c>
      <c r="M620" s="129">
        <f t="shared" si="406"/>
        <v>0.375</v>
      </c>
      <c r="N620" s="129">
        <v>0.5</v>
      </c>
      <c r="O620" s="130">
        <f t="shared" si="411"/>
        <v>0.375</v>
      </c>
      <c r="P620" s="159"/>
      <c r="Q620" s="208">
        <f t="shared" si="407"/>
        <v>0.375</v>
      </c>
      <c r="R620" s="132"/>
      <c r="S620" s="132"/>
      <c r="T620" s="65" t="s">
        <v>32</v>
      </c>
      <c r="U620" s="26"/>
      <c r="V620" s="26"/>
      <c r="W620" s="26"/>
      <c r="X620" s="26"/>
      <c r="Y620" s="26"/>
      <c r="Z620" s="26"/>
      <c r="AA620" s="26"/>
      <c r="AB620" s="26"/>
      <c r="AC620" s="26"/>
    </row>
    <row r="621" ht="33.75" customHeight="1">
      <c r="A621" s="78" t="s">
        <v>1065</v>
      </c>
      <c r="B621" s="79" t="s">
        <v>26</v>
      </c>
      <c r="C621" s="79" t="s">
        <v>1038</v>
      </c>
      <c r="D621" s="79" t="s">
        <v>1060</v>
      </c>
      <c r="E621" s="94" t="s">
        <v>1061</v>
      </c>
      <c r="F621" s="95" t="s">
        <v>1062</v>
      </c>
      <c r="G621" s="95" t="s">
        <v>200</v>
      </c>
      <c r="H621" s="65" t="s">
        <v>200</v>
      </c>
      <c r="I621" s="65"/>
      <c r="J621" s="95" t="s">
        <v>9</v>
      </c>
      <c r="K621" s="121" t="s">
        <v>9</v>
      </c>
      <c r="L621" s="129">
        <v>0.25</v>
      </c>
      <c r="M621" s="129">
        <f t="shared" si="406"/>
        <v>0.375</v>
      </c>
      <c r="N621" s="129">
        <v>0.5</v>
      </c>
      <c r="O621" s="130">
        <f t="shared" si="411"/>
        <v>0.375</v>
      </c>
      <c r="P621" s="159"/>
      <c r="Q621" s="208">
        <f t="shared" si="407"/>
        <v>0.375</v>
      </c>
      <c r="R621" s="132"/>
      <c r="S621" s="132"/>
      <c r="T621" s="65" t="s">
        <v>70</v>
      </c>
      <c r="U621" s="26"/>
      <c r="V621" s="26"/>
      <c r="W621" s="26"/>
      <c r="X621" s="26"/>
      <c r="Y621" s="26"/>
      <c r="Z621" s="26"/>
      <c r="AA621" s="26"/>
      <c r="AB621" s="26"/>
      <c r="AC621" s="26"/>
    </row>
    <row r="622" ht="33.75" customHeight="1">
      <c r="A622" s="54" t="s">
        <v>1066</v>
      </c>
      <c r="B622" s="209" t="s">
        <v>26</v>
      </c>
      <c r="C622" s="209" t="s">
        <v>1038</v>
      </c>
      <c r="D622" s="209" t="s">
        <v>1067</v>
      </c>
      <c r="E622" s="209" t="s">
        <v>1068</v>
      </c>
      <c r="F622" s="54" t="s">
        <v>1069</v>
      </c>
      <c r="G622" s="54" t="s">
        <v>168</v>
      </c>
      <c r="H622" s="54" t="s">
        <v>168</v>
      </c>
      <c r="I622" s="54"/>
      <c r="J622" s="54" t="s">
        <v>9</v>
      </c>
      <c r="K622" s="119" t="s">
        <v>9</v>
      </c>
      <c r="L622" s="202">
        <f>IF(COUNT(L623:N625)=0,"",SUM(L623:L625))</f>
        <v>0.25</v>
      </c>
      <c r="M622" s="51">
        <f t="shared" si="406"/>
        <v>0.375</v>
      </c>
      <c r="N622" s="202">
        <f>IF(COUNT(L623:N625)=0,"",SUM(N623:N625))</f>
        <v>0.5</v>
      </c>
      <c r="O622" s="202">
        <f>IF(COUNT(O623:O625)=0,"",SUM(O623:O625))</f>
        <v>0.375</v>
      </c>
      <c r="P622" s="210"/>
      <c r="Q622" s="202">
        <f>IF(COUNT(Q623:Q625)=0,"",SUM(Q623:Q625))</f>
        <v>0.375</v>
      </c>
      <c r="R622" s="163"/>
      <c r="S622" s="163"/>
      <c r="T622" s="54" t="s">
        <v>65</v>
      </c>
      <c r="U622" s="179"/>
      <c r="V622" s="179"/>
      <c r="W622" s="179"/>
      <c r="X622" s="105"/>
      <c r="Y622" s="105"/>
      <c r="Z622" s="105"/>
      <c r="AA622" s="105"/>
      <c r="AB622" s="179"/>
      <c r="AC622" s="105"/>
    </row>
    <row r="623" ht="33.75" customHeight="1">
      <c r="A623" s="211" t="s">
        <v>1070</v>
      </c>
      <c r="B623" s="79" t="s">
        <v>26</v>
      </c>
      <c r="C623" s="79" t="s">
        <v>1038</v>
      </c>
      <c r="D623" s="79" t="s">
        <v>1067</v>
      </c>
      <c r="E623" s="94" t="s">
        <v>1068</v>
      </c>
      <c r="F623" s="95" t="s">
        <v>1069</v>
      </c>
      <c r="G623" s="95" t="s">
        <v>168</v>
      </c>
      <c r="H623" s="65" t="s">
        <v>168</v>
      </c>
      <c r="I623" s="65"/>
      <c r="J623" s="95" t="s">
        <v>9</v>
      </c>
      <c r="K623" s="121" t="s">
        <v>9</v>
      </c>
      <c r="L623" s="128">
        <v>0.0</v>
      </c>
      <c r="M623" s="129">
        <f t="shared" si="406"/>
        <v>0</v>
      </c>
      <c r="N623" s="128">
        <v>0.0</v>
      </c>
      <c r="O623" s="130">
        <f t="shared" ref="O623:O625" si="412">IF(COUNT(L623:N623)=0,"",(L623+4*M623+N623)/6)</f>
        <v>0</v>
      </c>
      <c r="P623" s="159"/>
      <c r="Q623" s="208">
        <f t="shared" ref="Q623:Q625" si="413">IF(O623="","",IF(P623="",O623,O623*(1+P623)))</f>
        <v>0</v>
      </c>
      <c r="R623" s="132"/>
      <c r="S623" s="132"/>
      <c r="T623" s="65" t="s">
        <v>31</v>
      </c>
      <c r="U623" s="26"/>
      <c r="V623" s="26"/>
      <c r="W623" s="26"/>
      <c r="X623" s="26"/>
      <c r="Y623" s="26"/>
      <c r="Z623" s="26"/>
      <c r="AA623" s="26"/>
      <c r="AB623" s="26"/>
      <c r="AC623" s="26"/>
    </row>
    <row r="624" ht="33.75" customHeight="1">
      <c r="A624" s="211" t="s">
        <v>1071</v>
      </c>
      <c r="B624" s="79" t="s">
        <v>26</v>
      </c>
      <c r="C624" s="79" t="s">
        <v>1038</v>
      </c>
      <c r="D624" s="79" t="s">
        <v>1067</v>
      </c>
      <c r="E624" s="94" t="s">
        <v>1068</v>
      </c>
      <c r="F624" s="95" t="s">
        <v>1069</v>
      </c>
      <c r="G624" s="95" t="s">
        <v>168</v>
      </c>
      <c r="H624" s="65" t="s">
        <v>168</v>
      </c>
      <c r="I624" s="65"/>
      <c r="J624" s="95" t="s">
        <v>9</v>
      </c>
      <c r="K624" s="121" t="s">
        <v>9</v>
      </c>
      <c r="L624" s="128">
        <v>0.25</v>
      </c>
      <c r="M624" s="129">
        <f t="shared" si="406"/>
        <v>0.375</v>
      </c>
      <c r="N624" s="128">
        <v>0.5</v>
      </c>
      <c r="O624" s="130">
        <f t="shared" si="412"/>
        <v>0.375</v>
      </c>
      <c r="P624" s="159"/>
      <c r="Q624" s="208">
        <f t="shared" si="413"/>
        <v>0.375</v>
      </c>
      <c r="R624" s="132"/>
      <c r="S624" s="132"/>
      <c r="T624" s="65" t="s">
        <v>32</v>
      </c>
      <c r="U624" s="26"/>
      <c r="V624" s="26"/>
      <c r="W624" s="26"/>
      <c r="X624" s="26"/>
      <c r="Y624" s="26"/>
      <c r="Z624" s="26"/>
      <c r="AA624" s="26"/>
      <c r="AB624" s="26"/>
      <c r="AC624" s="26"/>
    </row>
    <row r="625" ht="33.75" customHeight="1">
      <c r="A625" s="211" t="s">
        <v>1072</v>
      </c>
      <c r="B625" s="79" t="s">
        <v>26</v>
      </c>
      <c r="C625" s="79" t="s">
        <v>1038</v>
      </c>
      <c r="D625" s="79" t="s">
        <v>1067</v>
      </c>
      <c r="E625" s="94" t="s">
        <v>1068</v>
      </c>
      <c r="F625" s="95" t="s">
        <v>1069</v>
      </c>
      <c r="G625" s="95" t="s">
        <v>168</v>
      </c>
      <c r="H625" s="65" t="s">
        <v>168</v>
      </c>
      <c r="I625" s="65"/>
      <c r="J625" s="95" t="s">
        <v>9</v>
      </c>
      <c r="K625" s="121" t="s">
        <v>9</v>
      </c>
      <c r="L625" s="128">
        <v>0.0</v>
      </c>
      <c r="M625" s="129">
        <f t="shared" si="406"/>
        <v>0</v>
      </c>
      <c r="N625" s="128">
        <v>0.0</v>
      </c>
      <c r="O625" s="130">
        <f t="shared" si="412"/>
        <v>0</v>
      </c>
      <c r="P625" s="159"/>
      <c r="Q625" s="208">
        <f t="shared" si="413"/>
        <v>0</v>
      </c>
      <c r="R625" s="132"/>
      <c r="S625" s="132"/>
      <c r="T625" s="65" t="s">
        <v>70</v>
      </c>
      <c r="U625" s="26"/>
      <c r="V625" s="26"/>
      <c r="W625" s="26"/>
      <c r="X625" s="26"/>
      <c r="Y625" s="26"/>
      <c r="Z625" s="26"/>
      <c r="AA625" s="26"/>
      <c r="AB625" s="26"/>
      <c r="AC625" s="26"/>
    </row>
    <row r="626" ht="33.75" customHeight="1">
      <c r="A626" s="54" t="s">
        <v>1073</v>
      </c>
      <c r="B626" s="209" t="s">
        <v>26</v>
      </c>
      <c r="C626" s="209" t="s">
        <v>1038</v>
      </c>
      <c r="D626" s="209" t="s">
        <v>1074</v>
      </c>
      <c r="E626" s="209" t="s">
        <v>1075</v>
      </c>
      <c r="F626" s="54" t="s">
        <v>1040</v>
      </c>
      <c r="G626" s="54" t="s">
        <v>154</v>
      </c>
      <c r="H626" s="54" t="s">
        <v>154</v>
      </c>
      <c r="I626" s="54"/>
      <c r="J626" s="54" t="s">
        <v>9</v>
      </c>
      <c r="K626" s="119" t="s">
        <v>9</v>
      </c>
      <c r="L626" s="202">
        <f>IF(COUNT(L627:N629)=0,"",SUM(L627:L629))</f>
        <v>0.25</v>
      </c>
      <c r="M626" s="51">
        <f t="shared" si="406"/>
        <v>0.375</v>
      </c>
      <c r="N626" s="202">
        <f>IF(COUNT(L627:N629)=0,"",SUM(N627:N629))</f>
        <v>0.5</v>
      </c>
      <c r="O626" s="202">
        <f>IF(COUNT(O627:O629)=0,"",SUM(O627:O629))</f>
        <v>0.375</v>
      </c>
      <c r="P626" s="210"/>
      <c r="Q626" s="202">
        <f>IF(COUNT(Q627:Q629)=0,"",SUM(Q627:Q629))</f>
        <v>0.375</v>
      </c>
      <c r="R626" s="163"/>
      <c r="S626" s="163"/>
      <c r="T626" s="54" t="s">
        <v>65</v>
      </c>
      <c r="U626" s="179"/>
      <c r="V626" s="179"/>
      <c r="W626" s="179"/>
      <c r="X626" s="105"/>
      <c r="Y626" s="105"/>
      <c r="Z626" s="105"/>
      <c r="AA626" s="105"/>
      <c r="AB626" s="179"/>
      <c r="AC626" s="105"/>
    </row>
    <row r="627" ht="33.75" customHeight="1">
      <c r="A627" s="78" t="s">
        <v>1076</v>
      </c>
      <c r="B627" s="79" t="s">
        <v>26</v>
      </c>
      <c r="C627" s="79" t="s">
        <v>1038</v>
      </c>
      <c r="D627" s="79" t="s">
        <v>1074</v>
      </c>
      <c r="E627" s="94" t="s">
        <v>1075</v>
      </c>
      <c r="F627" s="95" t="s">
        <v>1040</v>
      </c>
      <c r="G627" s="95" t="s">
        <v>154</v>
      </c>
      <c r="H627" s="65" t="s">
        <v>154</v>
      </c>
      <c r="I627" s="65"/>
      <c r="J627" s="95" t="s">
        <v>9</v>
      </c>
      <c r="K627" s="121" t="s">
        <v>9</v>
      </c>
      <c r="L627" s="129">
        <v>0.0</v>
      </c>
      <c r="M627" s="129">
        <f t="shared" si="406"/>
        <v>0</v>
      </c>
      <c r="N627" s="129">
        <v>0.0</v>
      </c>
      <c r="O627" s="130">
        <f t="shared" ref="O627:O629" si="414">IF(COUNT(L627:N627)=0,"",(L627+4*M627+N627)/6)</f>
        <v>0</v>
      </c>
      <c r="P627" s="159"/>
      <c r="Q627" s="208">
        <f t="shared" ref="Q627:Q629" si="415">IF(O627="","",IF(P627="",O627,O627*(1+P627)))</f>
        <v>0</v>
      </c>
      <c r="R627" s="132"/>
      <c r="S627" s="132"/>
      <c r="T627" s="65" t="s">
        <v>31</v>
      </c>
      <c r="U627" s="26"/>
      <c r="V627" s="26"/>
      <c r="W627" s="26"/>
      <c r="X627" s="26"/>
      <c r="Y627" s="26"/>
      <c r="Z627" s="26"/>
      <c r="AA627" s="26"/>
      <c r="AB627" s="26"/>
      <c r="AC627" s="26"/>
    </row>
    <row r="628" ht="33.75" customHeight="1">
      <c r="A628" s="78" t="s">
        <v>1077</v>
      </c>
      <c r="B628" s="79" t="s">
        <v>26</v>
      </c>
      <c r="C628" s="79" t="s">
        <v>1038</v>
      </c>
      <c r="D628" s="79" t="s">
        <v>1074</v>
      </c>
      <c r="E628" s="94" t="s">
        <v>1075</v>
      </c>
      <c r="F628" s="95" t="s">
        <v>1040</v>
      </c>
      <c r="G628" s="95" t="s">
        <v>154</v>
      </c>
      <c r="H628" s="65" t="s">
        <v>154</v>
      </c>
      <c r="I628" s="65"/>
      <c r="J628" s="95" t="s">
        <v>9</v>
      </c>
      <c r="K628" s="121" t="s">
        <v>9</v>
      </c>
      <c r="L628" s="129">
        <v>0.0</v>
      </c>
      <c r="M628" s="129">
        <f t="shared" si="406"/>
        <v>0</v>
      </c>
      <c r="N628" s="129">
        <v>0.0</v>
      </c>
      <c r="O628" s="130">
        <f t="shared" si="414"/>
        <v>0</v>
      </c>
      <c r="P628" s="159"/>
      <c r="Q628" s="208">
        <f t="shared" si="415"/>
        <v>0</v>
      </c>
      <c r="R628" s="132"/>
      <c r="S628" s="132"/>
      <c r="T628" s="65" t="s">
        <v>32</v>
      </c>
      <c r="U628" s="26"/>
      <c r="V628" s="26"/>
      <c r="W628" s="26"/>
      <c r="X628" s="26"/>
      <c r="Y628" s="26"/>
      <c r="Z628" s="26"/>
      <c r="AA628" s="26"/>
      <c r="AB628" s="26"/>
      <c r="AC628" s="26"/>
    </row>
    <row r="629" ht="33.75" customHeight="1">
      <c r="A629" s="78" t="s">
        <v>1078</v>
      </c>
      <c r="B629" s="79" t="s">
        <v>26</v>
      </c>
      <c r="C629" s="79" t="s">
        <v>1038</v>
      </c>
      <c r="D629" s="79" t="s">
        <v>1074</v>
      </c>
      <c r="E629" s="94" t="s">
        <v>1075</v>
      </c>
      <c r="F629" s="95" t="s">
        <v>1040</v>
      </c>
      <c r="G629" s="95" t="s">
        <v>154</v>
      </c>
      <c r="H629" s="65" t="s">
        <v>154</v>
      </c>
      <c r="I629" s="65"/>
      <c r="J629" s="95" t="s">
        <v>9</v>
      </c>
      <c r="K629" s="121" t="s">
        <v>9</v>
      </c>
      <c r="L629" s="129">
        <v>0.25</v>
      </c>
      <c r="M629" s="129">
        <f t="shared" si="406"/>
        <v>0.375</v>
      </c>
      <c r="N629" s="129">
        <v>0.5</v>
      </c>
      <c r="O629" s="130">
        <f t="shared" si="414"/>
        <v>0.375</v>
      </c>
      <c r="P629" s="159"/>
      <c r="Q629" s="208">
        <f t="shared" si="415"/>
        <v>0.375</v>
      </c>
      <c r="R629" s="132"/>
      <c r="S629" s="132"/>
      <c r="T629" s="65" t="s">
        <v>70</v>
      </c>
      <c r="U629" s="26"/>
      <c r="V629" s="26"/>
      <c r="W629" s="26"/>
      <c r="X629" s="26"/>
      <c r="Y629" s="26"/>
      <c r="Z629" s="26"/>
      <c r="AA629" s="26"/>
      <c r="AB629" s="26"/>
      <c r="AC629" s="26"/>
    </row>
    <row r="630" ht="33.75" customHeight="1">
      <c r="A630" s="45" t="s">
        <v>1079</v>
      </c>
      <c r="B630" s="212" t="s">
        <v>26</v>
      </c>
      <c r="C630" s="212" t="s">
        <v>1080</v>
      </c>
      <c r="D630" s="212" t="s">
        <v>1080</v>
      </c>
      <c r="E630" s="212" t="s">
        <v>1081</v>
      </c>
      <c r="F630" s="45"/>
      <c r="G630" s="45"/>
      <c r="H630" s="45"/>
      <c r="I630" s="45"/>
      <c r="J630" s="45"/>
      <c r="K630" s="123"/>
      <c r="L630" s="213">
        <f>IF(COUNT(L631,L635,L639,L643,L647,L651)=0,"",SUM(L631,L635,L639,L643,L647,L651))</f>
        <v>8.5</v>
      </c>
      <c r="M630" s="213">
        <f t="shared" si="406"/>
        <v>8.125</v>
      </c>
      <c r="N630" s="213">
        <f t="shared" ref="N630:O630" si="416">IF(COUNT(N631,N635,N639,N643,N647,N651)=0,"",SUM(N631,N635,N639,N643,N647,N651))</f>
        <v>7.75</v>
      </c>
      <c r="O630" s="213">
        <f t="shared" si="416"/>
        <v>6</v>
      </c>
      <c r="P630" s="214"/>
      <c r="Q630" s="213">
        <f>IF(COUNT(Q631,Q635,Q639,Q643,Q647,Q651)=0,"",SUM(Q631,Q635,Q639,Q643,Q647,Q651))</f>
        <v>6</v>
      </c>
      <c r="R630" s="126"/>
      <c r="S630" s="126"/>
      <c r="T630" s="45" t="s">
        <v>62</v>
      </c>
      <c r="U630" s="26"/>
      <c r="V630" s="26"/>
      <c r="W630" s="26"/>
      <c r="X630" s="46">
        <f t="shared" ref="X630:AA630" si="417">L630</f>
        <v>8.5</v>
      </c>
      <c r="Y630" s="46">
        <f t="shared" si="417"/>
        <v>8.125</v>
      </c>
      <c r="Z630" s="46">
        <f t="shared" si="417"/>
        <v>7.75</v>
      </c>
      <c r="AA630" s="46">
        <f t="shared" si="417"/>
        <v>6</v>
      </c>
      <c r="AB630" s="26"/>
      <c r="AC630" s="46">
        <f>Q630</f>
        <v>6</v>
      </c>
    </row>
    <row r="631" ht="33.75" customHeight="1">
      <c r="A631" s="54" t="s">
        <v>1082</v>
      </c>
      <c r="B631" s="209" t="s">
        <v>26</v>
      </c>
      <c r="C631" s="209" t="s">
        <v>1080</v>
      </c>
      <c r="D631" s="209" t="s">
        <v>1083</v>
      </c>
      <c r="E631" s="209" t="s">
        <v>1084</v>
      </c>
      <c r="F631" s="54" t="s">
        <v>1040</v>
      </c>
      <c r="G631" s="54" t="s">
        <v>168</v>
      </c>
      <c r="H631" s="54" t="s">
        <v>168</v>
      </c>
      <c r="I631" s="54"/>
      <c r="J631" s="54" t="s">
        <v>9</v>
      </c>
      <c r="K631" s="119" t="s">
        <v>9</v>
      </c>
      <c r="L631" s="202">
        <f>IF(COUNT(L632:N634)=0,"",SUM(L632:L634))</f>
        <v>0.75</v>
      </c>
      <c r="M631" s="202">
        <f t="shared" si="406"/>
        <v>1.125</v>
      </c>
      <c r="N631" s="202">
        <f>IF(COUNT(L632:N634)=0,"",SUM(N632:N634))</f>
        <v>1.5</v>
      </c>
      <c r="O631" s="202">
        <f>IF(COUNT(O632:O634)=0,"",SUM(O632:O634))</f>
        <v>1.125</v>
      </c>
      <c r="P631" s="210"/>
      <c r="Q631" s="202">
        <f>IF(COUNT(Q632:Q634)=0,"",SUM(Q632:Q634))</f>
        <v>1.125</v>
      </c>
      <c r="R631" s="163"/>
      <c r="S631" s="163"/>
      <c r="T631" s="54" t="s">
        <v>65</v>
      </c>
      <c r="U631" s="179"/>
      <c r="V631" s="179"/>
      <c r="W631" s="179"/>
      <c r="X631" s="105"/>
      <c r="Y631" s="105"/>
      <c r="Z631" s="105"/>
      <c r="AA631" s="105"/>
      <c r="AB631" s="179"/>
      <c r="AC631" s="105"/>
    </row>
    <row r="632" ht="33.75" customHeight="1">
      <c r="A632" s="78" t="s">
        <v>1085</v>
      </c>
      <c r="B632" s="79" t="s">
        <v>26</v>
      </c>
      <c r="C632" s="79" t="s">
        <v>1080</v>
      </c>
      <c r="D632" s="79" t="s">
        <v>1083</v>
      </c>
      <c r="E632" s="94" t="s">
        <v>1084</v>
      </c>
      <c r="F632" s="95" t="s">
        <v>1040</v>
      </c>
      <c r="G632" s="95" t="s">
        <v>168</v>
      </c>
      <c r="H632" s="65" t="s">
        <v>168</v>
      </c>
      <c r="I632" s="65"/>
      <c r="J632" s="95" t="s">
        <v>9</v>
      </c>
      <c r="K632" s="121" t="s">
        <v>9</v>
      </c>
      <c r="L632" s="129">
        <v>0.0</v>
      </c>
      <c r="M632" s="129">
        <f t="shared" si="406"/>
        <v>0</v>
      </c>
      <c r="N632" s="129">
        <v>0.0</v>
      </c>
      <c r="O632" s="129">
        <f t="shared" ref="O632:O634" si="418">IF(COUNT(L632:N632)=0,"",(L632+4*M632+N632)/6)</f>
        <v>0</v>
      </c>
      <c r="P632" s="159"/>
      <c r="Q632" s="208">
        <f t="shared" ref="Q632:Q634" si="419">IF(O632="","",IF(P632="",O632,O632*(1+P632)))</f>
        <v>0</v>
      </c>
      <c r="R632" s="132"/>
      <c r="S632" s="132"/>
      <c r="T632" s="65" t="s">
        <v>31</v>
      </c>
      <c r="U632" s="26"/>
      <c r="V632" s="26"/>
      <c r="W632" s="26"/>
      <c r="X632" s="26"/>
      <c r="Y632" s="26"/>
      <c r="Z632" s="26"/>
      <c r="AA632" s="26"/>
      <c r="AB632" s="26"/>
      <c r="AC632" s="26"/>
    </row>
    <row r="633" ht="33.75" customHeight="1">
      <c r="A633" s="78" t="s">
        <v>1086</v>
      </c>
      <c r="B633" s="79" t="s">
        <v>26</v>
      </c>
      <c r="C633" s="79" t="s">
        <v>1080</v>
      </c>
      <c r="D633" s="79" t="s">
        <v>1083</v>
      </c>
      <c r="E633" s="94" t="s">
        <v>1084</v>
      </c>
      <c r="F633" s="95" t="s">
        <v>1040</v>
      </c>
      <c r="G633" s="95" t="s">
        <v>168</v>
      </c>
      <c r="H633" s="65" t="s">
        <v>168</v>
      </c>
      <c r="I633" s="65"/>
      <c r="J633" s="95" t="s">
        <v>9</v>
      </c>
      <c r="K633" s="121" t="s">
        <v>9</v>
      </c>
      <c r="L633" s="129">
        <v>0.5</v>
      </c>
      <c r="M633" s="129">
        <f t="shared" si="406"/>
        <v>0.75</v>
      </c>
      <c r="N633" s="129">
        <v>1.0</v>
      </c>
      <c r="O633" s="129">
        <f t="shared" si="418"/>
        <v>0.75</v>
      </c>
      <c r="P633" s="159"/>
      <c r="Q633" s="208">
        <f t="shared" si="419"/>
        <v>0.75</v>
      </c>
      <c r="R633" s="132"/>
      <c r="S633" s="132"/>
      <c r="T633" s="65" t="s">
        <v>32</v>
      </c>
      <c r="U633" s="26"/>
      <c r="V633" s="26"/>
      <c r="W633" s="26"/>
      <c r="X633" s="26"/>
      <c r="Y633" s="26"/>
      <c r="Z633" s="26"/>
      <c r="AA633" s="26"/>
      <c r="AB633" s="26"/>
      <c r="AC633" s="26"/>
    </row>
    <row r="634" ht="33.75" customHeight="1">
      <c r="A634" s="78" t="s">
        <v>1087</v>
      </c>
      <c r="B634" s="79" t="s">
        <v>26</v>
      </c>
      <c r="C634" s="79" t="s">
        <v>1080</v>
      </c>
      <c r="D634" s="79" t="s">
        <v>1083</v>
      </c>
      <c r="E634" s="94" t="s">
        <v>1084</v>
      </c>
      <c r="F634" s="95" t="s">
        <v>1040</v>
      </c>
      <c r="G634" s="95" t="s">
        <v>168</v>
      </c>
      <c r="H634" s="65" t="s">
        <v>168</v>
      </c>
      <c r="I634" s="65"/>
      <c r="J634" s="95" t="s">
        <v>9</v>
      </c>
      <c r="K634" s="121" t="s">
        <v>9</v>
      </c>
      <c r="L634" s="129">
        <v>0.25</v>
      </c>
      <c r="M634" s="129">
        <f t="shared" si="406"/>
        <v>0.375</v>
      </c>
      <c r="N634" s="129">
        <v>0.5</v>
      </c>
      <c r="O634" s="129">
        <f t="shared" si="418"/>
        <v>0.375</v>
      </c>
      <c r="P634" s="159"/>
      <c r="Q634" s="208">
        <f t="shared" si="419"/>
        <v>0.375</v>
      </c>
      <c r="R634" s="132"/>
      <c r="S634" s="132"/>
      <c r="T634" s="65" t="s">
        <v>70</v>
      </c>
      <c r="U634" s="26"/>
      <c r="V634" s="26"/>
      <c r="W634" s="26"/>
      <c r="X634" s="26"/>
      <c r="Y634" s="26"/>
      <c r="Z634" s="26"/>
      <c r="AA634" s="26"/>
      <c r="AB634" s="26"/>
      <c r="AC634" s="26"/>
    </row>
    <row r="635" ht="33.75" customHeight="1">
      <c r="A635" s="54" t="s">
        <v>1088</v>
      </c>
      <c r="B635" s="209" t="s">
        <v>26</v>
      </c>
      <c r="C635" s="209" t="s">
        <v>1080</v>
      </c>
      <c r="D635" s="209" t="s">
        <v>1089</v>
      </c>
      <c r="E635" s="209" t="s">
        <v>1090</v>
      </c>
      <c r="F635" s="54" t="s">
        <v>1082</v>
      </c>
      <c r="G635" s="54" t="s">
        <v>168</v>
      </c>
      <c r="H635" s="54" t="s">
        <v>168</v>
      </c>
      <c r="I635" s="54"/>
      <c r="J635" s="54" t="s">
        <v>9</v>
      </c>
      <c r="K635" s="119" t="s">
        <v>9</v>
      </c>
      <c r="L635" s="202">
        <f>IF(COUNT(L636:N638)=0,"",SUM(L636:L638))</f>
        <v>2</v>
      </c>
      <c r="M635" s="202">
        <f t="shared" si="406"/>
        <v>2.875</v>
      </c>
      <c r="N635" s="202">
        <f>IF(COUNT(L636:N638)=0,"",SUM(N636:N638))</f>
        <v>3.75</v>
      </c>
      <c r="O635" s="202">
        <f>IF(COUNT(O636:O638)=0,"",SUM(O636:O638))</f>
        <v>2.875</v>
      </c>
      <c r="P635" s="210"/>
      <c r="Q635" s="202">
        <f>IF(COUNT(Q636:Q638)=0,"",SUM(Q636:Q638))</f>
        <v>2.875</v>
      </c>
      <c r="R635" s="163"/>
      <c r="S635" s="163"/>
      <c r="T635" s="54" t="s">
        <v>65</v>
      </c>
      <c r="U635" s="179"/>
      <c r="V635" s="179"/>
      <c r="W635" s="179"/>
      <c r="X635" s="105"/>
      <c r="Y635" s="105"/>
      <c r="Z635" s="105"/>
      <c r="AA635" s="105"/>
      <c r="AB635" s="179"/>
      <c r="AC635" s="105"/>
    </row>
    <row r="636" ht="33.75" customHeight="1">
      <c r="A636" s="78" t="s">
        <v>1091</v>
      </c>
      <c r="B636" s="79" t="s">
        <v>26</v>
      </c>
      <c r="C636" s="79" t="s">
        <v>1080</v>
      </c>
      <c r="D636" s="79" t="s">
        <v>1089</v>
      </c>
      <c r="E636" s="94" t="s">
        <v>1090</v>
      </c>
      <c r="F636" s="95" t="s">
        <v>1082</v>
      </c>
      <c r="G636" s="95" t="s">
        <v>168</v>
      </c>
      <c r="H636" s="65" t="s">
        <v>168</v>
      </c>
      <c r="I636" s="65"/>
      <c r="J636" s="95" t="s">
        <v>9</v>
      </c>
      <c r="K636" s="121" t="s">
        <v>9</v>
      </c>
      <c r="L636" s="129">
        <v>0.5</v>
      </c>
      <c r="M636" s="129">
        <f t="shared" si="406"/>
        <v>0.75</v>
      </c>
      <c r="N636" s="129">
        <v>1.0</v>
      </c>
      <c r="O636" s="129">
        <f t="shared" ref="O636:O638" si="420">IF(COUNT(L636:N636)=0,"",(L636+4*M636+N636)/6)</f>
        <v>0.75</v>
      </c>
      <c r="P636" s="159"/>
      <c r="Q636" s="208">
        <f t="shared" ref="Q636:Q638" si="421">IF(O636="","",IF(P636="",O636,O636*(1+P636)))</f>
        <v>0.75</v>
      </c>
      <c r="R636" s="132"/>
      <c r="S636" s="132"/>
      <c r="T636" s="65" t="s">
        <v>31</v>
      </c>
      <c r="U636" s="26"/>
      <c r="V636" s="26"/>
      <c r="W636" s="26"/>
      <c r="X636" s="26"/>
      <c r="Y636" s="26"/>
      <c r="Z636" s="26"/>
      <c r="AA636" s="26"/>
      <c r="AB636" s="26"/>
      <c r="AC636" s="26"/>
    </row>
    <row r="637" ht="33.75" customHeight="1">
      <c r="A637" s="78" t="s">
        <v>1092</v>
      </c>
      <c r="B637" s="79" t="s">
        <v>26</v>
      </c>
      <c r="C637" s="79" t="s">
        <v>1080</v>
      </c>
      <c r="D637" s="79" t="s">
        <v>1089</v>
      </c>
      <c r="E637" s="94" t="s">
        <v>1090</v>
      </c>
      <c r="F637" s="95" t="s">
        <v>1082</v>
      </c>
      <c r="G637" s="95" t="s">
        <v>168</v>
      </c>
      <c r="H637" s="65" t="s">
        <v>168</v>
      </c>
      <c r="I637" s="65"/>
      <c r="J637" s="95" t="s">
        <v>9</v>
      </c>
      <c r="K637" s="121" t="s">
        <v>9</v>
      </c>
      <c r="L637" s="129">
        <v>1.0</v>
      </c>
      <c r="M637" s="129">
        <f t="shared" si="406"/>
        <v>1.5</v>
      </c>
      <c r="N637" s="129">
        <v>2.0</v>
      </c>
      <c r="O637" s="129">
        <f t="shared" si="420"/>
        <v>1.5</v>
      </c>
      <c r="P637" s="159"/>
      <c r="Q637" s="208">
        <f t="shared" si="421"/>
        <v>1.5</v>
      </c>
      <c r="R637" s="132"/>
      <c r="S637" s="132"/>
      <c r="T637" s="65" t="s">
        <v>32</v>
      </c>
      <c r="U637" s="26"/>
      <c r="V637" s="26"/>
      <c r="W637" s="26"/>
      <c r="X637" s="26"/>
      <c r="Y637" s="26"/>
      <c r="Z637" s="26"/>
      <c r="AA637" s="26"/>
      <c r="AB637" s="26"/>
      <c r="AC637" s="26"/>
    </row>
    <row r="638" ht="33.75" customHeight="1">
      <c r="A638" s="78" t="s">
        <v>1093</v>
      </c>
      <c r="B638" s="79" t="s">
        <v>26</v>
      </c>
      <c r="C638" s="79" t="s">
        <v>1080</v>
      </c>
      <c r="D638" s="79" t="s">
        <v>1089</v>
      </c>
      <c r="E638" s="94" t="s">
        <v>1090</v>
      </c>
      <c r="F638" s="95" t="s">
        <v>1082</v>
      </c>
      <c r="G638" s="95" t="s">
        <v>168</v>
      </c>
      <c r="H638" s="65" t="s">
        <v>168</v>
      </c>
      <c r="I638" s="65"/>
      <c r="J638" s="95" t="s">
        <v>9</v>
      </c>
      <c r="K638" s="121" t="s">
        <v>9</v>
      </c>
      <c r="L638" s="129">
        <v>0.5</v>
      </c>
      <c r="M638" s="129">
        <f t="shared" si="406"/>
        <v>0.625</v>
      </c>
      <c r="N638" s="129">
        <v>0.75</v>
      </c>
      <c r="O638" s="129">
        <f t="shared" si="420"/>
        <v>0.625</v>
      </c>
      <c r="P638" s="159"/>
      <c r="Q638" s="208">
        <f t="shared" si="421"/>
        <v>0.625</v>
      </c>
      <c r="R638" s="132"/>
      <c r="S638" s="132"/>
      <c r="T638" s="65" t="s">
        <v>70</v>
      </c>
      <c r="U638" s="26"/>
      <c r="V638" s="26"/>
      <c r="W638" s="26"/>
      <c r="X638" s="26"/>
      <c r="Y638" s="26"/>
      <c r="Z638" s="26"/>
      <c r="AA638" s="26"/>
      <c r="AB638" s="26"/>
      <c r="AC638" s="26"/>
    </row>
    <row r="639" ht="33.75" customHeight="1">
      <c r="A639" s="54" t="s">
        <v>1094</v>
      </c>
      <c r="B639" s="209" t="s">
        <v>26</v>
      </c>
      <c r="C639" s="209" t="s">
        <v>1080</v>
      </c>
      <c r="D639" s="209" t="s">
        <v>1095</v>
      </c>
      <c r="E639" s="209" t="s">
        <v>1096</v>
      </c>
      <c r="F639" s="54" t="s">
        <v>1097</v>
      </c>
      <c r="G639" s="54" t="s">
        <v>200</v>
      </c>
      <c r="H639" s="54" t="s">
        <v>200</v>
      </c>
      <c r="I639" s="54"/>
      <c r="J639" s="54" t="s">
        <v>9</v>
      </c>
      <c r="K639" s="119" t="s">
        <v>9</v>
      </c>
      <c r="L639" s="202">
        <f>IF(COUNT(L640:N642)=0,"",SUM(L640:L642))</f>
        <v>0.75</v>
      </c>
      <c r="M639" s="202">
        <f t="shared" si="406"/>
        <v>1</v>
      </c>
      <c r="N639" s="202">
        <f>IF(COUNT(L640:N642)=0,"",SUM(N640:N642))</f>
        <v>1.25</v>
      </c>
      <c r="O639" s="202">
        <f>IF(COUNT(O640:O642)=0,"",SUM(O640:O642))</f>
        <v>1</v>
      </c>
      <c r="P639" s="210"/>
      <c r="Q639" s="202">
        <f>IF(COUNT(Q640:Q642)=0,"",SUM(Q640:Q642))</f>
        <v>1</v>
      </c>
      <c r="R639" s="163"/>
      <c r="S639" s="163"/>
      <c r="T639" s="54" t="s">
        <v>65</v>
      </c>
      <c r="U639" s="179"/>
      <c r="V639" s="179"/>
      <c r="W639" s="179"/>
      <c r="X639" s="105"/>
      <c r="Y639" s="105"/>
      <c r="Z639" s="105"/>
      <c r="AA639" s="105"/>
      <c r="AB639" s="179"/>
      <c r="AC639" s="105"/>
    </row>
    <row r="640" ht="33.75" customHeight="1">
      <c r="A640" s="65" t="s">
        <v>1098</v>
      </c>
      <c r="B640" s="215" t="s">
        <v>26</v>
      </c>
      <c r="C640" s="215" t="s">
        <v>1080</v>
      </c>
      <c r="D640" s="215" t="s">
        <v>1095</v>
      </c>
      <c r="E640" s="215" t="s">
        <v>1096</v>
      </c>
      <c r="F640" s="65" t="s">
        <v>1097</v>
      </c>
      <c r="G640" s="65" t="s">
        <v>200</v>
      </c>
      <c r="H640" s="65" t="s">
        <v>200</v>
      </c>
      <c r="I640" s="65"/>
      <c r="J640" s="65" t="s">
        <v>9</v>
      </c>
      <c r="K640" s="97" t="s">
        <v>9</v>
      </c>
      <c r="L640" s="129">
        <v>0.25</v>
      </c>
      <c r="M640" s="129">
        <f t="shared" si="406"/>
        <v>0.25</v>
      </c>
      <c r="N640" s="129">
        <v>0.25</v>
      </c>
      <c r="O640" s="129">
        <f t="shared" ref="O640:O642" si="422">IF(COUNT(L640:N640)=0,"",(L640+4*M640+N640)/6)</f>
        <v>0.25</v>
      </c>
      <c r="P640" s="159"/>
      <c r="Q640" s="208">
        <f t="shared" ref="Q640:Q642" si="423">IF(O640="","",IF(P640="",O640,O640*(1+P640)))</f>
        <v>0.25</v>
      </c>
      <c r="R640" s="132"/>
      <c r="S640" s="132"/>
      <c r="T640" s="65" t="s">
        <v>31</v>
      </c>
      <c r="U640" s="26"/>
      <c r="V640" s="26"/>
      <c r="W640" s="26"/>
      <c r="X640" s="26"/>
      <c r="Y640" s="26"/>
      <c r="Z640" s="26"/>
      <c r="AA640" s="26"/>
      <c r="AB640" s="26"/>
      <c r="AC640" s="26"/>
    </row>
    <row r="641" ht="33.75" customHeight="1">
      <c r="A641" s="65" t="s">
        <v>1099</v>
      </c>
      <c r="B641" s="215" t="s">
        <v>26</v>
      </c>
      <c r="C641" s="215" t="s">
        <v>1080</v>
      </c>
      <c r="D641" s="215" t="s">
        <v>1095</v>
      </c>
      <c r="E641" s="215" t="s">
        <v>1096</v>
      </c>
      <c r="F641" s="65" t="s">
        <v>1097</v>
      </c>
      <c r="G641" s="65" t="s">
        <v>200</v>
      </c>
      <c r="H641" s="65" t="s">
        <v>200</v>
      </c>
      <c r="I641" s="65"/>
      <c r="J641" s="65" t="s">
        <v>9</v>
      </c>
      <c r="K641" s="97" t="s">
        <v>9</v>
      </c>
      <c r="L641" s="129">
        <v>0.25</v>
      </c>
      <c r="M641" s="129">
        <f t="shared" si="406"/>
        <v>0.375</v>
      </c>
      <c r="N641" s="129">
        <v>0.5</v>
      </c>
      <c r="O641" s="129">
        <f t="shared" si="422"/>
        <v>0.375</v>
      </c>
      <c r="P641" s="159"/>
      <c r="Q641" s="208">
        <f t="shared" si="423"/>
        <v>0.375</v>
      </c>
      <c r="R641" s="132"/>
      <c r="S641" s="132"/>
      <c r="T641" s="65" t="s">
        <v>32</v>
      </c>
      <c r="U641" s="26"/>
      <c r="V641" s="26"/>
      <c r="W641" s="26"/>
      <c r="X641" s="26"/>
      <c r="Y641" s="26"/>
      <c r="Z641" s="26"/>
      <c r="AA641" s="26"/>
      <c r="AB641" s="26"/>
      <c r="AC641" s="26"/>
    </row>
    <row r="642" ht="33.75" customHeight="1">
      <c r="A642" s="65" t="s">
        <v>1100</v>
      </c>
      <c r="B642" s="215" t="s">
        <v>26</v>
      </c>
      <c r="C642" s="215" t="s">
        <v>1080</v>
      </c>
      <c r="D642" s="215" t="s">
        <v>1095</v>
      </c>
      <c r="E642" s="215" t="s">
        <v>1096</v>
      </c>
      <c r="F642" s="65" t="s">
        <v>1097</v>
      </c>
      <c r="G642" s="65" t="s">
        <v>200</v>
      </c>
      <c r="H642" s="65" t="s">
        <v>200</v>
      </c>
      <c r="I642" s="65"/>
      <c r="J642" s="65" t="s">
        <v>9</v>
      </c>
      <c r="K642" s="97" t="s">
        <v>9</v>
      </c>
      <c r="L642" s="129">
        <v>0.25</v>
      </c>
      <c r="M642" s="129">
        <f t="shared" si="406"/>
        <v>0.375</v>
      </c>
      <c r="N642" s="129">
        <v>0.5</v>
      </c>
      <c r="O642" s="129">
        <f t="shared" si="422"/>
        <v>0.375</v>
      </c>
      <c r="P642" s="159"/>
      <c r="Q642" s="208">
        <f t="shared" si="423"/>
        <v>0.375</v>
      </c>
      <c r="R642" s="132"/>
      <c r="S642" s="132"/>
      <c r="T642" s="65" t="s">
        <v>70</v>
      </c>
      <c r="U642" s="26"/>
      <c r="V642" s="26"/>
      <c r="W642" s="26"/>
      <c r="X642" s="26"/>
      <c r="Y642" s="26"/>
      <c r="Z642" s="26"/>
      <c r="AA642" s="26"/>
      <c r="AB642" s="26"/>
      <c r="AC642" s="26"/>
    </row>
    <row r="643" ht="33.75" customHeight="1">
      <c r="A643" s="54" t="s">
        <v>1101</v>
      </c>
      <c r="B643" s="209" t="s">
        <v>26</v>
      </c>
      <c r="C643" s="209" t="s">
        <v>1080</v>
      </c>
      <c r="D643" s="209" t="s">
        <v>1102</v>
      </c>
      <c r="E643" s="209" t="s">
        <v>1103</v>
      </c>
      <c r="F643" s="54" t="s">
        <v>1094</v>
      </c>
      <c r="G643" s="54" t="s">
        <v>200</v>
      </c>
      <c r="H643" s="54" t="s">
        <v>200</v>
      </c>
      <c r="I643" s="54"/>
      <c r="J643" s="54" t="s">
        <v>9</v>
      </c>
      <c r="K643" s="119" t="s">
        <v>9</v>
      </c>
      <c r="L643" s="202">
        <v>5.0</v>
      </c>
      <c r="M643" s="202">
        <f t="shared" si="406"/>
        <v>3.125</v>
      </c>
      <c r="N643" s="202">
        <f>IF(COUNT(L644:N646)=0,"",SUM(N644:N646))</f>
        <v>1.25</v>
      </c>
      <c r="O643" s="202">
        <f>IF(COUNT(O644:O646)=0,"",SUM(O644:O646))</f>
        <v>1</v>
      </c>
      <c r="P643" s="210"/>
      <c r="Q643" s="202">
        <f>IF(COUNT(Q644:Q646)=0,"",SUM(Q644:Q646))</f>
        <v>1</v>
      </c>
      <c r="R643" s="163"/>
      <c r="S643" s="163"/>
      <c r="T643" s="54" t="s">
        <v>65</v>
      </c>
      <c r="U643" s="179"/>
      <c r="V643" s="179"/>
      <c r="W643" s="179"/>
      <c r="X643" s="105"/>
      <c r="Y643" s="105"/>
      <c r="Z643" s="105"/>
      <c r="AA643" s="105"/>
      <c r="AB643" s="179"/>
      <c r="AC643" s="105"/>
    </row>
    <row r="644" ht="33.75" customHeight="1">
      <c r="A644" s="65" t="s">
        <v>1104</v>
      </c>
      <c r="B644" s="215" t="s">
        <v>26</v>
      </c>
      <c r="C644" s="215" t="s">
        <v>1080</v>
      </c>
      <c r="D644" s="215" t="s">
        <v>1102</v>
      </c>
      <c r="E644" s="215" t="s">
        <v>1103</v>
      </c>
      <c r="F644" s="65" t="s">
        <v>1094</v>
      </c>
      <c r="G644" s="65" t="s">
        <v>200</v>
      </c>
      <c r="H644" s="65" t="s">
        <v>200</v>
      </c>
      <c r="I644" s="65"/>
      <c r="J644" s="65" t="s">
        <v>9</v>
      </c>
      <c r="K644" s="97" t="s">
        <v>9</v>
      </c>
      <c r="L644" s="129">
        <v>0.25</v>
      </c>
      <c r="M644" s="129">
        <f t="shared" si="406"/>
        <v>0.25</v>
      </c>
      <c r="N644" s="129">
        <v>0.25</v>
      </c>
      <c r="O644" s="129">
        <f t="shared" ref="O644:O646" si="424">IF(COUNT(L644:N644)=0,"",(L644+4*M644+N644)/6)</f>
        <v>0.25</v>
      </c>
      <c r="P644" s="159"/>
      <c r="Q644" s="208">
        <f t="shared" ref="Q644:Q646" si="425">IF(O644="","",IF(P644="",O644,O644*(1+P644)))</f>
        <v>0.25</v>
      </c>
      <c r="R644" s="132"/>
      <c r="S644" s="132"/>
      <c r="T644" s="65" t="s">
        <v>31</v>
      </c>
      <c r="U644" s="26"/>
      <c r="V644" s="26"/>
      <c r="W644" s="26"/>
      <c r="X644" s="26"/>
      <c r="Y644" s="26"/>
      <c r="Z644" s="26"/>
      <c r="AA644" s="26"/>
      <c r="AB644" s="26"/>
      <c r="AC644" s="26"/>
    </row>
    <row r="645" ht="33.75" customHeight="1">
      <c r="A645" s="65" t="s">
        <v>1105</v>
      </c>
      <c r="B645" s="215" t="s">
        <v>26</v>
      </c>
      <c r="C645" s="215" t="s">
        <v>1080</v>
      </c>
      <c r="D645" s="215" t="s">
        <v>1102</v>
      </c>
      <c r="E645" s="215" t="s">
        <v>1103</v>
      </c>
      <c r="F645" s="65" t="s">
        <v>1094</v>
      </c>
      <c r="G645" s="65" t="s">
        <v>200</v>
      </c>
      <c r="H645" s="65" t="s">
        <v>200</v>
      </c>
      <c r="I645" s="65"/>
      <c r="J645" s="65" t="s">
        <v>9</v>
      </c>
      <c r="K645" s="97" t="s">
        <v>9</v>
      </c>
      <c r="L645" s="129">
        <v>0.25</v>
      </c>
      <c r="M645" s="129">
        <f t="shared" si="406"/>
        <v>0.375</v>
      </c>
      <c r="N645" s="129">
        <v>0.5</v>
      </c>
      <c r="O645" s="129">
        <f t="shared" si="424"/>
        <v>0.375</v>
      </c>
      <c r="P645" s="159"/>
      <c r="Q645" s="208">
        <f t="shared" si="425"/>
        <v>0.375</v>
      </c>
      <c r="R645" s="132"/>
      <c r="S645" s="132"/>
      <c r="T645" s="65" t="s">
        <v>32</v>
      </c>
      <c r="U645" s="26"/>
      <c r="V645" s="26"/>
      <c r="W645" s="26"/>
      <c r="X645" s="26"/>
      <c r="Y645" s="26"/>
      <c r="Z645" s="26"/>
      <c r="AA645" s="26"/>
      <c r="AB645" s="26"/>
      <c r="AC645" s="26"/>
    </row>
    <row r="646" ht="33.75" customHeight="1">
      <c r="A646" s="65" t="s">
        <v>1106</v>
      </c>
      <c r="B646" s="215" t="s">
        <v>26</v>
      </c>
      <c r="C646" s="215" t="s">
        <v>1080</v>
      </c>
      <c r="D646" s="215" t="s">
        <v>1102</v>
      </c>
      <c r="E646" s="215" t="s">
        <v>1103</v>
      </c>
      <c r="F646" s="65" t="s">
        <v>1094</v>
      </c>
      <c r="G646" s="65" t="s">
        <v>200</v>
      </c>
      <c r="H646" s="65" t="s">
        <v>200</v>
      </c>
      <c r="I646" s="65"/>
      <c r="J646" s="65" t="s">
        <v>9</v>
      </c>
      <c r="K646" s="97" t="s">
        <v>9</v>
      </c>
      <c r="L646" s="129">
        <v>0.25</v>
      </c>
      <c r="M646" s="129">
        <f t="shared" si="406"/>
        <v>0.375</v>
      </c>
      <c r="N646" s="129">
        <v>0.5</v>
      </c>
      <c r="O646" s="129">
        <f t="shared" si="424"/>
        <v>0.375</v>
      </c>
      <c r="P646" s="159"/>
      <c r="Q646" s="208">
        <f t="shared" si="425"/>
        <v>0.375</v>
      </c>
      <c r="R646" s="132"/>
      <c r="S646" s="132"/>
      <c r="T646" s="65" t="s">
        <v>70</v>
      </c>
      <c r="U646" s="26"/>
      <c r="V646" s="26"/>
      <c r="W646" s="26"/>
      <c r="X646" s="26"/>
      <c r="Y646" s="26"/>
      <c r="Z646" s="26"/>
      <c r="AA646" s="26"/>
      <c r="AB646" s="26"/>
      <c r="AC646" s="26"/>
    </row>
    <row r="647" ht="33.75" customHeight="1">
      <c r="A647" s="98" t="s">
        <v>1107</v>
      </c>
      <c r="B647" s="99" t="s">
        <v>26</v>
      </c>
      <c r="C647" s="99" t="s">
        <v>1080</v>
      </c>
      <c r="D647" s="99" t="s">
        <v>1108</v>
      </c>
      <c r="E647" s="99" t="s">
        <v>1109</v>
      </c>
      <c r="F647" s="98" t="s">
        <v>1082</v>
      </c>
      <c r="G647" s="98" t="s">
        <v>168</v>
      </c>
      <c r="H647" s="98" t="s">
        <v>168</v>
      </c>
      <c r="I647" s="98"/>
      <c r="J647" s="98" t="s">
        <v>12</v>
      </c>
      <c r="K647" s="100" t="s">
        <v>12</v>
      </c>
      <c r="L647" s="101">
        <f>IF(COUNT(L648:N650)=0,"",SUM(L648:L650))</f>
        <v>0</v>
      </c>
      <c r="M647" s="101">
        <f t="shared" si="406"/>
        <v>0</v>
      </c>
      <c r="N647" s="101">
        <f>IF(COUNT(L648:N650)=0,"",SUM(N648:N650))</f>
        <v>0</v>
      </c>
      <c r="O647" s="101">
        <f>IF(COUNT(O648:O650)=0,"",SUM(O648:O650))</f>
        <v>0</v>
      </c>
      <c r="P647" s="103"/>
      <c r="Q647" s="101">
        <f>IF(COUNT(Q648:Q650)=0,"",SUM(Q648:Q650))</f>
        <v>0</v>
      </c>
      <c r="R647" s="104"/>
      <c r="S647" s="104"/>
      <c r="T647" s="98" t="s">
        <v>65</v>
      </c>
      <c r="U647" s="179"/>
      <c r="V647" s="179"/>
      <c r="W647" s="179"/>
      <c r="X647" s="105"/>
      <c r="Y647" s="105"/>
      <c r="Z647" s="105"/>
      <c r="AA647" s="105"/>
      <c r="AB647" s="179"/>
      <c r="AC647" s="105"/>
    </row>
    <row r="648" ht="33.75" customHeight="1">
      <c r="A648" s="106" t="s">
        <v>1110</v>
      </c>
      <c r="B648" s="107" t="s">
        <v>26</v>
      </c>
      <c r="C648" s="107" t="s">
        <v>1080</v>
      </c>
      <c r="D648" s="107" t="s">
        <v>1108</v>
      </c>
      <c r="E648" s="107" t="s">
        <v>1109</v>
      </c>
      <c r="F648" s="106" t="s">
        <v>1082</v>
      </c>
      <c r="G648" s="106" t="s">
        <v>168</v>
      </c>
      <c r="H648" s="106" t="s">
        <v>168</v>
      </c>
      <c r="I648" s="106"/>
      <c r="J648" s="106" t="s">
        <v>12</v>
      </c>
      <c r="K648" s="108" t="s">
        <v>12</v>
      </c>
      <c r="L648" s="109"/>
      <c r="M648" s="109">
        <f t="shared" si="406"/>
        <v>0</v>
      </c>
      <c r="N648" s="109"/>
      <c r="O648" s="109">
        <f t="shared" ref="O648:O650" si="426">IF(COUNT(L648:N648)=0,"",(L648+4*M648+N648)/6)</f>
        <v>0</v>
      </c>
      <c r="P648" s="110"/>
      <c r="Q648" s="109">
        <f t="shared" ref="Q648:Q650" si="427">IF(O648="","",IF(P648="",O648,O648*(1+P648)))</f>
        <v>0</v>
      </c>
      <c r="R648" s="111"/>
      <c r="S648" s="111"/>
      <c r="T648" s="106" t="s">
        <v>31</v>
      </c>
      <c r="U648" s="26"/>
      <c r="V648" s="26"/>
      <c r="W648" s="26"/>
      <c r="X648" s="26"/>
      <c r="Y648" s="26"/>
      <c r="Z648" s="26"/>
      <c r="AA648" s="26"/>
      <c r="AB648" s="26"/>
      <c r="AC648" s="26"/>
    </row>
    <row r="649" ht="33.75" customHeight="1">
      <c r="A649" s="106" t="s">
        <v>1111</v>
      </c>
      <c r="B649" s="107" t="s">
        <v>26</v>
      </c>
      <c r="C649" s="107" t="s">
        <v>1080</v>
      </c>
      <c r="D649" s="107" t="s">
        <v>1108</v>
      </c>
      <c r="E649" s="107" t="s">
        <v>1109</v>
      </c>
      <c r="F649" s="106" t="s">
        <v>1082</v>
      </c>
      <c r="G649" s="106" t="s">
        <v>168</v>
      </c>
      <c r="H649" s="106" t="s">
        <v>168</v>
      </c>
      <c r="I649" s="106"/>
      <c r="J649" s="106" t="s">
        <v>12</v>
      </c>
      <c r="K649" s="108" t="s">
        <v>12</v>
      </c>
      <c r="L649" s="109"/>
      <c r="M649" s="109">
        <f t="shared" si="406"/>
        <v>0</v>
      </c>
      <c r="N649" s="109"/>
      <c r="O649" s="109">
        <f t="shared" si="426"/>
        <v>0</v>
      </c>
      <c r="P649" s="110"/>
      <c r="Q649" s="109">
        <f t="shared" si="427"/>
        <v>0</v>
      </c>
      <c r="R649" s="111"/>
      <c r="S649" s="111"/>
      <c r="T649" s="106" t="s">
        <v>32</v>
      </c>
      <c r="U649" s="26"/>
      <c r="V649" s="26"/>
      <c r="W649" s="26"/>
      <c r="X649" s="26"/>
      <c r="Y649" s="26"/>
      <c r="Z649" s="26"/>
      <c r="AA649" s="26"/>
      <c r="AB649" s="26"/>
      <c r="AC649" s="26"/>
    </row>
    <row r="650" ht="33.75" customHeight="1">
      <c r="A650" s="106" t="s">
        <v>1112</v>
      </c>
      <c r="B650" s="107" t="s">
        <v>26</v>
      </c>
      <c r="C650" s="107" t="s">
        <v>1080</v>
      </c>
      <c r="D650" s="107" t="s">
        <v>1108</v>
      </c>
      <c r="E650" s="107" t="s">
        <v>1109</v>
      </c>
      <c r="F650" s="106" t="s">
        <v>1082</v>
      </c>
      <c r="G650" s="106" t="s">
        <v>168</v>
      </c>
      <c r="H650" s="106" t="s">
        <v>168</v>
      </c>
      <c r="I650" s="106"/>
      <c r="J650" s="106" t="s">
        <v>12</v>
      </c>
      <c r="K650" s="108" t="s">
        <v>12</v>
      </c>
      <c r="L650" s="109"/>
      <c r="M650" s="109">
        <f t="shared" si="406"/>
        <v>0</v>
      </c>
      <c r="N650" s="109"/>
      <c r="O650" s="109">
        <f t="shared" si="426"/>
        <v>0</v>
      </c>
      <c r="P650" s="110"/>
      <c r="Q650" s="109">
        <f t="shared" si="427"/>
        <v>0</v>
      </c>
      <c r="R650" s="111"/>
      <c r="S650" s="111"/>
      <c r="T650" s="106" t="s">
        <v>70</v>
      </c>
      <c r="U650" s="26"/>
      <c r="V650" s="26"/>
      <c r="W650" s="26"/>
      <c r="X650" s="26"/>
      <c r="Y650" s="26"/>
      <c r="Z650" s="26"/>
      <c r="AA650" s="26"/>
      <c r="AB650" s="26"/>
      <c r="AC650" s="26"/>
    </row>
    <row r="651" ht="33.75" customHeight="1">
      <c r="A651" s="98" t="s">
        <v>1113</v>
      </c>
      <c r="B651" s="99" t="s">
        <v>26</v>
      </c>
      <c r="C651" s="99" t="s">
        <v>1080</v>
      </c>
      <c r="D651" s="99" t="s">
        <v>1114</v>
      </c>
      <c r="E651" s="99" t="s">
        <v>1115</v>
      </c>
      <c r="F651" s="98" t="s">
        <v>1046</v>
      </c>
      <c r="G651" s="98" t="s">
        <v>168</v>
      </c>
      <c r="H651" s="98" t="s">
        <v>168</v>
      </c>
      <c r="I651" s="98"/>
      <c r="J651" s="98" t="s">
        <v>12</v>
      </c>
      <c r="K651" s="100" t="s">
        <v>12</v>
      </c>
      <c r="L651" s="101">
        <f>IF(COUNT(L652:N654)=0,"",SUM(L652:L654))</f>
        <v>0</v>
      </c>
      <c r="M651" s="101">
        <f t="shared" si="406"/>
        <v>0</v>
      </c>
      <c r="N651" s="101">
        <f>IF(COUNT(L652:N654)=0,"",SUM(N652:N654))</f>
        <v>0</v>
      </c>
      <c r="O651" s="101">
        <f>IF(COUNT(O652:O654)=0,"",SUM(O652:O654))</f>
        <v>0</v>
      </c>
      <c r="P651" s="103"/>
      <c r="Q651" s="101">
        <f>IF(COUNT(Q652:Q654)=0,"",SUM(Q652:Q654))</f>
        <v>0</v>
      </c>
      <c r="R651" s="104"/>
      <c r="S651" s="104"/>
      <c r="T651" s="98" t="s">
        <v>65</v>
      </c>
      <c r="U651" s="179"/>
      <c r="V651" s="179"/>
      <c r="W651" s="179"/>
      <c r="X651" s="105"/>
      <c r="Y651" s="105"/>
      <c r="Z651" s="105"/>
      <c r="AA651" s="105"/>
      <c r="AB651" s="179"/>
      <c r="AC651" s="105"/>
    </row>
    <row r="652" ht="33.75" customHeight="1">
      <c r="A652" s="106" t="s">
        <v>1116</v>
      </c>
      <c r="B652" s="107" t="s">
        <v>26</v>
      </c>
      <c r="C652" s="107" t="s">
        <v>1080</v>
      </c>
      <c r="D652" s="107" t="s">
        <v>1114</v>
      </c>
      <c r="E652" s="107" t="s">
        <v>1115</v>
      </c>
      <c r="F652" s="106" t="s">
        <v>1046</v>
      </c>
      <c r="G652" s="106" t="s">
        <v>168</v>
      </c>
      <c r="H652" s="106" t="s">
        <v>168</v>
      </c>
      <c r="I652" s="106"/>
      <c r="J652" s="106" t="s">
        <v>12</v>
      </c>
      <c r="K652" s="108" t="s">
        <v>12</v>
      </c>
      <c r="L652" s="109"/>
      <c r="M652" s="109">
        <f t="shared" si="406"/>
        <v>0</v>
      </c>
      <c r="N652" s="109"/>
      <c r="O652" s="109">
        <f t="shared" ref="O652:O654" si="428">IF(COUNT(L652:N652)=0,"",(L652+4*M652+N652)/6)</f>
        <v>0</v>
      </c>
      <c r="P652" s="110"/>
      <c r="Q652" s="109">
        <f t="shared" ref="Q652:Q654" si="429">IF(O652="","",IF(P652="",O652,O652*(1+P652)))</f>
        <v>0</v>
      </c>
      <c r="R652" s="111"/>
      <c r="S652" s="111"/>
      <c r="T652" s="106" t="s">
        <v>31</v>
      </c>
      <c r="U652" s="26"/>
      <c r="V652" s="26"/>
      <c r="W652" s="26"/>
      <c r="X652" s="26"/>
      <c r="Y652" s="26"/>
      <c r="Z652" s="26"/>
      <c r="AA652" s="26"/>
      <c r="AB652" s="26"/>
      <c r="AC652" s="26"/>
    </row>
    <row r="653" ht="33.75" customHeight="1">
      <c r="A653" s="106" t="s">
        <v>1117</v>
      </c>
      <c r="B653" s="107" t="s">
        <v>26</v>
      </c>
      <c r="C653" s="107" t="s">
        <v>1080</v>
      </c>
      <c r="D653" s="107" t="s">
        <v>1114</v>
      </c>
      <c r="E653" s="107" t="s">
        <v>1115</v>
      </c>
      <c r="F653" s="106" t="s">
        <v>1046</v>
      </c>
      <c r="G653" s="106" t="s">
        <v>168</v>
      </c>
      <c r="H653" s="106" t="s">
        <v>168</v>
      </c>
      <c r="I653" s="106"/>
      <c r="J653" s="106" t="s">
        <v>12</v>
      </c>
      <c r="K653" s="108" t="s">
        <v>12</v>
      </c>
      <c r="L653" s="109"/>
      <c r="M653" s="109">
        <f t="shared" si="406"/>
        <v>0</v>
      </c>
      <c r="N653" s="109"/>
      <c r="O653" s="109">
        <f t="shared" si="428"/>
        <v>0</v>
      </c>
      <c r="P653" s="110"/>
      <c r="Q653" s="109">
        <f t="shared" si="429"/>
        <v>0</v>
      </c>
      <c r="R653" s="111"/>
      <c r="S653" s="111"/>
      <c r="T653" s="106" t="s">
        <v>32</v>
      </c>
      <c r="U653" s="26"/>
      <c r="V653" s="26"/>
      <c r="W653" s="26"/>
      <c r="X653" s="26"/>
      <c r="Y653" s="26"/>
      <c r="Z653" s="26"/>
      <c r="AA653" s="26"/>
      <c r="AB653" s="26"/>
      <c r="AC653" s="26"/>
    </row>
    <row r="654" ht="33.75" customHeight="1">
      <c r="A654" s="106" t="s">
        <v>1118</v>
      </c>
      <c r="B654" s="107" t="s">
        <v>26</v>
      </c>
      <c r="C654" s="107" t="s">
        <v>1080</v>
      </c>
      <c r="D654" s="107" t="s">
        <v>1114</v>
      </c>
      <c r="E654" s="107" t="s">
        <v>1115</v>
      </c>
      <c r="F654" s="106" t="s">
        <v>1046</v>
      </c>
      <c r="G654" s="106" t="s">
        <v>168</v>
      </c>
      <c r="H654" s="106" t="s">
        <v>168</v>
      </c>
      <c r="I654" s="106"/>
      <c r="J654" s="106" t="s">
        <v>12</v>
      </c>
      <c r="K654" s="108" t="s">
        <v>12</v>
      </c>
      <c r="L654" s="109"/>
      <c r="M654" s="109">
        <f t="shared" si="406"/>
        <v>0</v>
      </c>
      <c r="N654" s="109"/>
      <c r="O654" s="109">
        <f t="shared" si="428"/>
        <v>0</v>
      </c>
      <c r="P654" s="110"/>
      <c r="Q654" s="109">
        <f t="shared" si="429"/>
        <v>0</v>
      </c>
      <c r="R654" s="111"/>
      <c r="S654" s="111"/>
      <c r="T654" s="106" t="s">
        <v>70</v>
      </c>
      <c r="U654" s="26"/>
      <c r="V654" s="26"/>
      <c r="W654" s="26"/>
      <c r="X654" s="26"/>
      <c r="Y654" s="26"/>
      <c r="Z654" s="26"/>
      <c r="AA654" s="26"/>
      <c r="AB654" s="26"/>
      <c r="AC654" s="26"/>
    </row>
    <row r="655" ht="33.75" customHeight="1">
      <c r="A655" s="45" t="s">
        <v>1119</v>
      </c>
      <c r="B655" s="212" t="s">
        <v>26</v>
      </c>
      <c r="C655" s="212" t="s">
        <v>1120</v>
      </c>
      <c r="D655" s="212" t="s">
        <v>1120</v>
      </c>
      <c r="E655" s="212" t="s">
        <v>1121</v>
      </c>
      <c r="F655" s="45"/>
      <c r="G655" s="45"/>
      <c r="H655" s="45"/>
      <c r="I655" s="45"/>
      <c r="J655" s="45"/>
      <c r="K655" s="123"/>
      <c r="L655" s="213">
        <f>IF(COUNT(L656,L660,L664,L668,L672)=0,"",SUM(L656,L660,L664,L668,L672))</f>
        <v>10.25</v>
      </c>
      <c r="M655" s="213">
        <f t="shared" si="406"/>
        <v>10.625</v>
      </c>
      <c r="N655" s="213">
        <f t="shared" ref="N655:O655" si="430">IF(COUNT(N656,N660,N664,N668,N672)=0,"",SUM(N656,N660,N664,N668,N672))</f>
        <v>11</v>
      </c>
      <c r="O655" s="213">
        <f t="shared" si="430"/>
        <v>8.375</v>
      </c>
      <c r="P655" s="214"/>
      <c r="Q655" s="213">
        <f>IF(COUNT(Q656,Q660,Q664,Q668,Q672)=0,"",SUM(Q656,Q660,Q664,Q668,Q672))</f>
        <v>8.375</v>
      </c>
      <c r="R655" s="126"/>
      <c r="S655" s="126"/>
      <c r="T655" s="45" t="s">
        <v>62</v>
      </c>
      <c r="U655" s="179"/>
      <c r="V655" s="179"/>
      <c r="W655" s="179"/>
      <c r="X655" s="105">
        <f t="shared" ref="X655:AA655" si="431">L655</f>
        <v>10.25</v>
      </c>
      <c r="Y655" s="105">
        <f t="shared" si="431"/>
        <v>10.625</v>
      </c>
      <c r="Z655" s="105">
        <f t="shared" si="431"/>
        <v>11</v>
      </c>
      <c r="AA655" s="105">
        <f t="shared" si="431"/>
        <v>8.375</v>
      </c>
      <c r="AB655" s="179"/>
      <c r="AC655" s="105">
        <f>Q655</f>
        <v>8.375</v>
      </c>
    </row>
    <row r="656" ht="33.75" customHeight="1">
      <c r="A656" s="54" t="s">
        <v>1122</v>
      </c>
      <c r="B656" s="209" t="s">
        <v>26</v>
      </c>
      <c r="C656" s="209" t="s">
        <v>1120</v>
      </c>
      <c r="D656" s="209" t="s">
        <v>1123</v>
      </c>
      <c r="E656" s="209" t="s">
        <v>1124</v>
      </c>
      <c r="F656" s="54" t="s">
        <v>1040</v>
      </c>
      <c r="G656" s="54" t="s">
        <v>154</v>
      </c>
      <c r="H656" s="54" t="s">
        <v>154</v>
      </c>
      <c r="I656" s="54"/>
      <c r="J656" s="54" t="s">
        <v>9</v>
      </c>
      <c r="K656" s="119" t="s">
        <v>9</v>
      </c>
      <c r="L656" s="202">
        <f>IF(COUNT(L657:N659)=0,"",SUM(L657:L659))</f>
        <v>1</v>
      </c>
      <c r="M656" s="202">
        <f t="shared" si="406"/>
        <v>1.375</v>
      </c>
      <c r="N656" s="202">
        <f>IF(COUNT(L657:N659)=0,"",SUM(N657:N659))</f>
        <v>1.75</v>
      </c>
      <c r="O656" s="202">
        <f>IF(COUNT(O657:O659)=0,"",SUM(O657:O659))</f>
        <v>1.375</v>
      </c>
      <c r="P656" s="210"/>
      <c r="Q656" s="202">
        <f>IF(COUNT(Q657:Q659)=0,"",SUM(Q657:Q659))</f>
        <v>1.375</v>
      </c>
      <c r="R656" s="163"/>
      <c r="S656" s="163"/>
      <c r="T656" s="54" t="s">
        <v>65</v>
      </c>
      <c r="U656" s="26"/>
      <c r="V656" s="26"/>
      <c r="W656" s="26"/>
      <c r="X656" s="26"/>
      <c r="Y656" s="26"/>
      <c r="Z656" s="26"/>
      <c r="AA656" s="26"/>
      <c r="AB656" s="26"/>
      <c r="AC656" s="26"/>
    </row>
    <row r="657" ht="33.75" customHeight="1">
      <c r="A657" s="65" t="s">
        <v>1125</v>
      </c>
      <c r="B657" s="215" t="s">
        <v>26</v>
      </c>
      <c r="C657" s="215" t="s">
        <v>1120</v>
      </c>
      <c r="D657" s="215" t="s">
        <v>1123</v>
      </c>
      <c r="E657" s="215" t="s">
        <v>1124</v>
      </c>
      <c r="F657" s="65" t="s">
        <v>1040</v>
      </c>
      <c r="G657" s="65" t="s">
        <v>154</v>
      </c>
      <c r="H657" s="65" t="s">
        <v>154</v>
      </c>
      <c r="I657" s="65"/>
      <c r="J657" s="65" t="s">
        <v>9</v>
      </c>
      <c r="K657" s="97" t="s">
        <v>9</v>
      </c>
      <c r="L657" s="128">
        <v>0.5</v>
      </c>
      <c r="M657" s="129">
        <f t="shared" si="406"/>
        <v>0.625</v>
      </c>
      <c r="N657" s="128">
        <v>0.75</v>
      </c>
      <c r="O657" s="129">
        <f t="shared" ref="O657:O659" si="432">IF(COUNT(L657:N657)=0,"",(L657+4*M657+N657)/6)</f>
        <v>0.625</v>
      </c>
      <c r="P657" s="159"/>
      <c r="Q657" s="208">
        <f t="shared" ref="Q657:Q659" si="433">IF(O657="","",IF(P657="",O657,O657*(1+P657)))</f>
        <v>0.625</v>
      </c>
      <c r="R657" s="132"/>
      <c r="S657" s="132"/>
      <c r="T657" s="65" t="s">
        <v>31</v>
      </c>
      <c r="U657" s="26"/>
      <c r="V657" s="26"/>
      <c r="W657" s="26"/>
      <c r="X657" s="26"/>
      <c r="Y657" s="26"/>
      <c r="Z657" s="26"/>
      <c r="AA657" s="26"/>
      <c r="AB657" s="26"/>
      <c r="AC657" s="26"/>
    </row>
    <row r="658" ht="33.75" customHeight="1">
      <c r="A658" s="65" t="s">
        <v>1126</v>
      </c>
      <c r="B658" s="215" t="s">
        <v>26</v>
      </c>
      <c r="C658" s="215" t="s">
        <v>1120</v>
      </c>
      <c r="D658" s="215" t="s">
        <v>1123</v>
      </c>
      <c r="E658" s="215" t="s">
        <v>1124</v>
      </c>
      <c r="F658" s="65" t="s">
        <v>1040</v>
      </c>
      <c r="G658" s="65" t="s">
        <v>154</v>
      </c>
      <c r="H658" s="65" t="s">
        <v>154</v>
      </c>
      <c r="I658" s="65"/>
      <c r="J658" s="65" t="s">
        <v>9</v>
      </c>
      <c r="K658" s="97" t="s">
        <v>9</v>
      </c>
      <c r="L658" s="128">
        <v>0.25</v>
      </c>
      <c r="M658" s="129">
        <f t="shared" si="406"/>
        <v>0.375</v>
      </c>
      <c r="N658" s="128">
        <v>0.5</v>
      </c>
      <c r="O658" s="129">
        <f t="shared" si="432"/>
        <v>0.375</v>
      </c>
      <c r="P658" s="159"/>
      <c r="Q658" s="208">
        <f t="shared" si="433"/>
        <v>0.375</v>
      </c>
      <c r="R658" s="132"/>
      <c r="S658" s="132"/>
      <c r="T658" s="65" t="s">
        <v>32</v>
      </c>
      <c r="U658" s="26"/>
      <c r="V658" s="26"/>
      <c r="W658" s="26"/>
      <c r="X658" s="26"/>
      <c r="Y658" s="26"/>
      <c r="Z658" s="26"/>
      <c r="AA658" s="26"/>
      <c r="AB658" s="26"/>
      <c r="AC658" s="26"/>
    </row>
    <row r="659" ht="33.75" customHeight="1">
      <c r="A659" s="65" t="s">
        <v>1127</v>
      </c>
      <c r="B659" s="215" t="s">
        <v>26</v>
      </c>
      <c r="C659" s="215" t="s">
        <v>1120</v>
      </c>
      <c r="D659" s="215" t="s">
        <v>1123</v>
      </c>
      <c r="E659" s="215" t="s">
        <v>1124</v>
      </c>
      <c r="F659" s="65" t="s">
        <v>1040</v>
      </c>
      <c r="G659" s="65" t="s">
        <v>154</v>
      </c>
      <c r="H659" s="65" t="s">
        <v>154</v>
      </c>
      <c r="I659" s="65"/>
      <c r="J659" s="65" t="s">
        <v>9</v>
      </c>
      <c r="K659" s="97" t="s">
        <v>9</v>
      </c>
      <c r="L659" s="128">
        <v>0.25</v>
      </c>
      <c r="M659" s="129">
        <f t="shared" si="406"/>
        <v>0.375</v>
      </c>
      <c r="N659" s="128">
        <v>0.5</v>
      </c>
      <c r="O659" s="129">
        <f t="shared" si="432"/>
        <v>0.375</v>
      </c>
      <c r="P659" s="159"/>
      <c r="Q659" s="208">
        <f t="shared" si="433"/>
        <v>0.375</v>
      </c>
      <c r="R659" s="132"/>
      <c r="S659" s="132"/>
      <c r="T659" s="65" t="s">
        <v>70</v>
      </c>
      <c r="U659" s="26"/>
      <c r="V659" s="26"/>
      <c r="W659" s="26"/>
      <c r="X659" s="26"/>
      <c r="Y659" s="26"/>
      <c r="Z659" s="26"/>
      <c r="AA659" s="26"/>
      <c r="AB659" s="26"/>
      <c r="AC659" s="26"/>
    </row>
    <row r="660" ht="33.75" customHeight="1">
      <c r="A660" s="54" t="s">
        <v>1128</v>
      </c>
      <c r="B660" s="209" t="s">
        <v>26</v>
      </c>
      <c r="C660" s="209" t="s">
        <v>1120</v>
      </c>
      <c r="D660" s="209" t="s">
        <v>1129</v>
      </c>
      <c r="E660" s="209" t="s">
        <v>1130</v>
      </c>
      <c r="F660" s="54" t="s">
        <v>1131</v>
      </c>
      <c r="G660" s="54" t="s">
        <v>168</v>
      </c>
      <c r="H660" s="54" t="s">
        <v>168</v>
      </c>
      <c r="I660" s="54"/>
      <c r="J660" s="54" t="s">
        <v>9</v>
      </c>
      <c r="K660" s="119" t="s">
        <v>9</v>
      </c>
      <c r="L660" s="216">
        <v>5.0</v>
      </c>
      <c r="M660" s="202">
        <f t="shared" si="406"/>
        <v>3</v>
      </c>
      <c r="N660" s="202">
        <f>IF(COUNT(L661:N663)=0,"",SUM(N661:N663))</f>
        <v>1</v>
      </c>
      <c r="O660" s="202">
        <f>IF(COUNT(O661:O663)=0,"",SUM(O661:O663))</f>
        <v>0.75</v>
      </c>
      <c r="P660" s="210"/>
      <c r="Q660" s="202">
        <f>IF(COUNT(Q661:Q663)=0,"",SUM(Q661:Q663))</f>
        <v>0.75</v>
      </c>
      <c r="R660" s="163"/>
      <c r="S660" s="163"/>
      <c r="T660" s="54" t="s">
        <v>65</v>
      </c>
      <c r="U660" s="179"/>
      <c r="V660" s="179"/>
      <c r="W660" s="179"/>
      <c r="X660" s="105"/>
      <c r="Y660" s="105"/>
      <c r="Z660" s="105"/>
      <c r="AA660" s="105"/>
      <c r="AB660" s="179"/>
      <c r="AC660" s="105"/>
    </row>
    <row r="661" ht="33.75" customHeight="1">
      <c r="A661" s="217" t="s">
        <v>1132</v>
      </c>
      <c r="B661" s="215" t="s">
        <v>26</v>
      </c>
      <c r="C661" s="215" t="s">
        <v>1120</v>
      </c>
      <c r="D661" s="215" t="s">
        <v>1129</v>
      </c>
      <c r="E661" s="215" t="s">
        <v>1130</v>
      </c>
      <c r="F661" s="65" t="s">
        <v>1131</v>
      </c>
      <c r="G661" s="65" t="s">
        <v>168</v>
      </c>
      <c r="H661" s="65" t="s">
        <v>168</v>
      </c>
      <c r="I661" s="65"/>
      <c r="J661" s="65" t="s">
        <v>9</v>
      </c>
      <c r="K661" s="97" t="s">
        <v>9</v>
      </c>
      <c r="L661" s="128">
        <v>0.0</v>
      </c>
      <c r="M661" s="129">
        <f t="shared" si="406"/>
        <v>0</v>
      </c>
      <c r="N661" s="128">
        <v>0.0</v>
      </c>
      <c r="O661" s="129">
        <f t="shared" ref="O661:O663" si="434">IF(COUNT(L661:N661)=0,"",(L661+4*M661+N661)/6)</f>
        <v>0</v>
      </c>
      <c r="P661" s="159"/>
      <c r="Q661" s="208">
        <f t="shared" ref="Q661:Q663" si="435">IF(O661="","",IF(P661="",O661,O661*(1+P661)))</f>
        <v>0</v>
      </c>
      <c r="R661" s="132"/>
      <c r="S661" s="132"/>
      <c r="T661" s="65" t="s">
        <v>31</v>
      </c>
      <c r="U661" s="26"/>
      <c r="V661" s="26"/>
      <c r="W661" s="26"/>
      <c r="X661" s="26"/>
      <c r="Y661" s="26"/>
      <c r="Z661" s="26"/>
      <c r="AA661" s="26"/>
      <c r="AB661" s="26"/>
      <c r="AC661" s="26"/>
    </row>
    <row r="662" ht="33.75" customHeight="1">
      <c r="A662" s="217" t="s">
        <v>1133</v>
      </c>
      <c r="B662" s="215" t="s">
        <v>26</v>
      </c>
      <c r="C662" s="215" t="s">
        <v>1120</v>
      </c>
      <c r="D662" s="215" t="s">
        <v>1129</v>
      </c>
      <c r="E662" s="215" t="s">
        <v>1130</v>
      </c>
      <c r="F662" s="65" t="s">
        <v>1131</v>
      </c>
      <c r="G662" s="65" t="s">
        <v>168</v>
      </c>
      <c r="H662" s="65" t="s">
        <v>168</v>
      </c>
      <c r="I662" s="65"/>
      <c r="J662" s="65" t="s">
        <v>9</v>
      </c>
      <c r="K662" s="97" t="s">
        <v>9</v>
      </c>
      <c r="L662" s="128">
        <v>0.25</v>
      </c>
      <c r="M662" s="129">
        <f t="shared" si="406"/>
        <v>0.375</v>
      </c>
      <c r="N662" s="128">
        <v>0.5</v>
      </c>
      <c r="O662" s="129">
        <f t="shared" si="434"/>
        <v>0.375</v>
      </c>
      <c r="P662" s="159"/>
      <c r="Q662" s="208">
        <f t="shared" si="435"/>
        <v>0.375</v>
      </c>
      <c r="R662" s="132"/>
      <c r="S662" s="132"/>
      <c r="T662" s="65" t="s">
        <v>32</v>
      </c>
      <c r="U662" s="26"/>
      <c r="V662" s="26"/>
      <c r="W662" s="26"/>
      <c r="X662" s="26"/>
      <c r="Y662" s="26"/>
      <c r="Z662" s="26"/>
      <c r="AA662" s="26"/>
      <c r="AB662" s="26"/>
      <c r="AC662" s="26"/>
    </row>
    <row r="663" ht="33.75" customHeight="1">
      <c r="A663" s="217" t="s">
        <v>1134</v>
      </c>
      <c r="B663" s="215" t="s">
        <v>26</v>
      </c>
      <c r="C663" s="215" t="s">
        <v>1120</v>
      </c>
      <c r="D663" s="215" t="s">
        <v>1129</v>
      </c>
      <c r="E663" s="215" t="s">
        <v>1130</v>
      </c>
      <c r="F663" s="65" t="s">
        <v>1131</v>
      </c>
      <c r="G663" s="65" t="s">
        <v>168</v>
      </c>
      <c r="H663" s="65" t="s">
        <v>168</v>
      </c>
      <c r="I663" s="65"/>
      <c r="J663" s="65" t="s">
        <v>9</v>
      </c>
      <c r="K663" s="97" t="s">
        <v>9</v>
      </c>
      <c r="L663" s="128">
        <v>0.25</v>
      </c>
      <c r="M663" s="129">
        <f t="shared" si="406"/>
        <v>0.375</v>
      </c>
      <c r="N663" s="128">
        <v>0.5</v>
      </c>
      <c r="O663" s="129">
        <f t="shared" si="434"/>
        <v>0.375</v>
      </c>
      <c r="P663" s="159"/>
      <c r="Q663" s="208">
        <f t="shared" si="435"/>
        <v>0.375</v>
      </c>
      <c r="R663" s="132"/>
      <c r="S663" s="132"/>
      <c r="T663" s="65" t="s">
        <v>70</v>
      </c>
      <c r="U663" s="26"/>
      <c r="V663" s="26"/>
      <c r="W663" s="26"/>
      <c r="X663" s="26"/>
      <c r="Y663" s="26"/>
      <c r="Z663" s="26"/>
      <c r="AA663" s="26"/>
      <c r="AB663" s="26"/>
      <c r="AC663" s="26"/>
    </row>
    <row r="664" ht="33.75" customHeight="1">
      <c r="A664" s="54" t="s">
        <v>1135</v>
      </c>
      <c r="B664" s="209" t="s">
        <v>26</v>
      </c>
      <c r="C664" s="209" t="s">
        <v>1120</v>
      </c>
      <c r="D664" s="209" t="s">
        <v>1136</v>
      </c>
      <c r="E664" s="209" t="s">
        <v>1137</v>
      </c>
      <c r="F664" s="54" t="s">
        <v>1122</v>
      </c>
      <c r="G664" s="54" t="s">
        <v>154</v>
      </c>
      <c r="H664" s="54" t="s">
        <v>154</v>
      </c>
      <c r="I664" s="54"/>
      <c r="J664" s="54" t="s">
        <v>9</v>
      </c>
      <c r="K664" s="119" t="s">
        <v>9</v>
      </c>
      <c r="L664" s="202">
        <f>IF(COUNT(L665:N667)=0,"",SUM(L665:L667))</f>
        <v>1.75</v>
      </c>
      <c r="M664" s="202">
        <f t="shared" si="406"/>
        <v>2.5</v>
      </c>
      <c r="N664" s="202">
        <f>IF(COUNT(L665:N667)=0,"",SUM(N665:N667))</f>
        <v>3.25</v>
      </c>
      <c r="O664" s="202">
        <f>IF(COUNT(O665:O667)=0,"",SUM(O665:O667))</f>
        <v>2.5</v>
      </c>
      <c r="P664" s="210"/>
      <c r="Q664" s="202">
        <f>IF(COUNT(Q665:Q667)=0,"",SUM(Q665:Q667))</f>
        <v>2.5</v>
      </c>
      <c r="R664" s="163"/>
      <c r="S664" s="163"/>
      <c r="T664" s="54" t="s">
        <v>65</v>
      </c>
      <c r="U664" s="179"/>
      <c r="V664" s="179"/>
      <c r="W664" s="179"/>
      <c r="X664" s="105"/>
      <c r="Y664" s="105"/>
      <c r="Z664" s="105"/>
      <c r="AA664" s="105"/>
      <c r="AB664" s="179"/>
      <c r="AC664" s="105"/>
    </row>
    <row r="665" ht="33.75" customHeight="1">
      <c r="A665" s="65" t="s">
        <v>1138</v>
      </c>
      <c r="B665" s="215" t="s">
        <v>26</v>
      </c>
      <c r="C665" s="215" t="s">
        <v>1120</v>
      </c>
      <c r="D665" s="215" t="s">
        <v>1136</v>
      </c>
      <c r="E665" s="215" t="s">
        <v>1137</v>
      </c>
      <c r="F665" s="65" t="s">
        <v>1122</v>
      </c>
      <c r="G665" s="65" t="s">
        <v>154</v>
      </c>
      <c r="H665" s="65" t="s">
        <v>154</v>
      </c>
      <c r="I665" s="65"/>
      <c r="J665" s="65" t="s">
        <v>9</v>
      </c>
      <c r="K665" s="97" t="s">
        <v>9</v>
      </c>
      <c r="L665" s="128">
        <v>0.5</v>
      </c>
      <c r="M665" s="129">
        <f t="shared" si="406"/>
        <v>0.75</v>
      </c>
      <c r="N665" s="128">
        <v>1.0</v>
      </c>
      <c r="O665" s="129">
        <f t="shared" ref="O665:O667" si="436">IF(COUNT(L665:N665)=0,"",(L665+4*M665+N665)/6)</f>
        <v>0.75</v>
      </c>
      <c r="P665" s="159"/>
      <c r="Q665" s="208">
        <f t="shared" ref="Q665:Q667" si="437">IF(O665="","",IF(P665="",O665,O665*(1+P665)))</f>
        <v>0.75</v>
      </c>
      <c r="R665" s="132"/>
      <c r="S665" s="132"/>
      <c r="T665" s="65" t="s">
        <v>31</v>
      </c>
      <c r="U665" s="26"/>
      <c r="V665" s="26"/>
      <c r="W665" s="26"/>
      <c r="X665" s="26"/>
      <c r="Y665" s="26"/>
      <c r="Z665" s="26"/>
      <c r="AA665" s="26"/>
      <c r="AB665" s="26"/>
      <c r="AC665" s="26"/>
    </row>
    <row r="666" ht="33.75" customHeight="1">
      <c r="A666" s="65" t="s">
        <v>1139</v>
      </c>
      <c r="B666" s="215" t="s">
        <v>26</v>
      </c>
      <c r="C666" s="215" t="s">
        <v>1120</v>
      </c>
      <c r="D666" s="215" t="s">
        <v>1136</v>
      </c>
      <c r="E666" s="215" t="s">
        <v>1137</v>
      </c>
      <c r="F666" s="65" t="s">
        <v>1122</v>
      </c>
      <c r="G666" s="65" t="s">
        <v>154</v>
      </c>
      <c r="H666" s="65" t="s">
        <v>154</v>
      </c>
      <c r="I666" s="65"/>
      <c r="J666" s="65" t="s">
        <v>9</v>
      </c>
      <c r="K666" s="97" t="s">
        <v>9</v>
      </c>
      <c r="L666" s="128">
        <v>1.0</v>
      </c>
      <c r="M666" s="129">
        <f t="shared" si="406"/>
        <v>1.25</v>
      </c>
      <c r="N666" s="128">
        <v>1.5</v>
      </c>
      <c r="O666" s="129">
        <f t="shared" si="436"/>
        <v>1.25</v>
      </c>
      <c r="P666" s="159"/>
      <c r="Q666" s="208">
        <f t="shared" si="437"/>
        <v>1.25</v>
      </c>
      <c r="R666" s="132"/>
      <c r="S666" s="132"/>
      <c r="T666" s="65" t="s">
        <v>32</v>
      </c>
      <c r="U666" s="26"/>
      <c r="V666" s="26"/>
      <c r="W666" s="26"/>
      <c r="X666" s="26"/>
      <c r="Y666" s="26"/>
      <c r="Z666" s="26"/>
      <c r="AA666" s="26"/>
      <c r="AB666" s="26"/>
      <c r="AC666" s="26"/>
    </row>
    <row r="667" ht="33.75" customHeight="1">
      <c r="A667" s="65" t="s">
        <v>1140</v>
      </c>
      <c r="B667" s="215" t="s">
        <v>26</v>
      </c>
      <c r="C667" s="215" t="s">
        <v>1120</v>
      </c>
      <c r="D667" s="215" t="s">
        <v>1136</v>
      </c>
      <c r="E667" s="215" t="s">
        <v>1137</v>
      </c>
      <c r="F667" s="65" t="s">
        <v>1122</v>
      </c>
      <c r="G667" s="65" t="s">
        <v>154</v>
      </c>
      <c r="H667" s="65" t="s">
        <v>154</v>
      </c>
      <c r="I667" s="65"/>
      <c r="J667" s="65" t="s">
        <v>9</v>
      </c>
      <c r="K667" s="97" t="s">
        <v>9</v>
      </c>
      <c r="L667" s="128">
        <v>0.25</v>
      </c>
      <c r="M667" s="129">
        <f t="shared" si="406"/>
        <v>0.5</v>
      </c>
      <c r="N667" s="128">
        <v>0.75</v>
      </c>
      <c r="O667" s="129">
        <f t="shared" si="436"/>
        <v>0.5</v>
      </c>
      <c r="P667" s="159"/>
      <c r="Q667" s="208">
        <f t="shared" si="437"/>
        <v>0.5</v>
      </c>
      <c r="R667" s="132"/>
      <c r="S667" s="132"/>
      <c r="T667" s="65" t="s">
        <v>70</v>
      </c>
      <c r="U667" s="26"/>
      <c r="V667" s="26"/>
      <c r="W667" s="26"/>
      <c r="X667" s="26"/>
      <c r="Y667" s="26"/>
      <c r="Z667" s="26"/>
      <c r="AA667" s="26"/>
      <c r="AB667" s="26"/>
      <c r="AC667" s="26"/>
    </row>
    <row r="668" ht="33.75" customHeight="1">
      <c r="A668" s="54" t="s">
        <v>1141</v>
      </c>
      <c r="B668" s="209" t="s">
        <v>26</v>
      </c>
      <c r="C668" s="209" t="s">
        <v>1120</v>
      </c>
      <c r="D668" s="209" t="s">
        <v>1142</v>
      </c>
      <c r="E668" s="209" t="s">
        <v>1143</v>
      </c>
      <c r="F668" s="54" t="s">
        <v>1144</v>
      </c>
      <c r="G668" s="54" t="s">
        <v>168</v>
      </c>
      <c r="H668" s="54" t="s">
        <v>168</v>
      </c>
      <c r="I668" s="54"/>
      <c r="J668" s="54" t="s">
        <v>9</v>
      </c>
      <c r="K668" s="119" t="s">
        <v>9</v>
      </c>
      <c r="L668" s="202">
        <f>IF(COUNT(L669:N671)=0,"",SUM(L669:L671))</f>
        <v>1.25</v>
      </c>
      <c r="M668" s="202">
        <f t="shared" si="406"/>
        <v>1.75</v>
      </c>
      <c r="N668" s="202">
        <f>IF(COUNT(L669:N671)=0,"",SUM(N669:N671))</f>
        <v>2.25</v>
      </c>
      <c r="O668" s="202">
        <f>IF(COUNT(O669:O671)=0,"",SUM(O669:O671))</f>
        <v>1.75</v>
      </c>
      <c r="P668" s="210"/>
      <c r="Q668" s="202">
        <f>IF(COUNT(Q669:Q671)=0,"",SUM(Q669:Q671))</f>
        <v>1.75</v>
      </c>
      <c r="R668" s="163"/>
      <c r="S668" s="163"/>
      <c r="T668" s="54" t="s">
        <v>65</v>
      </c>
      <c r="U668" s="179"/>
      <c r="V668" s="179"/>
      <c r="W668" s="179"/>
      <c r="X668" s="105"/>
      <c r="Y668" s="105"/>
      <c r="Z668" s="105"/>
      <c r="AA668" s="105"/>
      <c r="AB668" s="179"/>
      <c r="AC668" s="105"/>
    </row>
    <row r="669" ht="33.75" customHeight="1">
      <c r="A669" s="65" t="s">
        <v>1145</v>
      </c>
      <c r="B669" s="215" t="s">
        <v>26</v>
      </c>
      <c r="C669" s="215" t="s">
        <v>1120</v>
      </c>
      <c r="D669" s="215" t="s">
        <v>1142</v>
      </c>
      <c r="E669" s="215" t="s">
        <v>1143</v>
      </c>
      <c r="F669" s="65" t="s">
        <v>1144</v>
      </c>
      <c r="G669" s="65" t="s">
        <v>168</v>
      </c>
      <c r="H669" s="65" t="s">
        <v>168</v>
      </c>
      <c r="I669" s="65"/>
      <c r="J669" s="65" t="s">
        <v>9</v>
      </c>
      <c r="K669" s="97" t="s">
        <v>9</v>
      </c>
      <c r="L669" s="128">
        <v>0.5</v>
      </c>
      <c r="M669" s="129">
        <f t="shared" si="406"/>
        <v>0.75</v>
      </c>
      <c r="N669" s="128">
        <v>1.0</v>
      </c>
      <c r="O669" s="129">
        <f t="shared" ref="O669:O671" si="438">IF(COUNT(L669:N669)=0,"",(L669+4*M669+N669)/6)</f>
        <v>0.75</v>
      </c>
      <c r="P669" s="159"/>
      <c r="Q669" s="208">
        <f t="shared" ref="Q669:Q671" si="439">IF(O669="","",IF(P669="",O669,O669*(1+P669)))</f>
        <v>0.75</v>
      </c>
      <c r="R669" s="132"/>
      <c r="S669" s="132"/>
      <c r="T669" s="65" t="s">
        <v>31</v>
      </c>
      <c r="U669" s="26"/>
      <c r="V669" s="26"/>
      <c r="W669" s="26"/>
      <c r="X669" s="26"/>
      <c r="Y669" s="26"/>
      <c r="Z669" s="26"/>
      <c r="AA669" s="26"/>
      <c r="AB669" s="26"/>
      <c r="AC669" s="26"/>
    </row>
    <row r="670" ht="33.75" customHeight="1">
      <c r="A670" s="65" t="s">
        <v>1146</v>
      </c>
      <c r="B670" s="215" t="s">
        <v>26</v>
      </c>
      <c r="C670" s="215" t="s">
        <v>1120</v>
      </c>
      <c r="D670" s="215" t="s">
        <v>1142</v>
      </c>
      <c r="E670" s="215" t="s">
        <v>1143</v>
      </c>
      <c r="F670" s="65" t="s">
        <v>1144</v>
      </c>
      <c r="G670" s="65" t="s">
        <v>168</v>
      </c>
      <c r="H670" s="65" t="s">
        <v>168</v>
      </c>
      <c r="I670" s="65"/>
      <c r="J670" s="65" t="s">
        <v>9</v>
      </c>
      <c r="K670" s="97" t="s">
        <v>9</v>
      </c>
      <c r="L670" s="128">
        <v>0.25</v>
      </c>
      <c r="M670" s="129">
        <f t="shared" si="406"/>
        <v>0.375</v>
      </c>
      <c r="N670" s="128">
        <v>0.5</v>
      </c>
      <c r="O670" s="129">
        <f t="shared" si="438"/>
        <v>0.375</v>
      </c>
      <c r="P670" s="159"/>
      <c r="Q670" s="208">
        <f t="shared" si="439"/>
        <v>0.375</v>
      </c>
      <c r="R670" s="132"/>
      <c r="S670" s="132"/>
      <c r="T670" s="65" t="s">
        <v>32</v>
      </c>
      <c r="U670" s="26"/>
      <c r="V670" s="26"/>
      <c r="W670" s="26"/>
      <c r="X670" s="26"/>
      <c r="Y670" s="26"/>
      <c r="Z670" s="26"/>
      <c r="AA670" s="26"/>
      <c r="AB670" s="26"/>
      <c r="AC670" s="26"/>
    </row>
    <row r="671" ht="33.75" customHeight="1">
      <c r="A671" s="65" t="s">
        <v>1147</v>
      </c>
      <c r="B671" s="215" t="s">
        <v>26</v>
      </c>
      <c r="C671" s="215" t="s">
        <v>1120</v>
      </c>
      <c r="D671" s="215" t="s">
        <v>1142</v>
      </c>
      <c r="E671" s="215" t="s">
        <v>1143</v>
      </c>
      <c r="F671" s="65" t="s">
        <v>1144</v>
      </c>
      <c r="G671" s="65" t="s">
        <v>168</v>
      </c>
      <c r="H671" s="65" t="s">
        <v>168</v>
      </c>
      <c r="I671" s="65"/>
      <c r="J671" s="65" t="s">
        <v>9</v>
      </c>
      <c r="K671" s="97" t="s">
        <v>9</v>
      </c>
      <c r="L671" s="128">
        <v>0.5</v>
      </c>
      <c r="M671" s="129">
        <f t="shared" si="406"/>
        <v>0.625</v>
      </c>
      <c r="N671" s="128">
        <v>0.75</v>
      </c>
      <c r="O671" s="129">
        <f t="shared" si="438"/>
        <v>0.625</v>
      </c>
      <c r="P671" s="159"/>
      <c r="Q671" s="208">
        <f t="shared" si="439"/>
        <v>0.625</v>
      </c>
      <c r="R671" s="132"/>
      <c r="S671" s="132"/>
      <c r="T671" s="65" t="s">
        <v>70</v>
      </c>
      <c r="U671" s="26"/>
      <c r="V671" s="26"/>
      <c r="W671" s="26"/>
      <c r="X671" s="26"/>
      <c r="Y671" s="26"/>
      <c r="Z671" s="26"/>
      <c r="AA671" s="26"/>
      <c r="AB671" s="26"/>
      <c r="AC671" s="26"/>
    </row>
    <row r="672" ht="33.75" customHeight="1">
      <c r="A672" s="54" t="s">
        <v>1148</v>
      </c>
      <c r="B672" s="209" t="s">
        <v>26</v>
      </c>
      <c r="C672" s="209" t="s">
        <v>1120</v>
      </c>
      <c r="D672" s="209" t="s">
        <v>1149</v>
      </c>
      <c r="E672" s="209" t="s">
        <v>1150</v>
      </c>
      <c r="F672" s="54" t="s">
        <v>1151</v>
      </c>
      <c r="G672" s="54" t="s">
        <v>168</v>
      </c>
      <c r="H672" s="54" t="s">
        <v>168</v>
      </c>
      <c r="I672" s="54"/>
      <c r="J672" s="54" t="s">
        <v>9</v>
      </c>
      <c r="K672" s="119" t="s">
        <v>9</v>
      </c>
      <c r="L672" s="202">
        <f>IF(COUNT(L673:N675)=0,"",SUM(L673:L675))</f>
        <v>1.25</v>
      </c>
      <c r="M672" s="202">
        <f t="shared" si="406"/>
        <v>2</v>
      </c>
      <c r="N672" s="202">
        <f>IF(COUNT(L673:N675)=0,"",SUM(N673:N675))</f>
        <v>2.75</v>
      </c>
      <c r="O672" s="202">
        <f>IF(COUNT(O673:O675)=0,"",SUM(O673:O675))</f>
        <v>2</v>
      </c>
      <c r="P672" s="210"/>
      <c r="Q672" s="202">
        <f>IF(COUNT(Q673:Q675)=0,"",SUM(Q673:Q675))</f>
        <v>2</v>
      </c>
      <c r="R672" s="163"/>
      <c r="S672" s="163"/>
      <c r="T672" s="54" t="s">
        <v>65</v>
      </c>
      <c r="U672" s="179"/>
      <c r="V672" s="179"/>
      <c r="W672" s="179"/>
      <c r="X672" s="105"/>
      <c r="Y672" s="105"/>
      <c r="Z672" s="105"/>
      <c r="AA672" s="105"/>
      <c r="AB672" s="179"/>
      <c r="AC672" s="105"/>
    </row>
    <row r="673" ht="33.75" customHeight="1">
      <c r="A673" s="65" t="s">
        <v>1152</v>
      </c>
      <c r="B673" s="215" t="s">
        <v>26</v>
      </c>
      <c r="C673" s="215" t="s">
        <v>1120</v>
      </c>
      <c r="D673" s="215" t="s">
        <v>1149</v>
      </c>
      <c r="E673" s="215" t="s">
        <v>1150</v>
      </c>
      <c r="F673" s="65" t="s">
        <v>1151</v>
      </c>
      <c r="G673" s="65" t="s">
        <v>168</v>
      </c>
      <c r="H673" s="65" t="s">
        <v>168</v>
      </c>
      <c r="I673" s="65"/>
      <c r="J673" s="65" t="s">
        <v>9</v>
      </c>
      <c r="K673" s="97" t="s">
        <v>9</v>
      </c>
      <c r="L673" s="128">
        <v>0.5</v>
      </c>
      <c r="M673" s="129">
        <f t="shared" si="406"/>
        <v>0.75</v>
      </c>
      <c r="N673" s="128">
        <v>1.0</v>
      </c>
      <c r="O673" s="129">
        <f t="shared" ref="O673:O675" si="440">IF(COUNT(L673:N673)=0,"",(L673+4*M673+N673)/6)</f>
        <v>0.75</v>
      </c>
      <c r="P673" s="159"/>
      <c r="Q673" s="208">
        <f t="shared" ref="Q673:Q675" si="441">IF(O673="","",IF(P673="",O673,O673*(1+P673)))</f>
        <v>0.75</v>
      </c>
      <c r="R673" s="132"/>
      <c r="S673" s="132"/>
      <c r="T673" s="65" t="s">
        <v>31</v>
      </c>
      <c r="U673" s="26"/>
      <c r="V673" s="26"/>
      <c r="W673" s="26"/>
      <c r="X673" s="26"/>
      <c r="Y673" s="26"/>
      <c r="Z673" s="26"/>
      <c r="AA673" s="26"/>
      <c r="AB673" s="26"/>
      <c r="AC673" s="26"/>
    </row>
    <row r="674" ht="33.75" customHeight="1">
      <c r="A674" s="65" t="s">
        <v>1153</v>
      </c>
      <c r="B674" s="215" t="s">
        <v>26</v>
      </c>
      <c r="C674" s="215" t="s">
        <v>1120</v>
      </c>
      <c r="D674" s="215" t="s">
        <v>1149</v>
      </c>
      <c r="E674" s="215" t="s">
        <v>1150</v>
      </c>
      <c r="F674" s="65" t="s">
        <v>1151</v>
      </c>
      <c r="G674" s="65" t="s">
        <v>168</v>
      </c>
      <c r="H674" s="65" t="s">
        <v>168</v>
      </c>
      <c r="I674" s="65"/>
      <c r="J674" s="65" t="s">
        <v>9</v>
      </c>
      <c r="K674" s="97" t="s">
        <v>9</v>
      </c>
      <c r="L674" s="128">
        <v>0.25</v>
      </c>
      <c r="M674" s="129">
        <f t="shared" si="406"/>
        <v>0.625</v>
      </c>
      <c r="N674" s="128">
        <v>1.0</v>
      </c>
      <c r="O674" s="129">
        <f t="shared" si="440"/>
        <v>0.625</v>
      </c>
      <c r="P674" s="159"/>
      <c r="Q674" s="208">
        <f t="shared" si="441"/>
        <v>0.625</v>
      </c>
      <c r="R674" s="132"/>
      <c r="S674" s="132"/>
      <c r="T674" s="65" t="s">
        <v>32</v>
      </c>
      <c r="U674" s="26"/>
      <c r="V674" s="26"/>
      <c r="W674" s="26"/>
      <c r="X674" s="26"/>
      <c r="Y674" s="26"/>
      <c r="Z674" s="26"/>
      <c r="AA674" s="26"/>
      <c r="AB674" s="26"/>
      <c r="AC674" s="26"/>
    </row>
    <row r="675" ht="33.75" customHeight="1">
      <c r="A675" s="65" t="s">
        <v>1154</v>
      </c>
      <c r="B675" s="215" t="s">
        <v>26</v>
      </c>
      <c r="C675" s="215" t="s">
        <v>1120</v>
      </c>
      <c r="D675" s="215" t="s">
        <v>1149</v>
      </c>
      <c r="E675" s="215" t="s">
        <v>1150</v>
      </c>
      <c r="F675" s="65" t="s">
        <v>1151</v>
      </c>
      <c r="G675" s="65" t="s">
        <v>168</v>
      </c>
      <c r="H675" s="65" t="s">
        <v>168</v>
      </c>
      <c r="I675" s="65"/>
      <c r="J675" s="65" t="s">
        <v>9</v>
      </c>
      <c r="K675" s="97" t="s">
        <v>9</v>
      </c>
      <c r="L675" s="128">
        <v>0.5</v>
      </c>
      <c r="M675" s="129">
        <f t="shared" si="406"/>
        <v>0.625</v>
      </c>
      <c r="N675" s="128">
        <v>0.75</v>
      </c>
      <c r="O675" s="129">
        <f t="shared" si="440"/>
        <v>0.625</v>
      </c>
      <c r="P675" s="159"/>
      <c r="Q675" s="208">
        <f t="shared" si="441"/>
        <v>0.625</v>
      </c>
      <c r="R675" s="132"/>
      <c r="S675" s="132"/>
      <c r="T675" s="65" t="s">
        <v>70</v>
      </c>
      <c r="U675" s="26"/>
      <c r="V675" s="26"/>
      <c r="W675" s="26"/>
      <c r="X675" s="26"/>
      <c r="Y675" s="26"/>
      <c r="Z675" s="26"/>
      <c r="AA675" s="26"/>
      <c r="AB675" s="26"/>
      <c r="AC675" s="26"/>
    </row>
    <row r="676" ht="33.75" customHeight="1">
      <c r="A676" s="45" t="s">
        <v>1155</v>
      </c>
      <c r="B676" s="212" t="s">
        <v>26</v>
      </c>
      <c r="C676" s="212" t="s">
        <v>1156</v>
      </c>
      <c r="D676" s="212" t="s">
        <v>1156</v>
      </c>
      <c r="E676" s="212" t="s">
        <v>1157</v>
      </c>
      <c r="F676" s="45"/>
      <c r="G676" s="45"/>
      <c r="H676" s="45"/>
      <c r="I676" s="45"/>
      <c r="J676" s="45"/>
      <c r="K676" s="123"/>
      <c r="L676" s="213">
        <f>IF(COUNT(L677,L681,L685,L689)=0,"",SUM(L677,L681,L685,L689))</f>
        <v>3.75</v>
      </c>
      <c r="M676" s="213">
        <f t="shared" si="406"/>
        <v>5</v>
      </c>
      <c r="N676" s="213">
        <f t="shared" ref="N676:O676" si="442">IF(COUNT(N677,N681,N685,N689)=0,"",SUM(N677,N681,N685,N689))</f>
        <v>6.25</v>
      </c>
      <c r="O676" s="213">
        <f t="shared" si="442"/>
        <v>5</v>
      </c>
      <c r="P676" s="214"/>
      <c r="Q676" s="213">
        <f>IF(COUNT(Q677,Q681,Q685,Q689)=0,"",SUM(Q677,Q681,Q685,Q689))</f>
        <v>5</v>
      </c>
      <c r="R676" s="126"/>
      <c r="S676" s="126"/>
      <c r="T676" s="45" t="s">
        <v>62</v>
      </c>
      <c r="U676" s="26"/>
      <c r="V676" s="26"/>
      <c r="W676" s="26"/>
      <c r="X676" s="46">
        <f t="shared" ref="X676:AA676" si="443">L676</f>
        <v>3.75</v>
      </c>
      <c r="Y676" s="46">
        <f t="shared" si="443"/>
        <v>5</v>
      </c>
      <c r="Z676" s="46">
        <f t="shared" si="443"/>
        <v>6.25</v>
      </c>
      <c r="AA676" s="46">
        <f t="shared" si="443"/>
        <v>5</v>
      </c>
      <c r="AB676" s="26"/>
      <c r="AC676" s="46">
        <f>Q676</f>
        <v>5</v>
      </c>
    </row>
    <row r="677" ht="33.75" customHeight="1">
      <c r="A677" s="54" t="s">
        <v>1158</v>
      </c>
      <c r="B677" s="209" t="s">
        <v>26</v>
      </c>
      <c r="C677" s="209" t="s">
        <v>1156</v>
      </c>
      <c r="D677" s="209" t="s">
        <v>1159</v>
      </c>
      <c r="E677" s="209" t="s">
        <v>1160</v>
      </c>
      <c r="F677" s="54" t="s">
        <v>1040</v>
      </c>
      <c r="G677" s="54" t="s">
        <v>154</v>
      </c>
      <c r="H677" s="54" t="s">
        <v>154</v>
      </c>
      <c r="I677" s="54"/>
      <c r="J677" s="54" t="s">
        <v>9</v>
      </c>
      <c r="K677" s="119" t="s">
        <v>9</v>
      </c>
      <c r="L677" s="202">
        <f>IF(COUNT(L678:N680)=0,"",SUM(L678:L680))</f>
        <v>2.25</v>
      </c>
      <c r="M677" s="202">
        <f t="shared" si="406"/>
        <v>2.75</v>
      </c>
      <c r="N677" s="202">
        <f>IF(COUNT(L678:N680)=0,"",SUM(N678:N680))</f>
        <v>3.25</v>
      </c>
      <c r="O677" s="202">
        <f>IF(COUNT(O678:O680)=0,"",SUM(O678:O680))</f>
        <v>2.75</v>
      </c>
      <c r="P677" s="210"/>
      <c r="Q677" s="202">
        <f>IF(COUNT(Q678:Q680)=0,"",SUM(Q678:Q680))</f>
        <v>2.75</v>
      </c>
      <c r="R677" s="163"/>
      <c r="S677" s="163"/>
      <c r="T677" s="54" t="s">
        <v>65</v>
      </c>
      <c r="U677" s="179"/>
      <c r="V677" s="179"/>
      <c r="W677" s="179"/>
      <c r="X677" s="105"/>
      <c r="Y677" s="105"/>
      <c r="Z677" s="105"/>
      <c r="AA677" s="105"/>
      <c r="AB677" s="179"/>
      <c r="AC677" s="105"/>
    </row>
    <row r="678" ht="33.75" customHeight="1">
      <c r="A678" s="65" t="s">
        <v>1161</v>
      </c>
      <c r="B678" s="215" t="s">
        <v>26</v>
      </c>
      <c r="C678" s="215" t="s">
        <v>1156</v>
      </c>
      <c r="D678" s="215" t="s">
        <v>1159</v>
      </c>
      <c r="E678" s="215" t="s">
        <v>1160</v>
      </c>
      <c r="F678" s="65" t="s">
        <v>1040</v>
      </c>
      <c r="G678" s="65" t="s">
        <v>154</v>
      </c>
      <c r="H678" s="65" t="s">
        <v>154</v>
      </c>
      <c r="I678" s="65"/>
      <c r="J678" s="65" t="s">
        <v>9</v>
      </c>
      <c r="K678" s="97" t="s">
        <v>9</v>
      </c>
      <c r="L678" s="128">
        <v>1.0</v>
      </c>
      <c r="M678" s="129">
        <f t="shared" si="406"/>
        <v>1.125</v>
      </c>
      <c r="N678" s="128">
        <v>1.25</v>
      </c>
      <c r="O678" s="129">
        <f t="shared" ref="O678:O680" si="444">IF(COUNT(L678:N678)=0,"",(L678+4*M678+N678)/6)</f>
        <v>1.125</v>
      </c>
      <c r="P678" s="159"/>
      <c r="Q678" s="208">
        <f t="shared" ref="Q678:Q680" si="445">IF(O678="","",IF(P678="",O678,O678*(1+P678)))</f>
        <v>1.125</v>
      </c>
      <c r="R678" s="132"/>
      <c r="S678" s="132"/>
      <c r="T678" s="65" t="s">
        <v>31</v>
      </c>
      <c r="U678" s="26"/>
      <c r="V678" s="26"/>
      <c r="W678" s="26"/>
      <c r="X678" s="26"/>
      <c r="Y678" s="26"/>
      <c r="Z678" s="26"/>
      <c r="AA678" s="26"/>
      <c r="AB678" s="26"/>
      <c r="AC678" s="26"/>
    </row>
    <row r="679" ht="33.75" customHeight="1">
      <c r="A679" s="65" t="s">
        <v>1162</v>
      </c>
      <c r="B679" s="215" t="s">
        <v>26</v>
      </c>
      <c r="C679" s="215" t="s">
        <v>1156</v>
      </c>
      <c r="D679" s="215" t="s">
        <v>1159</v>
      </c>
      <c r="E679" s="215" t="s">
        <v>1160</v>
      </c>
      <c r="F679" s="65" t="s">
        <v>1040</v>
      </c>
      <c r="G679" s="65" t="s">
        <v>154</v>
      </c>
      <c r="H679" s="65" t="s">
        <v>154</v>
      </c>
      <c r="I679" s="65"/>
      <c r="J679" s="65" t="s">
        <v>9</v>
      </c>
      <c r="K679" s="97" t="s">
        <v>9</v>
      </c>
      <c r="L679" s="128">
        <v>1.0</v>
      </c>
      <c r="M679" s="129">
        <f t="shared" si="406"/>
        <v>1.25</v>
      </c>
      <c r="N679" s="128">
        <v>1.5</v>
      </c>
      <c r="O679" s="129">
        <f t="shared" si="444"/>
        <v>1.25</v>
      </c>
      <c r="P679" s="159"/>
      <c r="Q679" s="208">
        <f t="shared" si="445"/>
        <v>1.25</v>
      </c>
      <c r="R679" s="132"/>
      <c r="S679" s="132"/>
      <c r="T679" s="65" t="s">
        <v>32</v>
      </c>
      <c r="U679" s="26"/>
      <c r="V679" s="26"/>
      <c r="W679" s="26"/>
      <c r="X679" s="26"/>
      <c r="Y679" s="26"/>
      <c r="Z679" s="26"/>
      <c r="AA679" s="26"/>
      <c r="AB679" s="26"/>
      <c r="AC679" s="26"/>
    </row>
    <row r="680" ht="33.75" customHeight="1">
      <c r="A680" s="65" t="s">
        <v>1163</v>
      </c>
      <c r="B680" s="215" t="s">
        <v>26</v>
      </c>
      <c r="C680" s="215" t="s">
        <v>1156</v>
      </c>
      <c r="D680" s="215" t="s">
        <v>1159</v>
      </c>
      <c r="E680" s="215" t="s">
        <v>1160</v>
      </c>
      <c r="F680" s="65" t="s">
        <v>1040</v>
      </c>
      <c r="G680" s="65" t="s">
        <v>154</v>
      </c>
      <c r="H680" s="65" t="s">
        <v>154</v>
      </c>
      <c r="I680" s="65"/>
      <c r="J680" s="65" t="s">
        <v>9</v>
      </c>
      <c r="K680" s="97" t="s">
        <v>9</v>
      </c>
      <c r="L680" s="128">
        <v>0.25</v>
      </c>
      <c r="M680" s="129">
        <f t="shared" si="406"/>
        <v>0.375</v>
      </c>
      <c r="N680" s="128">
        <v>0.5</v>
      </c>
      <c r="O680" s="129">
        <f t="shared" si="444"/>
        <v>0.375</v>
      </c>
      <c r="P680" s="159"/>
      <c r="Q680" s="208">
        <f t="shared" si="445"/>
        <v>0.375</v>
      </c>
      <c r="R680" s="132"/>
      <c r="S680" s="132"/>
      <c r="T680" s="65" t="s">
        <v>70</v>
      </c>
      <c r="U680" s="26"/>
      <c r="V680" s="26"/>
      <c r="W680" s="26"/>
      <c r="X680" s="26"/>
      <c r="Y680" s="26"/>
      <c r="Z680" s="26"/>
      <c r="AA680" s="26"/>
      <c r="AB680" s="26"/>
      <c r="AC680" s="26"/>
    </row>
    <row r="681" ht="33.75" customHeight="1">
      <c r="A681" s="54" t="s">
        <v>1164</v>
      </c>
      <c r="B681" s="209" t="s">
        <v>26</v>
      </c>
      <c r="C681" s="209" t="s">
        <v>1156</v>
      </c>
      <c r="D681" s="209" t="s">
        <v>1165</v>
      </c>
      <c r="E681" s="209" t="s">
        <v>1166</v>
      </c>
      <c r="F681" s="54" t="s">
        <v>1040</v>
      </c>
      <c r="G681" s="54" t="s">
        <v>154</v>
      </c>
      <c r="H681" s="54" t="s">
        <v>154</v>
      </c>
      <c r="I681" s="54"/>
      <c r="J681" s="54" t="s">
        <v>9</v>
      </c>
      <c r="K681" s="119" t="s">
        <v>9</v>
      </c>
      <c r="L681" s="202">
        <f>IF(COUNT(L682:N684)=0,"",SUM(L682:L684))</f>
        <v>0.75</v>
      </c>
      <c r="M681" s="202">
        <f t="shared" si="406"/>
        <v>1.125</v>
      </c>
      <c r="N681" s="202">
        <f>IF(COUNT(L682:N684)=0,"",SUM(N682:N684))</f>
        <v>1.5</v>
      </c>
      <c r="O681" s="202">
        <f>IF(COUNT(O682:O684)=0,"",SUM(O682:O684))</f>
        <v>1.125</v>
      </c>
      <c r="P681" s="210"/>
      <c r="Q681" s="202">
        <f>IF(COUNT(Q682:Q684)=0,"",SUM(Q682:Q684))</f>
        <v>1.125</v>
      </c>
      <c r="R681" s="163"/>
      <c r="S681" s="163"/>
      <c r="T681" s="54" t="s">
        <v>65</v>
      </c>
      <c r="U681" s="179"/>
      <c r="V681" s="179"/>
      <c r="W681" s="179"/>
      <c r="X681" s="105"/>
      <c r="Y681" s="105"/>
      <c r="Z681" s="105"/>
      <c r="AA681" s="105"/>
      <c r="AB681" s="179"/>
      <c r="AC681" s="105"/>
    </row>
    <row r="682" ht="33.75" customHeight="1">
      <c r="A682" s="65" t="s">
        <v>1167</v>
      </c>
      <c r="B682" s="215" t="s">
        <v>26</v>
      </c>
      <c r="C682" s="215" t="s">
        <v>1156</v>
      </c>
      <c r="D682" s="215" t="s">
        <v>1165</v>
      </c>
      <c r="E682" s="215" t="s">
        <v>1166</v>
      </c>
      <c r="F682" s="65" t="s">
        <v>1040</v>
      </c>
      <c r="G682" s="65" t="s">
        <v>154</v>
      </c>
      <c r="H682" s="65" t="s">
        <v>154</v>
      </c>
      <c r="I682" s="65"/>
      <c r="J682" s="65" t="s">
        <v>9</v>
      </c>
      <c r="K682" s="97" t="s">
        <v>9</v>
      </c>
      <c r="L682" s="128">
        <v>0.25</v>
      </c>
      <c r="M682" s="129">
        <f t="shared" si="406"/>
        <v>0.375</v>
      </c>
      <c r="N682" s="128">
        <v>0.5</v>
      </c>
      <c r="O682" s="129">
        <f t="shared" ref="O682:O684" si="446">IF(COUNT(L682:N682)=0,"",(L682+4*M682+N682)/6)</f>
        <v>0.375</v>
      </c>
      <c r="P682" s="159"/>
      <c r="Q682" s="208">
        <f t="shared" ref="Q682:Q684" si="447">IF(O682="","",IF(P682="",O682,O682*(1+P682)))</f>
        <v>0.375</v>
      </c>
      <c r="R682" s="132"/>
      <c r="S682" s="132"/>
      <c r="T682" s="65" t="s">
        <v>31</v>
      </c>
      <c r="U682" s="26"/>
      <c r="V682" s="26"/>
      <c r="W682" s="26"/>
      <c r="X682" s="26"/>
      <c r="Y682" s="26"/>
      <c r="Z682" s="26"/>
      <c r="AA682" s="26"/>
      <c r="AB682" s="26"/>
      <c r="AC682" s="26"/>
    </row>
    <row r="683" ht="33.75" customHeight="1">
      <c r="A683" s="65" t="s">
        <v>1168</v>
      </c>
      <c r="B683" s="215" t="s">
        <v>26</v>
      </c>
      <c r="C683" s="215" t="s">
        <v>1156</v>
      </c>
      <c r="D683" s="215" t="s">
        <v>1165</v>
      </c>
      <c r="E683" s="215" t="s">
        <v>1166</v>
      </c>
      <c r="F683" s="65" t="s">
        <v>1040</v>
      </c>
      <c r="G683" s="65" t="s">
        <v>154</v>
      </c>
      <c r="H683" s="65" t="s">
        <v>154</v>
      </c>
      <c r="I683" s="65"/>
      <c r="J683" s="65" t="s">
        <v>9</v>
      </c>
      <c r="K683" s="97" t="s">
        <v>9</v>
      </c>
      <c r="L683" s="128">
        <v>0.25</v>
      </c>
      <c r="M683" s="129">
        <f t="shared" si="406"/>
        <v>0.375</v>
      </c>
      <c r="N683" s="128">
        <v>0.5</v>
      </c>
      <c r="O683" s="129">
        <f t="shared" si="446"/>
        <v>0.375</v>
      </c>
      <c r="P683" s="159"/>
      <c r="Q683" s="208">
        <f t="shared" si="447"/>
        <v>0.375</v>
      </c>
      <c r="R683" s="132"/>
      <c r="S683" s="132"/>
      <c r="T683" s="65" t="s">
        <v>32</v>
      </c>
      <c r="U683" s="26"/>
      <c r="V683" s="26"/>
      <c r="W683" s="26"/>
      <c r="X683" s="26"/>
      <c r="Y683" s="26"/>
      <c r="Z683" s="26"/>
      <c r="AA683" s="26"/>
      <c r="AB683" s="26"/>
      <c r="AC683" s="26"/>
    </row>
    <row r="684" ht="33.75" customHeight="1">
      <c r="A684" s="65" t="s">
        <v>1169</v>
      </c>
      <c r="B684" s="215" t="s">
        <v>26</v>
      </c>
      <c r="C684" s="215" t="s">
        <v>1156</v>
      </c>
      <c r="D684" s="215" t="s">
        <v>1165</v>
      </c>
      <c r="E684" s="215" t="s">
        <v>1166</v>
      </c>
      <c r="F684" s="65" t="s">
        <v>1040</v>
      </c>
      <c r="G684" s="65" t="s">
        <v>154</v>
      </c>
      <c r="H684" s="65" t="s">
        <v>154</v>
      </c>
      <c r="I684" s="65"/>
      <c r="J684" s="65" t="s">
        <v>9</v>
      </c>
      <c r="K684" s="97" t="s">
        <v>9</v>
      </c>
      <c r="L684" s="128">
        <v>0.25</v>
      </c>
      <c r="M684" s="129">
        <f t="shared" si="406"/>
        <v>0.375</v>
      </c>
      <c r="N684" s="128">
        <v>0.5</v>
      </c>
      <c r="O684" s="129">
        <f t="shared" si="446"/>
        <v>0.375</v>
      </c>
      <c r="P684" s="159"/>
      <c r="Q684" s="208">
        <f t="shared" si="447"/>
        <v>0.375</v>
      </c>
      <c r="R684" s="132"/>
      <c r="S684" s="132"/>
      <c r="T684" s="65" t="s">
        <v>70</v>
      </c>
      <c r="U684" s="26"/>
      <c r="V684" s="26"/>
      <c r="W684" s="26"/>
      <c r="X684" s="26"/>
      <c r="Y684" s="26"/>
      <c r="Z684" s="26"/>
      <c r="AA684" s="26"/>
      <c r="AB684" s="26"/>
      <c r="AC684" s="26"/>
    </row>
    <row r="685" ht="33.75" customHeight="1">
      <c r="A685" s="54" t="s">
        <v>1170</v>
      </c>
      <c r="B685" s="209" t="s">
        <v>26</v>
      </c>
      <c r="C685" s="209" t="s">
        <v>1156</v>
      </c>
      <c r="D685" s="209" t="s">
        <v>1171</v>
      </c>
      <c r="E685" s="209" t="s">
        <v>1172</v>
      </c>
      <c r="F685" s="54" t="s">
        <v>1040</v>
      </c>
      <c r="G685" s="54" t="s">
        <v>154</v>
      </c>
      <c r="H685" s="54" t="s">
        <v>154</v>
      </c>
      <c r="I685" s="54"/>
      <c r="J685" s="54" t="s">
        <v>9</v>
      </c>
      <c r="K685" s="119" t="s">
        <v>9</v>
      </c>
      <c r="L685" s="202">
        <f>IF(COUNT(L686:N688)=0,"",SUM(L686:L688))</f>
        <v>0.75</v>
      </c>
      <c r="M685" s="202">
        <f t="shared" si="406"/>
        <v>1.125</v>
      </c>
      <c r="N685" s="202">
        <f>IF(COUNT(L686:N688)=0,"",SUM(N686:N688))</f>
        <v>1.5</v>
      </c>
      <c r="O685" s="202">
        <f>IF(COUNT(O686:O688)=0,"",SUM(O686:O688))</f>
        <v>1.125</v>
      </c>
      <c r="P685" s="210"/>
      <c r="Q685" s="202">
        <f>IF(COUNT(Q686:Q688)=0,"",SUM(Q686:Q688))</f>
        <v>1.125</v>
      </c>
      <c r="R685" s="163"/>
      <c r="S685" s="163"/>
      <c r="T685" s="54" t="s">
        <v>65</v>
      </c>
      <c r="U685" s="179"/>
      <c r="V685" s="179"/>
      <c r="W685" s="179"/>
      <c r="X685" s="105"/>
      <c r="Y685" s="105"/>
      <c r="Z685" s="105"/>
      <c r="AA685" s="105"/>
      <c r="AB685" s="179"/>
      <c r="AC685" s="105"/>
    </row>
    <row r="686" ht="33.75" customHeight="1">
      <c r="A686" s="65" t="s">
        <v>1173</v>
      </c>
      <c r="B686" s="215" t="s">
        <v>26</v>
      </c>
      <c r="C686" s="215" t="s">
        <v>1156</v>
      </c>
      <c r="D686" s="215" t="s">
        <v>1171</v>
      </c>
      <c r="E686" s="215" t="s">
        <v>1172</v>
      </c>
      <c r="F686" s="65" t="s">
        <v>1040</v>
      </c>
      <c r="G686" s="65" t="s">
        <v>154</v>
      </c>
      <c r="H686" s="65" t="s">
        <v>154</v>
      </c>
      <c r="I686" s="65"/>
      <c r="J686" s="65" t="s">
        <v>9</v>
      </c>
      <c r="K686" s="97" t="s">
        <v>9</v>
      </c>
      <c r="L686" s="128">
        <v>0.25</v>
      </c>
      <c r="M686" s="129">
        <f t="shared" si="406"/>
        <v>0.375</v>
      </c>
      <c r="N686" s="128">
        <v>0.5</v>
      </c>
      <c r="O686" s="129">
        <f t="shared" ref="O686:O688" si="448">IF(COUNT(L686:N686)=0,"",(L686+4*M686+N686)/6)</f>
        <v>0.375</v>
      </c>
      <c r="P686" s="159"/>
      <c r="Q686" s="208">
        <f t="shared" ref="Q686:Q688" si="449">IF(O686="","",IF(P686="",O686,O686*(1+P686)))</f>
        <v>0.375</v>
      </c>
      <c r="R686" s="132"/>
      <c r="S686" s="132"/>
      <c r="T686" s="65" t="s">
        <v>31</v>
      </c>
      <c r="U686" s="26"/>
      <c r="V686" s="26"/>
      <c r="W686" s="26"/>
      <c r="X686" s="26"/>
      <c r="Y686" s="26"/>
      <c r="Z686" s="26"/>
      <c r="AA686" s="26"/>
      <c r="AB686" s="26"/>
      <c r="AC686" s="26"/>
    </row>
    <row r="687" ht="33.75" customHeight="1">
      <c r="A687" s="65" t="s">
        <v>1174</v>
      </c>
      <c r="B687" s="215" t="s">
        <v>26</v>
      </c>
      <c r="C687" s="215" t="s">
        <v>1156</v>
      </c>
      <c r="D687" s="215" t="s">
        <v>1171</v>
      </c>
      <c r="E687" s="215" t="s">
        <v>1172</v>
      </c>
      <c r="F687" s="65" t="s">
        <v>1040</v>
      </c>
      <c r="G687" s="65" t="s">
        <v>154</v>
      </c>
      <c r="H687" s="65" t="s">
        <v>154</v>
      </c>
      <c r="I687" s="65"/>
      <c r="J687" s="65" t="s">
        <v>9</v>
      </c>
      <c r="K687" s="97" t="s">
        <v>9</v>
      </c>
      <c r="L687" s="128">
        <v>0.25</v>
      </c>
      <c r="M687" s="129">
        <f t="shared" si="406"/>
        <v>0.375</v>
      </c>
      <c r="N687" s="128">
        <v>0.5</v>
      </c>
      <c r="O687" s="129">
        <f t="shared" si="448"/>
        <v>0.375</v>
      </c>
      <c r="P687" s="159"/>
      <c r="Q687" s="208">
        <f t="shared" si="449"/>
        <v>0.375</v>
      </c>
      <c r="R687" s="132"/>
      <c r="S687" s="132"/>
      <c r="T687" s="65" t="s">
        <v>32</v>
      </c>
      <c r="U687" s="26"/>
      <c r="V687" s="26"/>
      <c r="W687" s="26"/>
      <c r="X687" s="26"/>
      <c r="Y687" s="26"/>
      <c r="Z687" s="26"/>
      <c r="AA687" s="26"/>
      <c r="AB687" s="26"/>
      <c r="AC687" s="26"/>
    </row>
    <row r="688" ht="33.75" customHeight="1">
      <c r="A688" s="65" t="s">
        <v>1175</v>
      </c>
      <c r="B688" s="215" t="s">
        <v>26</v>
      </c>
      <c r="C688" s="215" t="s">
        <v>1156</v>
      </c>
      <c r="D688" s="215" t="s">
        <v>1171</v>
      </c>
      <c r="E688" s="215" t="s">
        <v>1172</v>
      </c>
      <c r="F688" s="65" t="s">
        <v>1040</v>
      </c>
      <c r="G688" s="65" t="s">
        <v>154</v>
      </c>
      <c r="H688" s="65" t="s">
        <v>154</v>
      </c>
      <c r="I688" s="65"/>
      <c r="J688" s="65" t="s">
        <v>9</v>
      </c>
      <c r="K688" s="97" t="s">
        <v>9</v>
      </c>
      <c r="L688" s="128">
        <v>0.25</v>
      </c>
      <c r="M688" s="129">
        <f t="shared" si="406"/>
        <v>0.375</v>
      </c>
      <c r="N688" s="128">
        <v>0.5</v>
      </c>
      <c r="O688" s="129">
        <f t="shared" si="448"/>
        <v>0.375</v>
      </c>
      <c r="P688" s="159"/>
      <c r="Q688" s="208">
        <f t="shared" si="449"/>
        <v>0.375</v>
      </c>
      <c r="R688" s="132"/>
      <c r="S688" s="132"/>
      <c r="T688" s="65" t="s">
        <v>70</v>
      </c>
      <c r="U688" s="26"/>
      <c r="V688" s="26"/>
      <c r="W688" s="26"/>
      <c r="X688" s="26"/>
      <c r="Y688" s="26"/>
      <c r="Z688" s="26"/>
      <c r="AA688" s="26"/>
      <c r="AB688" s="26"/>
      <c r="AC688" s="26"/>
    </row>
    <row r="689" ht="33.75" customHeight="1">
      <c r="A689" s="98" t="s">
        <v>1176</v>
      </c>
      <c r="B689" s="99" t="s">
        <v>26</v>
      </c>
      <c r="C689" s="99" t="s">
        <v>1156</v>
      </c>
      <c r="D689" s="99" t="s">
        <v>1177</v>
      </c>
      <c r="E689" s="99" t="s">
        <v>1178</v>
      </c>
      <c r="F689" s="98" t="s">
        <v>1170</v>
      </c>
      <c r="G689" s="98" t="s">
        <v>154</v>
      </c>
      <c r="H689" s="98" t="s">
        <v>154</v>
      </c>
      <c r="I689" s="98"/>
      <c r="J689" s="98" t="s">
        <v>12</v>
      </c>
      <c r="K689" s="100" t="s">
        <v>12</v>
      </c>
      <c r="L689" s="101">
        <f>IF(COUNT(L690:N692)=0,"",SUM(L690:L692))</f>
        <v>0</v>
      </c>
      <c r="M689" s="102">
        <f t="shared" si="406"/>
        <v>0</v>
      </c>
      <c r="N689" s="101">
        <f>IF(COUNT(L690:N692)=0,"",SUM(N690:N692))</f>
        <v>0</v>
      </c>
      <c r="O689" s="101">
        <f>IF(COUNT(O690:O692)=0,"",SUM(O690:O692))</f>
        <v>0</v>
      </c>
      <c r="P689" s="103"/>
      <c r="Q689" s="101">
        <f>IF(COUNT(Q690:Q692)=0,"",SUM(Q690:Q692))</f>
        <v>0</v>
      </c>
      <c r="R689" s="104"/>
      <c r="S689" s="104"/>
      <c r="T689" s="98" t="s">
        <v>65</v>
      </c>
      <c r="U689" s="179"/>
      <c r="V689" s="179"/>
      <c r="W689" s="179"/>
      <c r="X689" s="105"/>
      <c r="Y689" s="105"/>
      <c r="Z689" s="105"/>
      <c r="AA689" s="105"/>
      <c r="AB689" s="179"/>
      <c r="AC689" s="105"/>
    </row>
    <row r="690" ht="33.75" customHeight="1">
      <c r="A690" s="106" t="s">
        <v>1179</v>
      </c>
      <c r="B690" s="107" t="s">
        <v>26</v>
      </c>
      <c r="C690" s="107" t="s">
        <v>1156</v>
      </c>
      <c r="D690" s="107" t="s">
        <v>1177</v>
      </c>
      <c r="E690" s="107" t="s">
        <v>1178</v>
      </c>
      <c r="F690" s="106" t="s">
        <v>1170</v>
      </c>
      <c r="G690" s="106" t="s">
        <v>154</v>
      </c>
      <c r="H690" s="106" t="s">
        <v>154</v>
      </c>
      <c r="I690" s="106"/>
      <c r="J690" s="106" t="s">
        <v>12</v>
      </c>
      <c r="K690" s="108" t="s">
        <v>12</v>
      </c>
      <c r="L690" s="109"/>
      <c r="M690" s="109">
        <f t="shared" si="406"/>
        <v>0</v>
      </c>
      <c r="N690" s="109"/>
      <c r="O690" s="109">
        <f t="shared" ref="O690:O692" si="450">IF(COUNT(L690:N690)=0,"",(L690+4*M690+N690)/6)</f>
        <v>0</v>
      </c>
      <c r="P690" s="110"/>
      <c r="Q690" s="109">
        <f t="shared" ref="Q690:Q692" si="451">IF(O690="","",IF(P690="",O690,O690*(1+P690)))</f>
        <v>0</v>
      </c>
      <c r="R690" s="111"/>
      <c r="S690" s="111"/>
      <c r="T690" s="106" t="s">
        <v>31</v>
      </c>
      <c r="U690" s="26"/>
      <c r="V690" s="26"/>
      <c r="W690" s="26"/>
      <c r="X690" s="26"/>
      <c r="Y690" s="26"/>
      <c r="Z690" s="26"/>
      <c r="AA690" s="26"/>
      <c r="AB690" s="26"/>
      <c r="AC690" s="26"/>
    </row>
    <row r="691" ht="33.75" customHeight="1">
      <c r="A691" s="106" t="s">
        <v>1180</v>
      </c>
      <c r="B691" s="107" t="s">
        <v>26</v>
      </c>
      <c r="C691" s="107" t="s">
        <v>1156</v>
      </c>
      <c r="D691" s="107" t="s">
        <v>1177</v>
      </c>
      <c r="E691" s="107" t="s">
        <v>1178</v>
      </c>
      <c r="F691" s="106" t="s">
        <v>1170</v>
      </c>
      <c r="G691" s="106" t="s">
        <v>154</v>
      </c>
      <c r="H691" s="106" t="s">
        <v>154</v>
      </c>
      <c r="I691" s="106"/>
      <c r="J691" s="106" t="s">
        <v>12</v>
      </c>
      <c r="K691" s="108" t="s">
        <v>12</v>
      </c>
      <c r="L691" s="109"/>
      <c r="M691" s="109">
        <f t="shared" si="406"/>
        <v>0</v>
      </c>
      <c r="N691" s="109"/>
      <c r="O691" s="109">
        <f t="shared" si="450"/>
        <v>0</v>
      </c>
      <c r="P691" s="110"/>
      <c r="Q691" s="109">
        <f t="shared" si="451"/>
        <v>0</v>
      </c>
      <c r="R691" s="111"/>
      <c r="S691" s="111"/>
      <c r="T691" s="106" t="s">
        <v>32</v>
      </c>
      <c r="U691" s="26"/>
      <c r="V691" s="26"/>
      <c r="W691" s="26"/>
      <c r="X691" s="26"/>
      <c r="Y691" s="26"/>
      <c r="Z691" s="26"/>
      <c r="AA691" s="26"/>
      <c r="AB691" s="26"/>
      <c r="AC691" s="26"/>
    </row>
    <row r="692" ht="33.75" customHeight="1">
      <c r="A692" s="106" t="s">
        <v>1181</v>
      </c>
      <c r="B692" s="107" t="s">
        <v>26</v>
      </c>
      <c r="C692" s="107" t="s">
        <v>1156</v>
      </c>
      <c r="D692" s="107" t="s">
        <v>1177</v>
      </c>
      <c r="E692" s="107" t="s">
        <v>1178</v>
      </c>
      <c r="F692" s="106" t="s">
        <v>1170</v>
      </c>
      <c r="G692" s="106" t="s">
        <v>154</v>
      </c>
      <c r="H692" s="106" t="s">
        <v>154</v>
      </c>
      <c r="I692" s="106"/>
      <c r="J692" s="106" t="s">
        <v>12</v>
      </c>
      <c r="K692" s="108" t="s">
        <v>12</v>
      </c>
      <c r="L692" s="109"/>
      <c r="M692" s="109">
        <f t="shared" si="406"/>
        <v>0</v>
      </c>
      <c r="N692" s="109"/>
      <c r="O692" s="109">
        <f t="shared" si="450"/>
        <v>0</v>
      </c>
      <c r="P692" s="110"/>
      <c r="Q692" s="109">
        <f t="shared" si="451"/>
        <v>0</v>
      </c>
      <c r="R692" s="111"/>
      <c r="S692" s="111"/>
      <c r="T692" s="106" t="s">
        <v>70</v>
      </c>
      <c r="U692" s="26"/>
      <c r="V692" s="26"/>
      <c r="W692" s="26"/>
      <c r="X692" s="26"/>
      <c r="Y692" s="26"/>
      <c r="Z692" s="26"/>
      <c r="AA692" s="26"/>
      <c r="AB692" s="26"/>
      <c r="AC692" s="26"/>
    </row>
    <row r="693" ht="33.75" customHeight="1">
      <c r="A693" s="45" t="s">
        <v>1182</v>
      </c>
      <c r="B693" s="212" t="s">
        <v>26</v>
      </c>
      <c r="C693" s="212" t="s">
        <v>1183</v>
      </c>
      <c r="D693" s="212" t="s">
        <v>1183</v>
      </c>
      <c r="E693" s="212" t="s">
        <v>1184</v>
      </c>
      <c r="F693" s="45"/>
      <c r="G693" s="45"/>
      <c r="H693" s="45"/>
      <c r="I693" s="45"/>
      <c r="J693" s="45"/>
      <c r="K693" s="123"/>
      <c r="L693" s="213">
        <f>IF(COUNT(L694,L698)=0,"",SUM(L694,L698))</f>
        <v>0.5</v>
      </c>
      <c r="M693" s="213">
        <f t="shared" si="406"/>
        <v>1</v>
      </c>
      <c r="N693" s="213">
        <f t="shared" ref="N693:O693" si="452">IF(COUNT(N694,N698)=0,"",SUM(N694,N698))</f>
        <v>1.5</v>
      </c>
      <c r="O693" s="213">
        <f t="shared" si="452"/>
        <v>1</v>
      </c>
      <c r="P693" s="214"/>
      <c r="Q693" s="213">
        <f>IF(COUNT(Q694,Q698)=0,"",SUM(Q694,Q698))</f>
        <v>1</v>
      </c>
      <c r="R693" s="126"/>
      <c r="S693" s="126"/>
      <c r="T693" s="45" t="s">
        <v>62</v>
      </c>
      <c r="U693" s="26"/>
      <c r="V693" s="26"/>
      <c r="W693" s="26"/>
      <c r="X693" s="46">
        <f t="shared" ref="X693:AA693" si="453">L693</f>
        <v>0.5</v>
      </c>
      <c r="Y693" s="46">
        <f t="shared" si="453"/>
        <v>1</v>
      </c>
      <c r="Z693" s="46">
        <f t="shared" si="453"/>
        <v>1.5</v>
      </c>
      <c r="AA693" s="46">
        <f t="shared" si="453"/>
        <v>1</v>
      </c>
      <c r="AB693" s="26"/>
      <c r="AC693" s="46">
        <f>Q693</f>
        <v>1</v>
      </c>
    </row>
    <row r="694" ht="33.75" customHeight="1">
      <c r="A694" s="54" t="s">
        <v>1185</v>
      </c>
      <c r="B694" s="209" t="s">
        <v>26</v>
      </c>
      <c r="C694" s="209" t="s">
        <v>1183</v>
      </c>
      <c r="D694" s="209" t="s">
        <v>1186</v>
      </c>
      <c r="E694" s="209" t="s">
        <v>1187</v>
      </c>
      <c r="F694" s="54" t="s">
        <v>1062</v>
      </c>
      <c r="G694" s="54" t="s">
        <v>168</v>
      </c>
      <c r="H694" s="54" t="s">
        <v>168</v>
      </c>
      <c r="I694" s="54"/>
      <c r="J694" s="54" t="s">
        <v>9</v>
      </c>
      <c r="K694" s="119" t="s">
        <v>9</v>
      </c>
      <c r="L694" s="202">
        <f>IF(COUNT(L695:N697)=0,"",SUM(L695:L697))</f>
        <v>0.5</v>
      </c>
      <c r="M694" s="202">
        <f t="shared" si="406"/>
        <v>1</v>
      </c>
      <c r="N694" s="202">
        <f>IF(COUNT(L695:N697)=0,"",SUM(N695:N697))</f>
        <v>1.5</v>
      </c>
      <c r="O694" s="202">
        <f>IF(COUNT(O695:O697)=0,"",SUM(O695:O697))</f>
        <v>1</v>
      </c>
      <c r="P694" s="210"/>
      <c r="Q694" s="202">
        <f>IF(COUNT(Q695:Q697)=0,"",SUM(Q695:Q697))</f>
        <v>1</v>
      </c>
      <c r="R694" s="163"/>
      <c r="S694" s="163"/>
      <c r="T694" s="54" t="s">
        <v>65</v>
      </c>
      <c r="U694" s="179"/>
      <c r="V694" s="179"/>
      <c r="W694" s="179"/>
      <c r="X694" s="105"/>
      <c r="Y694" s="105"/>
      <c r="Z694" s="105"/>
      <c r="AA694" s="105"/>
      <c r="AB694" s="179"/>
      <c r="AC694" s="105"/>
    </row>
    <row r="695" ht="33.75" customHeight="1">
      <c r="A695" s="65" t="s">
        <v>1188</v>
      </c>
      <c r="B695" s="215" t="s">
        <v>26</v>
      </c>
      <c r="C695" s="215" t="s">
        <v>1183</v>
      </c>
      <c r="D695" s="215" t="s">
        <v>1186</v>
      </c>
      <c r="E695" s="215" t="s">
        <v>1187</v>
      </c>
      <c r="F695" s="65" t="s">
        <v>1062</v>
      </c>
      <c r="G695" s="65" t="s">
        <v>168</v>
      </c>
      <c r="H695" s="65" t="s">
        <v>168</v>
      </c>
      <c r="I695" s="65"/>
      <c r="J695" s="65" t="s">
        <v>9</v>
      </c>
      <c r="K695" s="97" t="s">
        <v>9</v>
      </c>
      <c r="L695" s="128">
        <v>0.0</v>
      </c>
      <c r="M695" s="129">
        <f t="shared" si="406"/>
        <v>0</v>
      </c>
      <c r="N695" s="128">
        <v>0.0</v>
      </c>
      <c r="O695" s="129">
        <f t="shared" ref="O695:O697" si="454">IF(COUNT(L695:N695)=0,"",(L695+4*M695+N695)/6)</f>
        <v>0</v>
      </c>
      <c r="P695" s="159"/>
      <c r="Q695" s="208">
        <f t="shared" ref="Q695:Q697" si="455">IF(O695="","",IF(P695="",O695,O695*(1+P695)))</f>
        <v>0</v>
      </c>
      <c r="R695" s="132"/>
      <c r="S695" s="132"/>
      <c r="T695" s="65" t="s">
        <v>31</v>
      </c>
      <c r="U695" s="26"/>
      <c r="V695" s="26"/>
      <c r="W695" s="26"/>
      <c r="X695" s="26"/>
      <c r="Y695" s="26"/>
      <c r="Z695" s="26"/>
      <c r="AA695" s="26"/>
      <c r="AB695" s="26"/>
      <c r="AC695" s="26"/>
    </row>
    <row r="696" ht="33.75" customHeight="1">
      <c r="A696" s="65" t="s">
        <v>1189</v>
      </c>
      <c r="B696" s="215" t="s">
        <v>26</v>
      </c>
      <c r="C696" s="215" t="s">
        <v>1183</v>
      </c>
      <c r="D696" s="215" t="s">
        <v>1186</v>
      </c>
      <c r="E696" s="215" t="s">
        <v>1187</v>
      </c>
      <c r="F696" s="65" t="s">
        <v>1062</v>
      </c>
      <c r="G696" s="65" t="s">
        <v>168</v>
      </c>
      <c r="H696" s="65" t="s">
        <v>168</v>
      </c>
      <c r="I696" s="65"/>
      <c r="J696" s="65" t="s">
        <v>9</v>
      </c>
      <c r="K696" s="97" t="s">
        <v>9</v>
      </c>
      <c r="L696" s="128">
        <v>0.25</v>
      </c>
      <c r="M696" s="129">
        <f t="shared" si="406"/>
        <v>0.625</v>
      </c>
      <c r="N696" s="128">
        <v>1.0</v>
      </c>
      <c r="O696" s="129">
        <f t="shared" si="454"/>
        <v>0.625</v>
      </c>
      <c r="P696" s="159"/>
      <c r="Q696" s="208">
        <f t="shared" si="455"/>
        <v>0.625</v>
      </c>
      <c r="R696" s="132"/>
      <c r="S696" s="132"/>
      <c r="T696" s="65" t="s">
        <v>32</v>
      </c>
      <c r="U696" s="26"/>
      <c r="V696" s="26"/>
      <c r="W696" s="26"/>
      <c r="X696" s="26"/>
      <c r="Y696" s="26"/>
      <c r="Z696" s="26"/>
      <c r="AA696" s="26"/>
      <c r="AB696" s="26"/>
      <c r="AC696" s="26"/>
    </row>
    <row r="697" ht="33.75" customHeight="1">
      <c r="A697" s="65" t="s">
        <v>1190</v>
      </c>
      <c r="B697" s="215" t="s">
        <v>26</v>
      </c>
      <c r="C697" s="215" t="s">
        <v>1183</v>
      </c>
      <c r="D697" s="215" t="s">
        <v>1186</v>
      </c>
      <c r="E697" s="215" t="s">
        <v>1187</v>
      </c>
      <c r="F697" s="65" t="s">
        <v>1062</v>
      </c>
      <c r="G697" s="65" t="s">
        <v>168</v>
      </c>
      <c r="H697" s="65" t="s">
        <v>168</v>
      </c>
      <c r="I697" s="65"/>
      <c r="J697" s="65" t="s">
        <v>9</v>
      </c>
      <c r="K697" s="97" t="s">
        <v>9</v>
      </c>
      <c r="L697" s="128">
        <v>0.25</v>
      </c>
      <c r="M697" s="129">
        <f t="shared" si="406"/>
        <v>0.375</v>
      </c>
      <c r="N697" s="128">
        <v>0.5</v>
      </c>
      <c r="O697" s="129">
        <f t="shared" si="454"/>
        <v>0.375</v>
      </c>
      <c r="P697" s="159"/>
      <c r="Q697" s="208">
        <f t="shared" si="455"/>
        <v>0.375</v>
      </c>
      <c r="R697" s="132"/>
      <c r="S697" s="132"/>
      <c r="T697" s="65" t="s">
        <v>70</v>
      </c>
      <c r="U697" s="26"/>
      <c r="V697" s="26"/>
      <c r="W697" s="26"/>
      <c r="X697" s="26"/>
      <c r="Y697" s="26"/>
      <c r="Z697" s="26"/>
      <c r="AA697" s="26"/>
      <c r="AB697" s="26"/>
      <c r="AC697" s="26"/>
    </row>
    <row r="698" ht="33.75" customHeight="1">
      <c r="A698" s="98" t="s">
        <v>1191</v>
      </c>
      <c r="B698" s="99" t="s">
        <v>26</v>
      </c>
      <c r="C698" s="99" t="s">
        <v>1183</v>
      </c>
      <c r="D698" s="99" t="s">
        <v>1192</v>
      </c>
      <c r="E698" s="99" t="s">
        <v>1193</v>
      </c>
      <c r="F698" s="98" t="s">
        <v>1194</v>
      </c>
      <c r="G698" s="98" t="s">
        <v>200</v>
      </c>
      <c r="H698" s="98" t="s">
        <v>200</v>
      </c>
      <c r="I698" s="98"/>
      <c r="J698" s="98" t="s">
        <v>12</v>
      </c>
      <c r="K698" s="100" t="s">
        <v>12</v>
      </c>
      <c r="L698" s="101">
        <f>IF(COUNT(L699:N701)=0,"",SUM(L699:L701))</f>
        <v>0</v>
      </c>
      <c r="M698" s="102">
        <f t="shared" si="406"/>
        <v>0</v>
      </c>
      <c r="N698" s="101">
        <f>IF(COUNT(L699:N701)=0,"",SUM(N699:N701))</f>
        <v>0</v>
      </c>
      <c r="O698" s="101">
        <f>IF(COUNT(O699:O701)=0,"",SUM(O699:O701))</f>
        <v>0</v>
      </c>
      <c r="P698" s="103"/>
      <c r="Q698" s="101">
        <f>IF(COUNT(Q699:Q701)=0,"",SUM(Q699:Q701))</f>
        <v>0</v>
      </c>
      <c r="R698" s="104"/>
      <c r="S698" s="104"/>
      <c r="T698" s="98" t="s">
        <v>65</v>
      </c>
      <c r="U698" s="179"/>
      <c r="V698" s="179"/>
      <c r="W698" s="179"/>
      <c r="X698" s="105"/>
      <c r="Y698" s="105"/>
      <c r="Z698" s="105"/>
      <c r="AA698" s="105"/>
      <c r="AB698" s="179"/>
      <c r="AC698" s="105"/>
    </row>
    <row r="699" ht="33.75" customHeight="1">
      <c r="A699" s="106" t="s">
        <v>1195</v>
      </c>
      <c r="B699" s="107" t="s">
        <v>26</v>
      </c>
      <c r="C699" s="107" t="s">
        <v>1183</v>
      </c>
      <c r="D699" s="107" t="s">
        <v>1192</v>
      </c>
      <c r="E699" s="107" t="s">
        <v>1193</v>
      </c>
      <c r="F699" s="106" t="s">
        <v>1194</v>
      </c>
      <c r="G699" s="106" t="s">
        <v>200</v>
      </c>
      <c r="H699" s="106" t="s">
        <v>200</v>
      </c>
      <c r="I699" s="106"/>
      <c r="J699" s="106" t="s">
        <v>12</v>
      </c>
      <c r="K699" s="108" t="s">
        <v>12</v>
      </c>
      <c r="L699" s="109"/>
      <c r="M699" s="109">
        <f t="shared" si="406"/>
        <v>0</v>
      </c>
      <c r="N699" s="109"/>
      <c r="O699" s="109">
        <f t="shared" ref="O699:O701" si="456">IF(COUNT(L699:N699)=0,"",(L699+4*M699+N699)/6)</f>
        <v>0</v>
      </c>
      <c r="P699" s="110"/>
      <c r="Q699" s="109">
        <f t="shared" ref="Q699:Q701" si="457">IF(O699="","",IF(P699="",O699,O699*(1+P699)))</f>
        <v>0</v>
      </c>
      <c r="R699" s="111"/>
      <c r="S699" s="111"/>
      <c r="T699" s="106" t="s">
        <v>31</v>
      </c>
      <c r="U699" s="26"/>
      <c r="V699" s="26"/>
      <c r="W699" s="26"/>
      <c r="X699" s="26"/>
      <c r="Y699" s="26"/>
      <c r="Z699" s="26"/>
      <c r="AA699" s="26"/>
      <c r="AB699" s="26"/>
      <c r="AC699" s="26"/>
    </row>
    <row r="700" ht="33.75" customHeight="1">
      <c r="A700" s="106" t="s">
        <v>1196</v>
      </c>
      <c r="B700" s="107" t="s">
        <v>26</v>
      </c>
      <c r="C700" s="107" t="s">
        <v>1183</v>
      </c>
      <c r="D700" s="107" t="s">
        <v>1192</v>
      </c>
      <c r="E700" s="107" t="s">
        <v>1193</v>
      </c>
      <c r="F700" s="106" t="s">
        <v>1194</v>
      </c>
      <c r="G700" s="106" t="s">
        <v>200</v>
      </c>
      <c r="H700" s="106" t="s">
        <v>200</v>
      </c>
      <c r="I700" s="106"/>
      <c r="J700" s="106" t="s">
        <v>12</v>
      </c>
      <c r="K700" s="108" t="s">
        <v>12</v>
      </c>
      <c r="L700" s="109"/>
      <c r="M700" s="109">
        <f t="shared" si="406"/>
        <v>0</v>
      </c>
      <c r="N700" s="109"/>
      <c r="O700" s="109">
        <f t="shared" si="456"/>
        <v>0</v>
      </c>
      <c r="P700" s="110"/>
      <c r="Q700" s="109">
        <f t="shared" si="457"/>
        <v>0</v>
      </c>
      <c r="R700" s="111"/>
      <c r="S700" s="111"/>
      <c r="T700" s="106" t="s">
        <v>32</v>
      </c>
      <c r="U700" s="26"/>
      <c r="V700" s="26"/>
      <c r="W700" s="26"/>
      <c r="X700" s="26"/>
      <c r="Y700" s="26"/>
      <c r="Z700" s="26"/>
      <c r="AA700" s="26"/>
      <c r="AB700" s="26"/>
      <c r="AC700" s="26"/>
    </row>
    <row r="701" ht="33.75" customHeight="1">
      <c r="A701" s="106" t="s">
        <v>1197</v>
      </c>
      <c r="B701" s="107" t="s">
        <v>26</v>
      </c>
      <c r="C701" s="107" t="s">
        <v>1183</v>
      </c>
      <c r="D701" s="107" t="s">
        <v>1192</v>
      </c>
      <c r="E701" s="107" t="s">
        <v>1193</v>
      </c>
      <c r="F701" s="106" t="s">
        <v>1194</v>
      </c>
      <c r="G701" s="106" t="s">
        <v>200</v>
      </c>
      <c r="H701" s="106" t="s">
        <v>200</v>
      </c>
      <c r="I701" s="106"/>
      <c r="J701" s="106" t="s">
        <v>12</v>
      </c>
      <c r="K701" s="108" t="s">
        <v>12</v>
      </c>
      <c r="L701" s="109"/>
      <c r="M701" s="109">
        <f t="shared" si="406"/>
        <v>0</v>
      </c>
      <c r="N701" s="109"/>
      <c r="O701" s="109">
        <f t="shared" si="456"/>
        <v>0</v>
      </c>
      <c r="P701" s="110"/>
      <c r="Q701" s="109">
        <f t="shared" si="457"/>
        <v>0</v>
      </c>
      <c r="R701" s="111"/>
      <c r="S701" s="111"/>
      <c r="T701" s="106" t="s">
        <v>70</v>
      </c>
      <c r="U701" s="26"/>
      <c r="V701" s="26"/>
      <c r="W701" s="26"/>
      <c r="X701" s="26"/>
      <c r="Y701" s="26"/>
      <c r="Z701" s="26"/>
      <c r="AA701" s="26"/>
      <c r="AB701" s="26"/>
      <c r="AC701" s="26"/>
    </row>
    <row r="702" ht="33.75" customHeight="1">
      <c r="A702" s="27" t="s">
        <v>1198</v>
      </c>
      <c r="B702" s="28"/>
      <c r="C702" s="28"/>
      <c r="D702" s="28"/>
      <c r="E702" s="29"/>
      <c r="F702" s="30"/>
      <c r="G702" s="30"/>
      <c r="H702" s="30"/>
      <c r="I702" s="30"/>
      <c r="J702" s="30"/>
      <c r="K702" s="31"/>
      <c r="L702" s="32">
        <f t="shared" ref="L702:O702" si="458">SUM(X703:X779)</f>
        <v>28.5</v>
      </c>
      <c r="M702" s="32">
        <f t="shared" si="458"/>
        <v>42.5</v>
      </c>
      <c r="N702" s="32">
        <f t="shared" si="458"/>
        <v>56.5</v>
      </c>
      <c r="O702" s="32">
        <f t="shared" si="458"/>
        <v>42.5</v>
      </c>
      <c r="P702" s="33"/>
      <c r="Q702" s="32">
        <f>SUM(AC703:AC779)</f>
        <v>42.5</v>
      </c>
      <c r="R702" s="34"/>
      <c r="S702" s="34"/>
      <c r="T702" s="35" t="s">
        <v>59</v>
      </c>
      <c r="U702" s="26"/>
      <c r="V702" s="26"/>
      <c r="W702" s="26"/>
      <c r="X702" s="26"/>
      <c r="Y702" s="26"/>
      <c r="Z702" s="26"/>
      <c r="AA702" s="26"/>
      <c r="AB702" s="26"/>
      <c r="AC702" s="26"/>
    </row>
    <row r="703" ht="33.75" customHeight="1">
      <c r="A703" s="45" t="s">
        <v>1199</v>
      </c>
      <c r="B703" s="212" t="s">
        <v>27</v>
      </c>
      <c r="C703" s="212" t="s">
        <v>1200</v>
      </c>
      <c r="D703" s="212" t="s">
        <v>1200</v>
      </c>
      <c r="E703" s="212" t="s">
        <v>1201</v>
      </c>
      <c r="F703" s="45"/>
      <c r="G703" s="45"/>
      <c r="H703" s="45"/>
      <c r="I703" s="45"/>
      <c r="J703" s="45"/>
      <c r="K703" s="123"/>
      <c r="L703" s="213">
        <f>IF(COUNT(L704,L708,L712)=0,"",SUM(L704,L708,L712))</f>
        <v>4.5</v>
      </c>
      <c r="M703" s="213">
        <f t="shared" ref="M703:M779" si="461">(N703+L703)/2</f>
        <v>8.875</v>
      </c>
      <c r="N703" s="213">
        <f t="shared" ref="N703:O703" si="459">IF(COUNT(N704,N708,N712)=0,"",SUM(N704,N708,N712))</f>
        <v>13.25</v>
      </c>
      <c r="O703" s="213">
        <f t="shared" si="459"/>
        <v>8.875</v>
      </c>
      <c r="P703" s="214"/>
      <c r="Q703" s="213">
        <f>IF(COUNT(Q704,Q708,Q712)=0,"",SUM(Q704,Q708,Q712))</f>
        <v>8.875</v>
      </c>
      <c r="R703" s="126"/>
      <c r="S703" s="126"/>
      <c r="T703" s="45" t="s">
        <v>62</v>
      </c>
      <c r="U703" s="26"/>
      <c r="V703" s="26"/>
      <c r="W703" s="26"/>
      <c r="X703" s="46">
        <f t="shared" ref="X703:AA703" si="460">L703</f>
        <v>4.5</v>
      </c>
      <c r="Y703" s="46">
        <f t="shared" si="460"/>
        <v>8.875</v>
      </c>
      <c r="Z703" s="46">
        <f t="shared" si="460"/>
        <v>13.25</v>
      </c>
      <c r="AA703" s="46">
        <f t="shared" si="460"/>
        <v>8.875</v>
      </c>
      <c r="AB703" s="26"/>
      <c r="AC703" s="46">
        <f>Q703</f>
        <v>8.875</v>
      </c>
    </row>
    <row r="704" ht="33.75" customHeight="1">
      <c r="A704" s="54" t="s">
        <v>1202</v>
      </c>
      <c r="B704" s="209" t="s">
        <v>27</v>
      </c>
      <c r="C704" s="209" t="s">
        <v>1200</v>
      </c>
      <c r="D704" s="209" t="s">
        <v>1203</v>
      </c>
      <c r="E704" s="209" t="s">
        <v>1204</v>
      </c>
      <c r="F704" s="54" t="s">
        <v>1205</v>
      </c>
      <c r="G704" s="54" t="s">
        <v>200</v>
      </c>
      <c r="H704" s="54" t="s">
        <v>200</v>
      </c>
      <c r="I704" s="54"/>
      <c r="J704" s="54" t="s">
        <v>9</v>
      </c>
      <c r="K704" s="119" t="s">
        <v>9</v>
      </c>
      <c r="L704" s="202">
        <f>IF(COUNT(L705:N707)=0,"",SUM(L705:L707))</f>
        <v>2.25</v>
      </c>
      <c r="M704" s="202">
        <f t="shared" si="461"/>
        <v>4.375</v>
      </c>
      <c r="N704" s="202">
        <f>IF(COUNT(L705:N707)=0,"",SUM(N705:N707))</f>
        <v>6.5</v>
      </c>
      <c r="O704" s="202">
        <f>IF(COUNT(O705:O707)=0,"",SUM(O705:O707))</f>
        <v>4.375</v>
      </c>
      <c r="P704" s="210"/>
      <c r="Q704" s="202">
        <f>IF(COUNT(Q705:Q707)=0,"",SUM(Q705:Q707))</f>
        <v>4.375</v>
      </c>
      <c r="R704" s="163"/>
      <c r="S704" s="163"/>
      <c r="T704" s="54" t="s">
        <v>65</v>
      </c>
      <c r="U704" s="179"/>
      <c r="V704" s="179"/>
      <c r="W704" s="179"/>
      <c r="X704" s="105"/>
      <c r="Y704" s="105"/>
      <c r="Z704" s="105"/>
      <c r="AA704" s="105"/>
      <c r="AB704" s="179"/>
      <c r="AC704" s="105"/>
    </row>
    <row r="705" ht="33.75" customHeight="1">
      <c r="A705" s="65" t="s">
        <v>1206</v>
      </c>
      <c r="B705" s="215" t="s">
        <v>27</v>
      </c>
      <c r="C705" s="215" t="s">
        <v>1200</v>
      </c>
      <c r="D705" s="215" t="s">
        <v>1203</v>
      </c>
      <c r="E705" s="215" t="s">
        <v>1204</v>
      </c>
      <c r="F705" s="65" t="s">
        <v>1205</v>
      </c>
      <c r="G705" s="65" t="s">
        <v>200</v>
      </c>
      <c r="H705" s="65" t="s">
        <v>200</v>
      </c>
      <c r="I705" s="65"/>
      <c r="J705" s="65" t="s">
        <v>9</v>
      </c>
      <c r="K705" s="97" t="s">
        <v>9</v>
      </c>
      <c r="L705" s="128">
        <v>0.5</v>
      </c>
      <c r="M705" s="129">
        <f t="shared" si="461"/>
        <v>1</v>
      </c>
      <c r="N705" s="128">
        <v>1.5</v>
      </c>
      <c r="O705" s="129">
        <f t="shared" ref="O705:O707" si="462">IF(COUNT(L705:N705)=0,"",(L705+4*M705+N705)/6)</f>
        <v>1</v>
      </c>
      <c r="P705" s="159"/>
      <c r="Q705" s="208">
        <f t="shared" ref="Q705:Q707" si="463">IF(O705="","",IF(P705="",O705,O705*(1+P705)))</f>
        <v>1</v>
      </c>
      <c r="R705" s="132"/>
      <c r="S705" s="132"/>
      <c r="T705" s="65" t="s">
        <v>31</v>
      </c>
      <c r="U705" s="26"/>
      <c r="V705" s="26"/>
      <c r="W705" s="26"/>
      <c r="X705" s="26"/>
      <c r="Y705" s="26"/>
      <c r="Z705" s="26"/>
      <c r="AA705" s="26"/>
      <c r="AB705" s="26"/>
      <c r="AC705" s="26"/>
    </row>
    <row r="706" ht="33.75" customHeight="1">
      <c r="A706" s="65" t="s">
        <v>1207</v>
      </c>
      <c r="B706" s="215" t="s">
        <v>27</v>
      </c>
      <c r="C706" s="215" t="s">
        <v>1200</v>
      </c>
      <c r="D706" s="215" t="s">
        <v>1203</v>
      </c>
      <c r="E706" s="215" t="s">
        <v>1204</v>
      </c>
      <c r="F706" s="65" t="s">
        <v>1205</v>
      </c>
      <c r="G706" s="65" t="s">
        <v>200</v>
      </c>
      <c r="H706" s="65" t="s">
        <v>200</v>
      </c>
      <c r="I706" s="65"/>
      <c r="J706" s="65" t="s">
        <v>9</v>
      </c>
      <c r="K706" s="97" t="s">
        <v>9</v>
      </c>
      <c r="L706" s="128">
        <v>1.5</v>
      </c>
      <c r="M706" s="129">
        <f t="shared" si="461"/>
        <v>2.75</v>
      </c>
      <c r="N706" s="128">
        <v>4.0</v>
      </c>
      <c r="O706" s="129">
        <f t="shared" si="462"/>
        <v>2.75</v>
      </c>
      <c r="P706" s="159"/>
      <c r="Q706" s="208">
        <f t="shared" si="463"/>
        <v>2.75</v>
      </c>
      <c r="R706" s="132"/>
      <c r="S706" s="132"/>
      <c r="T706" s="65" t="s">
        <v>32</v>
      </c>
      <c r="U706" s="26"/>
      <c r="V706" s="26"/>
      <c r="W706" s="26"/>
      <c r="X706" s="26"/>
      <c r="Y706" s="26"/>
      <c r="Z706" s="26"/>
      <c r="AA706" s="26"/>
      <c r="AB706" s="26"/>
      <c r="AC706" s="26"/>
    </row>
    <row r="707" ht="33.75" customHeight="1">
      <c r="A707" s="65" t="s">
        <v>1208</v>
      </c>
      <c r="B707" s="215" t="s">
        <v>27</v>
      </c>
      <c r="C707" s="215" t="s">
        <v>1200</v>
      </c>
      <c r="D707" s="215" t="s">
        <v>1203</v>
      </c>
      <c r="E707" s="215" t="s">
        <v>1204</v>
      </c>
      <c r="F707" s="65" t="s">
        <v>1205</v>
      </c>
      <c r="G707" s="65" t="s">
        <v>200</v>
      </c>
      <c r="H707" s="65" t="s">
        <v>200</v>
      </c>
      <c r="I707" s="65"/>
      <c r="J707" s="65" t="s">
        <v>9</v>
      </c>
      <c r="K707" s="97" t="s">
        <v>9</v>
      </c>
      <c r="L707" s="128">
        <v>0.25</v>
      </c>
      <c r="M707" s="129">
        <f t="shared" si="461"/>
        <v>0.625</v>
      </c>
      <c r="N707" s="128">
        <v>1.0</v>
      </c>
      <c r="O707" s="129">
        <f t="shared" si="462"/>
        <v>0.625</v>
      </c>
      <c r="P707" s="159"/>
      <c r="Q707" s="208">
        <f t="shared" si="463"/>
        <v>0.625</v>
      </c>
      <c r="R707" s="132"/>
      <c r="S707" s="132"/>
      <c r="T707" s="65" t="s">
        <v>70</v>
      </c>
      <c r="U707" s="26"/>
      <c r="V707" s="26"/>
      <c r="W707" s="26"/>
      <c r="X707" s="26"/>
      <c r="Y707" s="26"/>
      <c r="Z707" s="26"/>
      <c r="AA707" s="26"/>
      <c r="AB707" s="26"/>
      <c r="AC707" s="26"/>
    </row>
    <row r="708" ht="33.75" customHeight="1">
      <c r="A708" s="54" t="s">
        <v>1209</v>
      </c>
      <c r="B708" s="209" t="s">
        <v>27</v>
      </c>
      <c r="C708" s="209" t="s">
        <v>1200</v>
      </c>
      <c r="D708" s="209" t="s">
        <v>1210</v>
      </c>
      <c r="E708" s="209" t="s">
        <v>1211</v>
      </c>
      <c r="F708" s="54" t="s">
        <v>1202</v>
      </c>
      <c r="G708" s="54" t="s">
        <v>168</v>
      </c>
      <c r="H708" s="54" t="s">
        <v>168</v>
      </c>
      <c r="I708" s="54"/>
      <c r="J708" s="54" t="s">
        <v>9</v>
      </c>
      <c r="K708" s="119" t="s">
        <v>9</v>
      </c>
      <c r="L708" s="202">
        <f>IF(COUNT(L709:N711)=0,"",SUM(L709:L711))</f>
        <v>1</v>
      </c>
      <c r="M708" s="202">
        <f t="shared" si="461"/>
        <v>2</v>
      </c>
      <c r="N708" s="202">
        <f>IF(COUNT(L709:N711)=0,"",SUM(N709:N711))</f>
        <v>3</v>
      </c>
      <c r="O708" s="202">
        <f>IF(COUNT(O709:O711)=0,"",SUM(O709:O711))</f>
        <v>2</v>
      </c>
      <c r="P708" s="210"/>
      <c r="Q708" s="202">
        <f>IF(COUNT(Q709:Q711)=0,"",SUM(Q709:Q711))</f>
        <v>2</v>
      </c>
      <c r="R708" s="163"/>
      <c r="S708" s="163"/>
      <c r="T708" s="54" t="s">
        <v>65</v>
      </c>
      <c r="U708" s="179"/>
      <c r="V708" s="179"/>
      <c r="W708" s="179"/>
      <c r="X708" s="105"/>
      <c r="Y708" s="105"/>
      <c r="Z708" s="105"/>
      <c r="AA708" s="105"/>
      <c r="AB708" s="179"/>
      <c r="AC708" s="105"/>
    </row>
    <row r="709" ht="33.75" customHeight="1">
      <c r="A709" s="65" t="s">
        <v>1212</v>
      </c>
      <c r="B709" s="215" t="s">
        <v>27</v>
      </c>
      <c r="C709" s="215" t="s">
        <v>1200</v>
      </c>
      <c r="D709" s="215" t="s">
        <v>1210</v>
      </c>
      <c r="E709" s="215" t="s">
        <v>1211</v>
      </c>
      <c r="F709" s="65" t="s">
        <v>1202</v>
      </c>
      <c r="G709" s="65" t="s">
        <v>168</v>
      </c>
      <c r="H709" s="65" t="s">
        <v>168</v>
      </c>
      <c r="I709" s="65"/>
      <c r="J709" s="65" t="s">
        <v>9</v>
      </c>
      <c r="K709" s="97" t="s">
        <v>9</v>
      </c>
      <c r="L709" s="128">
        <v>0.25</v>
      </c>
      <c r="M709" s="128">
        <f t="shared" si="461"/>
        <v>0.625</v>
      </c>
      <c r="N709" s="128">
        <v>1.0</v>
      </c>
      <c r="O709" s="129">
        <f t="shared" ref="O709:O711" si="464">IF(COUNT(L709:N709)=0,"",(L709+4*M709+N709)/6)</f>
        <v>0.625</v>
      </c>
      <c r="P709" s="159"/>
      <c r="Q709" s="208">
        <f t="shared" ref="Q709:Q711" si="465">IF(O709="","",IF(P709="",O709,O709*(1+P709)))</f>
        <v>0.625</v>
      </c>
      <c r="R709" s="132"/>
      <c r="S709" s="132"/>
      <c r="T709" s="65" t="s">
        <v>31</v>
      </c>
      <c r="U709" s="26"/>
      <c r="V709" s="26"/>
      <c r="W709" s="26"/>
      <c r="X709" s="26"/>
      <c r="Y709" s="26"/>
      <c r="Z709" s="26"/>
      <c r="AA709" s="26"/>
      <c r="AB709" s="26"/>
      <c r="AC709" s="26"/>
    </row>
    <row r="710" ht="33.75" customHeight="1">
      <c r="A710" s="65" t="s">
        <v>1213</v>
      </c>
      <c r="B710" s="215" t="s">
        <v>27</v>
      </c>
      <c r="C710" s="215" t="s">
        <v>1200</v>
      </c>
      <c r="D710" s="215" t="s">
        <v>1210</v>
      </c>
      <c r="E710" s="215" t="s">
        <v>1211</v>
      </c>
      <c r="F710" s="65" t="s">
        <v>1202</v>
      </c>
      <c r="G710" s="65" t="s">
        <v>168</v>
      </c>
      <c r="H710" s="65" t="s">
        <v>168</v>
      </c>
      <c r="I710" s="65"/>
      <c r="J710" s="65" t="s">
        <v>9</v>
      </c>
      <c r="K710" s="97" t="s">
        <v>9</v>
      </c>
      <c r="L710" s="128">
        <v>0.5</v>
      </c>
      <c r="M710" s="128">
        <f t="shared" si="461"/>
        <v>1</v>
      </c>
      <c r="N710" s="128">
        <v>1.5</v>
      </c>
      <c r="O710" s="129">
        <f t="shared" si="464"/>
        <v>1</v>
      </c>
      <c r="P710" s="159"/>
      <c r="Q710" s="208">
        <f t="shared" si="465"/>
        <v>1</v>
      </c>
      <c r="R710" s="132"/>
      <c r="S710" s="132"/>
      <c r="T710" s="65" t="s">
        <v>32</v>
      </c>
      <c r="U710" s="26"/>
      <c r="V710" s="26"/>
      <c r="W710" s="26"/>
      <c r="X710" s="26"/>
      <c r="Y710" s="26"/>
      <c r="Z710" s="26"/>
      <c r="AA710" s="26"/>
      <c r="AB710" s="26"/>
      <c r="AC710" s="26"/>
    </row>
    <row r="711" ht="33.75" customHeight="1">
      <c r="A711" s="65" t="s">
        <v>1214</v>
      </c>
      <c r="B711" s="215" t="s">
        <v>27</v>
      </c>
      <c r="C711" s="215" t="s">
        <v>1200</v>
      </c>
      <c r="D711" s="215" t="s">
        <v>1210</v>
      </c>
      <c r="E711" s="215" t="s">
        <v>1211</v>
      </c>
      <c r="F711" s="65" t="s">
        <v>1202</v>
      </c>
      <c r="G711" s="65" t="s">
        <v>168</v>
      </c>
      <c r="H711" s="65" t="s">
        <v>168</v>
      </c>
      <c r="I711" s="65"/>
      <c r="J711" s="65" t="s">
        <v>9</v>
      </c>
      <c r="K711" s="97" t="s">
        <v>9</v>
      </c>
      <c r="L711" s="128">
        <v>0.25</v>
      </c>
      <c r="M711" s="128">
        <f t="shared" si="461"/>
        <v>0.375</v>
      </c>
      <c r="N711" s="128">
        <v>0.5</v>
      </c>
      <c r="O711" s="129">
        <f t="shared" si="464"/>
        <v>0.375</v>
      </c>
      <c r="P711" s="159"/>
      <c r="Q711" s="208">
        <f t="shared" si="465"/>
        <v>0.375</v>
      </c>
      <c r="R711" s="132"/>
      <c r="S711" s="132"/>
      <c r="T711" s="65" t="s">
        <v>70</v>
      </c>
      <c r="U711" s="26"/>
      <c r="V711" s="26"/>
      <c r="W711" s="26"/>
      <c r="X711" s="26"/>
      <c r="Y711" s="26"/>
      <c r="Z711" s="26"/>
      <c r="AA711" s="26"/>
      <c r="AB711" s="26"/>
      <c r="AC711" s="26"/>
    </row>
    <row r="712" ht="33.75" customHeight="1">
      <c r="A712" s="54" t="s">
        <v>1215</v>
      </c>
      <c r="B712" s="209" t="s">
        <v>27</v>
      </c>
      <c r="C712" s="209" t="s">
        <v>1200</v>
      </c>
      <c r="D712" s="209" t="s">
        <v>1216</v>
      </c>
      <c r="E712" s="209" t="s">
        <v>1217</v>
      </c>
      <c r="F712" s="54" t="s">
        <v>1218</v>
      </c>
      <c r="G712" s="54" t="s">
        <v>168</v>
      </c>
      <c r="H712" s="54" t="s">
        <v>168</v>
      </c>
      <c r="I712" s="54"/>
      <c r="J712" s="54" t="s">
        <v>9</v>
      </c>
      <c r="K712" s="119" t="s">
        <v>9</v>
      </c>
      <c r="L712" s="202">
        <f>IF(COUNT(L713:N715)=0,"",SUM(L713:L715))</f>
        <v>1.25</v>
      </c>
      <c r="M712" s="202">
        <f t="shared" si="461"/>
        <v>2.5</v>
      </c>
      <c r="N712" s="202">
        <f>IF(COUNT(L713:N715)=0,"",SUM(N713:N715))</f>
        <v>3.75</v>
      </c>
      <c r="O712" s="202">
        <f>IF(COUNT(O713:O715)=0,"",SUM(O713:O715))</f>
        <v>2.5</v>
      </c>
      <c r="P712" s="210"/>
      <c r="Q712" s="202">
        <f>IF(COUNT(Q713:Q715)=0,"",SUM(Q713:Q715))</f>
        <v>2.5</v>
      </c>
      <c r="R712" s="163"/>
      <c r="S712" s="163"/>
      <c r="T712" s="54" t="s">
        <v>65</v>
      </c>
      <c r="U712" s="179"/>
      <c r="V712" s="179"/>
      <c r="W712" s="179"/>
      <c r="X712" s="105"/>
      <c r="Y712" s="105"/>
      <c r="Z712" s="105"/>
      <c r="AA712" s="105"/>
      <c r="AB712" s="179"/>
      <c r="AC712" s="105"/>
    </row>
    <row r="713" ht="33.75" customHeight="1">
      <c r="A713" s="65" t="s">
        <v>1219</v>
      </c>
      <c r="B713" s="215" t="s">
        <v>27</v>
      </c>
      <c r="C713" s="215" t="s">
        <v>1200</v>
      </c>
      <c r="D713" s="215" t="s">
        <v>1216</v>
      </c>
      <c r="E713" s="215" t="s">
        <v>1217</v>
      </c>
      <c r="F713" s="65" t="s">
        <v>1218</v>
      </c>
      <c r="G713" s="65" t="s">
        <v>168</v>
      </c>
      <c r="H713" s="65" t="s">
        <v>168</v>
      </c>
      <c r="I713" s="65"/>
      <c r="J713" s="65" t="s">
        <v>9</v>
      </c>
      <c r="K713" s="97" t="s">
        <v>9</v>
      </c>
      <c r="L713" s="128">
        <v>0.5</v>
      </c>
      <c r="M713" s="128">
        <f t="shared" si="461"/>
        <v>1</v>
      </c>
      <c r="N713" s="128">
        <v>1.5</v>
      </c>
      <c r="O713" s="129">
        <f t="shared" ref="O713:O715" si="466">IF(COUNT(L713:N713)=0,"",(L713+4*M713+N713)/6)</f>
        <v>1</v>
      </c>
      <c r="P713" s="159"/>
      <c r="Q713" s="208">
        <f t="shared" ref="Q713:Q715" si="467">IF(O713="","",IF(P713="",O713,O713*(1+P713)))</f>
        <v>1</v>
      </c>
      <c r="R713" s="132"/>
      <c r="S713" s="132"/>
      <c r="T713" s="65" t="s">
        <v>31</v>
      </c>
      <c r="U713" s="26"/>
      <c r="V713" s="26"/>
      <c r="W713" s="26"/>
      <c r="X713" s="26"/>
      <c r="Y713" s="26"/>
      <c r="Z713" s="26"/>
      <c r="AA713" s="26"/>
      <c r="AB713" s="26"/>
      <c r="AC713" s="26"/>
    </row>
    <row r="714" ht="33.75" customHeight="1">
      <c r="A714" s="65" t="s">
        <v>1220</v>
      </c>
      <c r="B714" s="215" t="s">
        <v>27</v>
      </c>
      <c r="C714" s="215" t="s">
        <v>1200</v>
      </c>
      <c r="D714" s="215" t="s">
        <v>1216</v>
      </c>
      <c r="E714" s="215" t="s">
        <v>1217</v>
      </c>
      <c r="F714" s="65" t="s">
        <v>1218</v>
      </c>
      <c r="G714" s="65" t="s">
        <v>168</v>
      </c>
      <c r="H714" s="65" t="s">
        <v>168</v>
      </c>
      <c r="I714" s="65"/>
      <c r="J714" s="65" t="s">
        <v>9</v>
      </c>
      <c r="K714" s="97" t="s">
        <v>9</v>
      </c>
      <c r="L714" s="128">
        <v>0.5</v>
      </c>
      <c r="M714" s="128">
        <f t="shared" si="461"/>
        <v>1</v>
      </c>
      <c r="N714" s="128">
        <v>1.5</v>
      </c>
      <c r="O714" s="129">
        <f t="shared" si="466"/>
        <v>1</v>
      </c>
      <c r="P714" s="159"/>
      <c r="Q714" s="208">
        <f t="shared" si="467"/>
        <v>1</v>
      </c>
      <c r="R714" s="132"/>
      <c r="S714" s="132"/>
      <c r="T714" s="65" t="s">
        <v>32</v>
      </c>
      <c r="U714" s="26"/>
      <c r="V714" s="26"/>
      <c r="W714" s="26"/>
      <c r="X714" s="26"/>
      <c r="Y714" s="26"/>
      <c r="Z714" s="26"/>
      <c r="AA714" s="26"/>
      <c r="AB714" s="26"/>
      <c r="AC714" s="26"/>
    </row>
    <row r="715" ht="33.75" customHeight="1">
      <c r="A715" s="65" t="s">
        <v>1221</v>
      </c>
      <c r="B715" s="215" t="s">
        <v>27</v>
      </c>
      <c r="C715" s="215" t="s">
        <v>1200</v>
      </c>
      <c r="D715" s="215" t="s">
        <v>1216</v>
      </c>
      <c r="E715" s="215" t="s">
        <v>1217</v>
      </c>
      <c r="F715" s="65" t="s">
        <v>1218</v>
      </c>
      <c r="G715" s="65" t="s">
        <v>168</v>
      </c>
      <c r="H715" s="65" t="s">
        <v>168</v>
      </c>
      <c r="I715" s="65"/>
      <c r="J715" s="65" t="s">
        <v>9</v>
      </c>
      <c r="K715" s="97" t="s">
        <v>9</v>
      </c>
      <c r="L715" s="128">
        <v>0.25</v>
      </c>
      <c r="M715" s="128">
        <f t="shared" si="461"/>
        <v>0.5</v>
      </c>
      <c r="N715" s="128">
        <v>0.75</v>
      </c>
      <c r="O715" s="129">
        <f t="shared" si="466"/>
        <v>0.5</v>
      </c>
      <c r="P715" s="159"/>
      <c r="Q715" s="208">
        <f t="shared" si="467"/>
        <v>0.5</v>
      </c>
      <c r="R715" s="132"/>
      <c r="S715" s="132"/>
      <c r="T715" s="65" t="s">
        <v>70</v>
      </c>
      <c r="U715" s="26"/>
      <c r="V715" s="26"/>
      <c r="W715" s="26"/>
      <c r="X715" s="26"/>
      <c r="Y715" s="26"/>
      <c r="Z715" s="26"/>
      <c r="AA715" s="26"/>
      <c r="AB715" s="26"/>
      <c r="AC715" s="26"/>
    </row>
    <row r="716" ht="33.75" customHeight="1">
      <c r="A716" s="45" t="s">
        <v>1222</v>
      </c>
      <c r="B716" s="212" t="s">
        <v>27</v>
      </c>
      <c r="C716" s="212" t="s">
        <v>1223</v>
      </c>
      <c r="D716" s="212" t="s">
        <v>1223</v>
      </c>
      <c r="E716" s="212" t="s">
        <v>1224</v>
      </c>
      <c r="F716" s="45"/>
      <c r="G716" s="45"/>
      <c r="H716" s="45"/>
      <c r="I716" s="45"/>
      <c r="J716" s="45"/>
      <c r="K716" s="123"/>
      <c r="L716" s="213">
        <f>IF(COUNT(L717,L721,L725,L729)=0,"",SUM(L717,L721,L725,L729))</f>
        <v>8.25</v>
      </c>
      <c r="M716" s="213">
        <f t="shared" si="461"/>
        <v>14.25</v>
      </c>
      <c r="N716" s="213">
        <f t="shared" ref="N716:O716" si="468">IF(COUNT(N717,N721,N725,N729)=0,"",SUM(N717,N721,N725,N729))</f>
        <v>20.25</v>
      </c>
      <c r="O716" s="213">
        <f t="shared" si="468"/>
        <v>14.25</v>
      </c>
      <c r="P716" s="214"/>
      <c r="Q716" s="213">
        <f>IF(COUNT(Q717,Q721,Q725,Q729)=0,"",SUM(Q717,Q721,Q725,Q729))</f>
        <v>14.25</v>
      </c>
      <c r="R716" s="126"/>
      <c r="S716" s="126"/>
      <c r="T716" s="45" t="s">
        <v>62</v>
      </c>
      <c r="U716" s="26"/>
      <c r="V716" s="26"/>
      <c r="W716" s="26"/>
      <c r="X716" s="46">
        <f t="shared" ref="X716:AA716" si="469">L716</f>
        <v>8.25</v>
      </c>
      <c r="Y716" s="46">
        <f t="shared" si="469"/>
        <v>14.25</v>
      </c>
      <c r="Z716" s="46">
        <f t="shared" si="469"/>
        <v>20.25</v>
      </c>
      <c r="AA716" s="46">
        <f t="shared" si="469"/>
        <v>14.25</v>
      </c>
      <c r="AB716" s="26"/>
      <c r="AC716" s="46">
        <f>Q716</f>
        <v>14.25</v>
      </c>
    </row>
    <row r="717" ht="33.75" customHeight="1">
      <c r="A717" s="54" t="s">
        <v>1225</v>
      </c>
      <c r="B717" s="209" t="s">
        <v>27</v>
      </c>
      <c r="C717" s="209" t="s">
        <v>1223</v>
      </c>
      <c r="D717" s="209" t="s">
        <v>1226</v>
      </c>
      <c r="E717" s="209" t="s">
        <v>1227</v>
      </c>
      <c r="F717" s="54" t="s">
        <v>1228</v>
      </c>
      <c r="G717" s="54" t="s">
        <v>168</v>
      </c>
      <c r="H717" s="54" t="s">
        <v>168</v>
      </c>
      <c r="I717" s="54"/>
      <c r="J717" s="54" t="s">
        <v>9</v>
      </c>
      <c r="K717" s="119" t="s">
        <v>9</v>
      </c>
      <c r="L717" s="202">
        <f>IF(COUNT(L718:N720)=0,"",SUM(L718:L720))</f>
        <v>3</v>
      </c>
      <c r="M717" s="202">
        <f t="shared" si="461"/>
        <v>3.875</v>
      </c>
      <c r="N717" s="202">
        <f>IF(COUNT(L718:N720)=0,"",SUM(N718:N720))</f>
        <v>4.75</v>
      </c>
      <c r="O717" s="202">
        <f>IF(COUNT(O718:O720)=0,"",SUM(O718:O720))</f>
        <v>3.875</v>
      </c>
      <c r="P717" s="210"/>
      <c r="Q717" s="202">
        <f>IF(COUNT(Q718:Q720)=0,"",SUM(Q718:Q720))</f>
        <v>3.875</v>
      </c>
      <c r="R717" s="163"/>
      <c r="S717" s="163"/>
      <c r="T717" s="54" t="s">
        <v>65</v>
      </c>
      <c r="U717" s="179"/>
      <c r="V717" s="179"/>
      <c r="W717" s="179"/>
      <c r="X717" s="105"/>
      <c r="Y717" s="105"/>
      <c r="Z717" s="105"/>
      <c r="AA717" s="105"/>
      <c r="AB717" s="179"/>
      <c r="AC717" s="105"/>
    </row>
    <row r="718" ht="33.75" customHeight="1">
      <c r="A718" s="65" t="s">
        <v>1229</v>
      </c>
      <c r="B718" s="215" t="s">
        <v>27</v>
      </c>
      <c r="C718" s="215" t="s">
        <v>1223</v>
      </c>
      <c r="D718" s="215" t="s">
        <v>1226</v>
      </c>
      <c r="E718" s="215" t="s">
        <v>1227</v>
      </c>
      <c r="F718" s="65" t="s">
        <v>1228</v>
      </c>
      <c r="G718" s="65" t="s">
        <v>168</v>
      </c>
      <c r="H718" s="65" t="s">
        <v>168</v>
      </c>
      <c r="I718" s="65"/>
      <c r="J718" s="65" t="s">
        <v>9</v>
      </c>
      <c r="K718" s="97" t="s">
        <v>9</v>
      </c>
      <c r="L718" s="129">
        <v>1.0</v>
      </c>
      <c r="M718" s="129">
        <f t="shared" si="461"/>
        <v>1.25</v>
      </c>
      <c r="N718" s="129">
        <v>1.5</v>
      </c>
      <c r="O718" s="129">
        <f t="shared" ref="O718:O720" si="470">IF(COUNT(L718:N718)=0,"",(L718+4*M718+N718)/6)</f>
        <v>1.25</v>
      </c>
      <c r="P718" s="159"/>
      <c r="Q718" s="208">
        <f t="shared" ref="Q718:Q720" si="471">IF(O718="","",IF(P718="",O718,O718*(1+P718)))</f>
        <v>1.25</v>
      </c>
      <c r="R718" s="132"/>
      <c r="S718" s="132"/>
      <c r="T718" s="65" t="s">
        <v>31</v>
      </c>
      <c r="U718" s="26"/>
      <c r="V718" s="26"/>
      <c r="W718" s="26"/>
      <c r="X718" s="26"/>
      <c r="Y718" s="26"/>
      <c r="Z718" s="26"/>
      <c r="AA718" s="26"/>
      <c r="AB718" s="26"/>
      <c r="AC718" s="26"/>
    </row>
    <row r="719" ht="33.75" customHeight="1">
      <c r="A719" s="65" t="s">
        <v>1230</v>
      </c>
      <c r="B719" s="215" t="s">
        <v>27</v>
      </c>
      <c r="C719" s="215" t="s">
        <v>1223</v>
      </c>
      <c r="D719" s="215" t="s">
        <v>1226</v>
      </c>
      <c r="E719" s="215" t="s">
        <v>1227</v>
      </c>
      <c r="F719" s="65" t="s">
        <v>1228</v>
      </c>
      <c r="G719" s="65" t="s">
        <v>168</v>
      </c>
      <c r="H719" s="65" t="s">
        <v>168</v>
      </c>
      <c r="I719" s="65"/>
      <c r="J719" s="65" t="s">
        <v>9</v>
      </c>
      <c r="K719" s="97" t="s">
        <v>9</v>
      </c>
      <c r="L719" s="129">
        <v>1.5</v>
      </c>
      <c r="M719" s="129">
        <f t="shared" si="461"/>
        <v>2</v>
      </c>
      <c r="N719" s="129">
        <v>2.5</v>
      </c>
      <c r="O719" s="129">
        <f t="shared" si="470"/>
        <v>2</v>
      </c>
      <c r="P719" s="159"/>
      <c r="Q719" s="208">
        <f t="shared" si="471"/>
        <v>2</v>
      </c>
      <c r="R719" s="132"/>
      <c r="S719" s="132"/>
      <c r="T719" s="65" t="s">
        <v>32</v>
      </c>
      <c r="U719" s="26"/>
      <c r="V719" s="26"/>
      <c r="W719" s="26"/>
      <c r="X719" s="26"/>
      <c r="Y719" s="26"/>
      <c r="Z719" s="26"/>
      <c r="AA719" s="26"/>
      <c r="AB719" s="26"/>
      <c r="AC719" s="26"/>
    </row>
    <row r="720" ht="33.75" customHeight="1">
      <c r="A720" s="65" t="s">
        <v>1231</v>
      </c>
      <c r="B720" s="215" t="s">
        <v>27</v>
      </c>
      <c r="C720" s="215" t="s">
        <v>1223</v>
      </c>
      <c r="D720" s="215" t="s">
        <v>1226</v>
      </c>
      <c r="E720" s="215" t="s">
        <v>1227</v>
      </c>
      <c r="F720" s="65" t="s">
        <v>1228</v>
      </c>
      <c r="G720" s="65" t="s">
        <v>168</v>
      </c>
      <c r="H720" s="65" t="s">
        <v>168</v>
      </c>
      <c r="I720" s="65"/>
      <c r="J720" s="65" t="s">
        <v>9</v>
      </c>
      <c r="K720" s="97" t="s">
        <v>9</v>
      </c>
      <c r="L720" s="129">
        <v>0.5</v>
      </c>
      <c r="M720" s="129">
        <f t="shared" si="461"/>
        <v>0.625</v>
      </c>
      <c r="N720" s="129">
        <v>0.75</v>
      </c>
      <c r="O720" s="129">
        <f t="shared" si="470"/>
        <v>0.625</v>
      </c>
      <c r="P720" s="159"/>
      <c r="Q720" s="208">
        <f t="shared" si="471"/>
        <v>0.625</v>
      </c>
      <c r="R720" s="132"/>
      <c r="S720" s="132"/>
      <c r="T720" s="65" t="s">
        <v>70</v>
      </c>
      <c r="U720" s="26"/>
      <c r="V720" s="26"/>
      <c r="W720" s="26"/>
      <c r="X720" s="26"/>
      <c r="Y720" s="26"/>
      <c r="Z720" s="26"/>
      <c r="AA720" s="26"/>
      <c r="AB720" s="26"/>
      <c r="AC720" s="26"/>
    </row>
    <row r="721" ht="33.75" customHeight="1">
      <c r="A721" s="54" t="s">
        <v>1232</v>
      </c>
      <c r="B721" s="209" t="s">
        <v>27</v>
      </c>
      <c r="C721" s="209" t="s">
        <v>1223</v>
      </c>
      <c r="D721" s="209" t="s">
        <v>1233</v>
      </c>
      <c r="E721" s="209" t="s">
        <v>1234</v>
      </c>
      <c r="F721" s="54" t="s">
        <v>1235</v>
      </c>
      <c r="G721" s="54" t="s">
        <v>168</v>
      </c>
      <c r="H721" s="54" t="s">
        <v>168</v>
      </c>
      <c r="I721" s="54"/>
      <c r="J721" s="54" t="s">
        <v>9</v>
      </c>
      <c r="K721" s="119" t="s">
        <v>9</v>
      </c>
      <c r="L721" s="202">
        <f>IF(COUNT(L722:N724)=0,"",SUM(L722:L724))</f>
        <v>3.5</v>
      </c>
      <c r="M721" s="202">
        <f t="shared" si="461"/>
        <v>6.75</v>
      </c>
      <c r="N721" s="202">
        <f>IF(COUNT(L722:N724)=0,"",SUM(N722:N724))</f>
        <v>10</v>
      </c>
      <c r="O721" s="202">
        <f>IF(COUNT(O722:O724)=0,"",SUM(O722:O724))</f>
        <v>6.75</v>
      </c>
      <c r="P721" s="210"/>
      <c r="Q721" s="202">
        <f>IF(COUNT(Q722:Q724)=0,"",SUM(Q722:Q724))</f>
        <v>6.75</v>
      </c>
      <c r="R721" s="163"/>
      <c r="S721" s="163"/>
      <c r="T721" s="54" t="s">
        <v>65</v>
      </c>
      <c r="U721" s="179"/>
      <c r="V721" s="179"/>
      <c r="W721" s="179"/>
      <c r="X721" s="105"/>
      <c r="Y721" s="105"/>
      <c r="Z721" s="105"/>
      <c r="AA721" s="105"/>
      <c r="AB721" s="179"/>
      <c r="AC721" s="105"/>
    </row>
    <row r="722" ht="33.75" customHeight="1">
      <c r="A722" s="65" t="s">
        <v>1236</v>
      </c>
      <c r="B722" s="215" t="s">
        <v>27</v>
      </c>
      <c r="C722" s="215" t="s">
        <v>1223</v>
      </c>
      <c r="D722" s="215" t="s">
        <v>1233</v>
      </c>
      <c r="E722" s="215" t="s">
        <v>1234</v>
      </c>
      <c r="F722" s="65" t="s">
        <v>1235</v>
      </c>
      <c r="G722" s="65" t="s">
        <v>168</v>
      </c>
      <c r="H722" s="65" t="s">
        <v>168</v>
      </c>
      <c r="I722" s="65"/>
      <c r="J722" s="65" t="s">
        <v>9</v>
      </c>
      <c r="K722" s="97" t="s">
        <v>9</v>
      </c>
      <c r="L722" s="129">
        <v>1.0</v>
      </c>
      <c r="M722" s="129">
        <f t="shared" si="461"/>
        <v>2</v>
      </c>
      <c r="N722" s="129">
        <v>3.0</v>
      </c>
      <c r="O722" s="129">
        <f t="shared" ref="O722:O724" si="472">IF(COUNT(L722:N722)=0,"",(L722+4*M722+N722)/6)</f>
        <v>2</v>
      </c>
      <c r="P722" s="159"/>
      <c r="Q722" s="208">
        <f t="shared" ref="Q722:Q724" si="473">IF(O722="","",IF(P722="",O722,O722*(1+P722)))</f>
        <v>2</v>
      </c>
      <c r="R722" s="132"/>
      <c r="S722" s="132"/>
      <c r="T722" s="65" t="s">
        <v>31</v>
      </c>
      <c r="U722" s="26"/>
      <c r="V722" s="26"/>
      <c r="W722" s="26"/>
      <c r="X722" s="26"/>
      <c r="Y722" s="26"/>
      <c r="Z722" s="26"/>
      <c r="AA722" s="26"/>
      <c r="AB722" s="26"/>
      <c r="AC722" s="26"/>
    </row>
    <row r="723" ht="33.75" customHeight="1">
      <c r="A723" s="65" t="s">
        <v>1237</v>
      </c>
      <c r="B723" s="215" t="s">
        <v>27</v>
      </c>
      <c r="C723" s="215" t="s">
        <v>1223</v>
      </c>
      <c r="D723" s="215" t="s">
        <v>1233</v>
      </c>
      <c r="E723" s="215" t="s">
        <v>1234</v>
      </c>
      <c r="F723" s="65" t="s">
        <v>1235</v>
      </c>
      <c r="G723" s="65" t="s">
        <v>168</v>
      </c>
      <c r="H723" s="65" t="s">
        <v>168</v>
      </c>
      <c r="I723" s="65"/>
      <c r="J723" s="65" t="s">
        <v>9</v>
      </c>
      <c r="K723" s="97" t="s">
        <v>9</v>
      </c>
      <c r="L723" s="129">
        <v>2.0</v>
      </c>
      <c r="M723" s="129">
        <f t="shared" si="461"/>
        <v>3.75</v>
      </c>
      <c r="N723" s="129">
        <v>5.5</v>
      </c>
      <c r="O723" s="129">
        <f t="shared" si="472"/>
        <v>3.75</v>
      </c>
      <c r="P723" s="159"/>
      <c r="Q723" s="208">
        <f t="shared" si="473"/>
        <v>3.75</v>
      </c>
      <c r="R723" s="132"/>
      <c r="S723" s="132"/>
      <c r="T723" s="65" t="s">
        <v>32</v>
      </c>
      <c r="U723" s="26"/>
      <c r="V723" s="26"/>
      <c r="W723" s="26"/>
      <c r="X723" s="26"/>
      <c r="Y723" s="26"/>
      <c r="Z723" s="26"/>
      <c r="AA723" s="26"/>
      <c r="AB723" s="26"/>
      <c r="AC723" s="26"/>
    </row>
    <row r="724" ht="33.75" customHeight="1">
      <c r="A724" s="65" t="s">
        <v>1238</v>
      </c>
      <c r="B724" s="215" t="s">
        <v>27</v>
      </c>
      <c r="C724" s="215" t="s">
        <v>1223</v>
      </c>
      <c r="D724" s="215" t="s">
        <v>1233</v>
      </c>
      <c r="E724" s="215" t="s">
        <v>1234</v>
      </c>
      <c r="F724" s="65" t="s">
        <v>1235</v>
      </c>
      <c r="G724" s="65" t="s">
        <v>168</v>
      </c>
      <c r="H724" s="65" t="s">
        <v>168</v>
      </c>
      <c r="I724" s="65"/>
      <c r="J724" s="65" t="s">
        <v>9</v>
      </c>
      <c r="K724" s="97" t="s">
        <v>9</v>
      </c>
      <c r="L724" s="129">
        <v>0.5</v>
      </c>
      <c r="M724" s="129">
        <f t="shared" si="461"/>
        <v>1</v>
      </c>
      <c r="N724" s="129">
        <v>1.5</v>
      </c>
      <c r="O724" s="129">
        <f t="shared" si="472"/>
        <v>1</v>
      </c>
      <c r="P724" s="159"/>
      <c r="Q724" s="208">
        <f t="shared" si="473"/>
        <v>1</v>
      </c>
      <c r="R724" s="132"/>
      <c r="S724" s="132"/>
      <c r="T724" s="65" t="s">
        <v>70</v>
      </c>
      <c r="U724" s="26"/>
      <c r="V724" s="26"/>
      <c r="W724" s="26"/>
      <c r="X724" s="26"/>
      <c r="Y724" s="26"/>
      <c r="Z724" s="26"/>
      <c r="AA724" s="26"/>
      <c r="AB724" s="26"/>
      <c r="AC724" s="26"/>
    </row>
    <row r="725" ht="33.75" customHeight="1">
      <c r="A725" s="54" t="s">
        <v>1239</v>
      </c>
      <c r="B725" s="209" t="s">
        <v>27</v>
      </c>
      <c r="C725" s="209" t="s">
        <v>1223</v>
      </c>
      <c r="D725" s="209" t="s">
        <v>1240</v>
      </c>
      <c r="E725" s="209" t="s">
        <v>1241</v>
      </c>
      <c r="F725" s="54" t="s">
        <v>1232</v>
      </c>
      <c r="G725" s="54" t="s">
        <v>168</v>
      </c>
      <c r="H725" s="54" t="s">
        <v>168</v>
      </c>
      <c r="I725" s="54"/>
      <c r="J725" s="54" t="s">
        <v>9</v>
      </c>
      <c r="K725" s="119" t="s">
        <v>9</v>
      </c>
      <c r="L725" s="202">
        <f>IF(COUNT(L726:N728)=0,"",SUM(L726:L728))</f>
        <v>1.75</v>
      </c>
      <c r="M725" s="202">
        <f t="shared" si="461"/>
        <v>3.625</v>
      </c>
      <c r="N725" s="202">
        <f>IF(COUNT(L726:N728)=0,"",SUM(N726:N728))</f>
        <v>5.5</v>
      </c>
      <c r="O725" s="202">
        <f>IF(COUNT(O726:O728)=0,"",SUM(O726:O728))</f>
        <v>3.625</v>
      </c>
      <c r="P725" s="210"/>
      <c r="Q725" s="202">
        <f>IF(COUNT(Q726:Q728)=0,"",SUM(Q726:Q728))</f>
        <v>3.625</v>
      </c>
      <c r="R725" s="163"/>
      <c r="S725" s="163"/>
      <c r="T725" s="54" t="s">
        <v>65</v>
      </c>
      <c r="U725" s="179"/>
      <c r="V725" s="179"/>
      <c r="W725" s="179"/>
      <c r="X725" s="105"/>
      <c r="Y725" s="105"/>
      <c r="Z725" s="105"/>
      <c r="AA725" s="105"/>
      <c r="AB725" s="179"/>
      <c r="AC725" s="105"/>
    </row>
    <row r="726" ht="33.75" customHeight="1">
      <c r="A726" s="65" t="s">
        <v>1242</v>
      </c>
      <c r="B726" s="215" t="s">
        <v>27</v>
      </c>
      <c r="C726" s="215" t="s">
        <v>1223</v>
      </c>
      <c r="D726" s="215" t="s">
        <v>1240</v>
      </c>
      <c r="E726" s="215" t="s">
        <v>1241</v>
      </c>
      <c r="F726" s="65" t="s">
        <v>1232</v>
      </c>
      <c r="G726" s="65" t="s">
        <v>168</v>
      </c>
      <c r="H726" s="65" t="s">
        <v>168</v>
      </c>
      <c r="I726" s="65"/>
      <c r="J726" s="65" t="s">
        <v>9</v>
      </c>
      <c r="K726" s="97" t="s">
        <v>9</v>
      </c>
      <c r="L726" s="129">
        <v>0.5</v>
      </c>
      <c r="M726" s="129">
        <f t="shared" si="461"/>
        <v>1</v>
      </c>
      <c r="N726" s="129">
        <v>1.5</v>
      </c>
      <c r="O726" s="129">
        <f t="shared" ref="O726:O728" si="474">IF(COUNT(L726:N726)=0,"",(L726+4*M726+N726)/6)</f>
        <v>1</v>
      </c>
      <c r="P726" s="159"/>
      <c r="Q726" s="208">
        <f t="shared" ref="Q726:Q728" si="475">IF(O726="","",IF(P726="",O726,O726*(1+P726)))</f>
        <v>1</v>
      </c>
      <c r="R726" s="132"/>
      <c r="S726" s="132"/>
      <c r="T726" s="65" t="s">
        <v>31</v>
      </c>
      <c r="U726" s="26"/>
      <c r="V726" s="26"/>
      <c r="W726" s="26"/>
      <c r="X726" s="26"/>
      <c r="Y726" s="26"/>
      <c r="Z726" s="26"/>
      <c r="AA726" s="26"/>
      <c r="AB726" s="26"/>
      <c r="AC726" s="26"/>
    </row>
    <row r="727" ht="33.75" customHeight="1">
      <c r="A727" s="65" t="s">
        <v>1243</v>
      </c>
      <c r="B727" s="215" t="s">
        <v>27</v>
      </c>
      <c r="C727" s="215" t="s">
        <v>1223</v>
      </c>
      <c r="D727" s="215" t="s">
        <v>1240</v>
      </c>
      <c r="E727" s="215" t="s">
        <v>1241</v>
      </c>
      <c r="F727" s="65" t="s">
        <v>1232</v>
      </c>
      <c r="G727" s="65" t="s">
        <v>168</v>
      </c>
      <c r="H727" s="65" t="s">
        <v>168</v>
      </c>
      <c r="I727" s="65"/>
      <c r="J727" s="65" t="s">
        <v>9</v>
      </c>
      <c r="K727" s="97" t="s">
        <v>9</v>
      </c>
      <c r="L727" s="129">
        <v>1.0</v>
      </c>
      <c r="M727" s="129">
        <f t="shared" si="461"/>
        <v>2</v>
      </c>
      <c r="N727" s="129">
        <v>3.0</v>
      </c>
      <c r="O727" s="129">
        <f t="shared" si="474"/>
        <v>2</v>
      </c>
      <c r="P727" s="159"/>
      <c r="Q727" s="208">
        <f t="shared" si="475"/>
        <v>2</v>
      </c>
      <c r="R727" s="132"/>
      <c r="S727" s="132"/>
      <c r="T727" s="65" t="s">
        <v>32</v>
      </c>
      <c r="U727" s="26"/>
      <c r="V727" s="26"/>
      <c r="W727" s="26"/>
      <c r="X727" s="26"/>
      <c r="Y727" s="26"/>
      <c r="Z727" s="26"/>
      <c r="AA727" s="26"/>
      <c r="AB727" s="26"/>
      <c r="AC727" s="26"/>
    </row>
    <row r="728" ht="33.75" customHeight="1">
      <c r="A728" s="65" t="s">
        <v>1244</v>
      </c>
      <c r="B728" s="215" t="s">
        <v>27</v>
      </c>
      <c r="C728" s="215" t="s">
        <v>1223</v>
      </c>
      <c r="D728" s="215" t="s">
        <v>1240</v>
      </c>
      <c r="E728" s="215" t="s">
        <v>1241</v>
      </c>
      <c r="F728" s="65" t="s">
        <v>1232</v>
      </c>
      <c r="G728" s="65" t="s">
        <v>168</v>
      </c>
      <c r="H728" s="65" t="s">
        <v>168</v>
      </c>
      <c r="I728" s="65"/>
      <c r="J728" s="65" t="s">
        <v>9</v>
      </c>
      <c r="K728" s="97" t="s">
        <v>9</v>
      </c>
      <c r="L728" s="129">
        <v>0.25</v>
      </c>
      <c r="M728" s="129">
        <f t="shared" si="461"/>
        <v>0.625</v>
      </c>
      <c r="N728" s="129">
        <v>1.0</v>
      </c>
      <c r="O728" s="129">
        <f t="shared" si="474"/>
        <v>0.625</v>
      </c>
      <c r="P728" s="159"/>
      <c r="Q728" s="208">
        <f t="shared" si="475"/>
        <v>0.625</v>
      </c>
      <c r="R728" s="132"/>
      <c r="S728" s="132"/>
      <c r="T728" s="65" t="s">
        <v>70</v>
      </c>
      <c r="U728" s="26"/>
      <c r="V728" s="26"/>
      <c r="W728" s="26"/>
      <c r="X728" s="26"/>
      <c r="Y728" s="26"/>
      <c r="Z728" s="26"/>
      <c r="AA728" s="26"/>
      <c r="AB728" s="26"/>
      <c r="AC728" s="26"/>
    </row>
    <row r="729" ht="33.75" customHeight="1">
      <c r="A729" s="98" t="s">
        <v>1245</v>
      </c>
      <c r="B729" s="99" t="s">
        <v>27</v>
      </c>
      <c r="C729" s="99" t="s">
        <v>1223</v>
      </c>
      <c r="D729" s="99" t="s">
        <v>1246</v>
      </c>
      <c r="E729" s="99" t="s">
        <v>1247</v>
      </c>
      <c r="F729" s="98" t="s">
        <v>1248</v>
      </c>
      <c r="G729" s="98" t="s">
        <v>168</v>
      </c>
      <c r="H729" s="98" t="s">
        <v>168</v>
      </c>
      <c r="I729" s="98"/>
      <c r="J729" s="98" t="s">
        <v>12</v>
      </c>
      <c r="K729" s="100" t="s">
        <v>12</v>
      </c>
      <c r="L729" s="101">
        <f>IF(COUNT(L730:N732)=0,"",SUM(L730:L732))</f>
        <v>0</v>
      </c>
      <c r="M729" s="102">
        <f t="shared" si="461"/>
        <v>0</v>
      </c>
      <c r="N729" s="101">
        <f>IF(COUNT(L730:N732)=0,"",SUM(N730:N732))</f>
        <v>0</v>
      </c>
      <c r="O729" s="101">
        <f>IF(COUNT(O730:O732)=0,"",SUM(O730:O732))</f>
        <v>0</v>
      </c>
      <c r="P729" s="103"/>
      <c r="Q729" s="101">
        <f>IF(COUNT(Q730:Q732)=0,"",SUM(Q730:Q732))</f>
        <v>0</v>
      </c>
      <c r="R729" s="104"/>
      <c r="S729" s="104"/>
      <c r="T729" s="98" t="s">
        <v>65</v>
      </c>
      <c r="U729" s="179"/>
      <c r="V729" s="179"/>
      <c r="W729" s="179"/>
      <c r="X729" s="105"/>
      <c r="Y729" s="105"/>
      <c r="Z729" s="105"/>
      <c r="AA729" s="105"/>
      <c r="AB729" s="179"/>
      <c r="AC729" s="105"/>
    </row>
    <row r="730" ht="33.75" customHeight="1">
      <c r="A730" s="106" t="s">
        <v>1249</v>
      </c>
      <c r="B730" s="107" t="s">
        <v>27</v>
      </c>
      <c r="C730" s="107" t="s">
        <v>1223</v>
      </c>
      <c r="D730" s="107" t="s">
        <v>1246</v>
      </c>
      <c r="E730" s="107" t="s">
        <v>1247</v>
      </c>
      <c r="F730" s="106" t="s">
        <v>1248</v>
      </c>
      <c r="G730" s="106" t="s">
        <v>168</v>
      </c>
      <c r="H730" s="106" t="s">
        <v>168</v>
      </c>
      <c r="I730" s="106"/>
      <c r="J730" s="106" t="s">
        <v>12</v>
      </c>
      <c r="K730" s="108" t="s">
        <v>12</v>
      </c>
      <c r="L730" s="109"/>
      <c r="M730" s="109">
        <f t="shared" si="461"/>
        <v>0</v>
      </c>
      <c r="N730" s="109"/>
      <c r="O730" s="109">
        <f t="shared" ref="O730:O732" si="476">IF(COUNT(L730:N730)=0,"",(L730+4*M730+N730)/6)</f>
        <v>0</v>
      </c>
      <c r="P730" s="110"/>
      <c r="Q730" s="109">
        <f t="shared" ref="Q730:Q732" si="477">IF(O730="","",IF(P730="",O730,O730*(1+P730)))</f>
        <v>0</v>
      </c>
      <c r="R730" s="111"/>
      <c r="S730" s="111"/>
      <c r="T730" s="106" t="s">
        <v>31</v>
      </c>
      <c r="U730" s="26"/>
      <c r="V730" s="26"/>
      <c r="W730" s="26"/>
      <c r="X730" s="26"/>
      <c r="Y730" s="26"/>
      <c r="Z730" s="26"/>
      <c r="AA730" s="26"/>
      <c r="AB730" s="26"/>
      <c r="AC730" s="26"/>
    </row>
    <row r="731" ht="33.75" customHeight="1">
      <c r="A731" s="106" t="s">
        <v>1250</v>
      </c>
      <c r="B731" s="107" t="s">
        <v>27</v>
      </c>
      <c r="C731" s="107" t="s">
        <v>1223</v>
      </c>
      <c r="D731" s="107" t="s">
        <v>1246</v>
      </c>
      <c r="E731" s="107" t="s">
        <v>1247</v>
      </c>
      <c r="F731" s="106" t="s">
        <v>1248</v>
      </c>
      <c r="G731" s="106" t="s">
        <v>168</v>
      </c>
      <c r="H731" s="106" t="s">
        <v>168</v>
      </c>
      <c r="I731" s="106"/>
      <c r="J731" s="106" t="s">
        <v>12</v>
      </c>
      <c r="K731" s="108" t="s">
        <v>12</v>
      </c>
      <c r="L731" s="109"/>
      <c r="M731" s="109">
        <f t="shared" si="461"/>
        <v>0</v>
      </c>
      <c r="N731" s="109"/>
      <c r="O731" s="109">
        <f t="shared" si="476"/>
        <v>0</v>
      </c>
      <c r="P731" s="110"/>
      <c r="Q731" s="109">
        <f t="shared" si="477"/>
        <v>0</v>
      </c>
      <c r="R731" s="111"/>
      <c r="S731" s="111"/>
      <c r="T731" s="106" t="s">
        <v>32</v>
      </c>
      <c r="U731" s="26"/>
      <c r="V731" s="26"/>
      <c r="W731" s="26"/>
      <c r="X731" s="26"/>
      <c r="Y731" s="26"/>
      <c r="Z731" s="26"/>
      <c r="AA731" s="26"/>
      <c r="AB731" s="26"/>
      <c r="AC731" s="26"/>
    </row>
    <row r="732" ht="33.75" customHeight="1">
      <c r="A732" s="106" t="s">
        <v>1251</v>
      </c>
      <c r="B732" s="107" t="s">
        <v>27</v>
      </c>
      <c r="C732" s="107" t="s">
        <v>1223</v>
      </c>
      <c r="D732" s="107" t="s">
        <v>1246</v>
      </c>
      <c r="E732" s="107" t="s">
        <v>1247</v>
      </c>
      <c r="F732" s="106" t="s">
        <v>1248</v>
      </c>
      <c r="G732" s="106" t="s">
        <v>168</v>
      </c>
      <c r="H732" s="106" t="s">
        <v>168</v>
      </c>
      <c r="I732" s="106"/>
      <c r="J732" s="106" t="s">
        <v>12</v>
      </c>
      <c r="K732" s="108" t="s">
        <v>12</v>
      </c>
      <c r="L732" s="109"/>
      <c r="M732" s="109">
        <f t="shared" si="461"/>
        <v>0</v>
      </c>
      <c r="N732" s="109"/>
      <c r="O732" s="109">
        <f t="shared" si="476"/>
        <v>0</v>
      </c>
      <c r="P732" s="110"/>
      <c r="Q732" s="109">
        <f t="shared" si="477"/>
        <v>0</v>
      </c>
      <c r="R732" s="111"/>
      <c r="S732" s="111"/>
      <c r="T732" s="106" t="s">
        <v>70</v>
      </c>
      <c r="U732" s="26"/>
      <c r="V732" s="26"/>
      <c r="W732" s="26"/>
      <c r="X732" s="26"/>
      <c r="Y732" s="26"/>
      <c r="Z732" s="26"/>
      <c r="AA732" s="26"/>
      <c r="AB732" s="26"/>
      <c r="AC732" s="26"/>
    </row>
    <row r="733" ht="33.75" customHeight="1">
      <c r="A733" s="45" t="s">
        <v>1252</v>
      </c>
      <c r="B733" s="212" t="s">
        <v>27</v>
      </c>
      <c r="C733" s="212" t="s">
        <v>1253</v>
      </c>
      <c r="D733" s="212" t="s">
        <v>1253</v>
      </c>
      <c r="E733" s="212" t="s">
        <v>1254</v>
      </c>
      <c r="F733" s="45"/>
      <c r="G733" s="45"/>
      <c r="H733" s="45"/>
      <c r="I733" s="45"/>
      <c r="J733" s="45"/>
      <c r="K733" s="123"/>
      <c r="L733" s="213">
        <f>IF(COUNT(L734,L738,L742,L746,L750)=0,"",SUM(L734,L738,L742,L746,L750))</f>
        <v>9</v>
      </c>
      <c r="M733" s="213">
        <f t="shared" si="461"/>
        <v>11.5</v>
      </c>
      <c r="N733" s="213">
        <f t="shared" ref="N733:O733" si="478">IF(COUNT(N734,N738,N742,N746,N750)=0,"",SUM(N734,N738,N742,N746,N750))</f>
        <v>14</v>
      </c>
      <c r="O733" s="213">
        <f t="shared" si="478"/>
        <v>11.5</v>
      </c>
      <c r="P733" s="214"/>
      <c r="Q733" s="213">
        <f>IF(COUNT(Q734,Q738,Q742,Q746,Q750)=0,"",SUM(Q734,Q738,Q742,Q746,Q750))</f>
        <v>11.5</v>
      </c>
      <c r="R733" s="126"/>
      <c r="S733" s="126"/>
      <c r="T733" s="45" t="s">
        <v>62</v>
      </c>
      <c r="U733" s="26"/>
      <c r="V733" s="26"/>
      <c r="W733" s="26"/>
      <c r="X733" s="46">
        <f t="shared" ref="X733:AA733" si="479">L733</f>
        <v>9</v>
      </c>
      <c r="Y733" s="46">
        <f t="shared" si="479"/>
        <v>11.5</v>
      </c>
      <c r="Z733" s="46">
        <f t="shared" si="479"/>
        <v>14</v>
      </c>
      <c r="AA733" s="46">
        <f t="shared" si="479"/>
        <v>11.5</v>
      </c>
      <c r="AB733" s="26"/>
      <c r="AC733" s="46">
        <f>Q733</f>
        <v>11.5</v>
      </c>
    </row>
    <row r="734" ht="33.75" customHeight="1">
      <c r="A734" s="54" t="s">
        <v>1255</v>
      </c>
      <c r="B734" s="209" t="s">
        <v>27</v>
      </c>
      <c r="C734" s="209" t="s">
        <v>1253</v>
      </c>
      <c r="D734" s="209" t="s">
        <v>1256</v>
      </c>
      <c r="E734" s="209" t="s">
        <v>1257</v>
      </c>
      <c r="F734" s="54" t="s">
        <v>1225</v>
      </c>
      <c r="G734" s="54" t="s">
        <v>154</v>
      </c>
      <c r="H734" s="54" t="s">
        <v>154</v>
      </c>
      <c r="I734" s="54"/>
      <c r="J734" s="54" t="s">
        <v>9</v>
      </c>
      <c r="K734" s="119" t="s">
        <v>9</v>
      </c>
      <c r="L734" s="202">
        <f>IF(COUNT(L735:N737)=0,"",SUM(L735:L737))</f>
        <v>1</v>
      </c>
      <c r="M734" s="202">
        <f t="shared" si="461"/>
        <v>2</v>
      </c>
      <c r="N734" s="202">
        <f>IF(COUNT(L735:N737)=0,"",SUM(N735:N737))</f>
        <v>3</v>
      </c>
      <c r="O734" s="202">
        <f>IF(COUNT(O735:O737)=0,"",SUM(O735:O737))</f>
        <v>2</v>
      </c>
      <c r="P734" s="210"/>
      <c r="Q734" s="202">
        <f>IF(COUNT(Q735:Q737)=0,"",SUM(Q735:Q737))</f>
        <v>2</v>
      </c>
      <c r="R734" s="163"/>
      <c r="S734" s="163"/>
      <c r="T734" s="54" t="s">
        <v>65</v>
      </c>
      <c r="U734" s="179"/>
      <c r="V734" s="179"/>
      <c r="W734" s="179"/>
      <c r="X734" s="105"/>
      <c r="Y734" s="105"/>
      <c r="Z734" s="105"/>
      <c r="AA734" s="105"/>
      <c r="AB734" s="179"/>
      <c r="AC734" s="105"/>
    </row>
    <row r="735" ht="33.75" customHeight="1">
      <c r="A735" s="65" t="s">
        <v>1258</v>
      </c>
      <c r="B735" s="215" t="s">
        <v>27</v>
      </c>
      <c r="C735" s="215" t="s">
        <v>1253</v>
      </c>
      <c r="D735" s="215" t="s">
        <v>1256</v>
      </c>
      <c r="E735" s="215" t="s">
        <v>1257</v>
      </c>
      <c r="F735" s="65" t="s">
        <v>1225</v>
      </c>
      <c r="G735" s="65" t="s">
        <v>154</v>
      </c>
      <c r="H735" s="65" t="s">
        <v>154</v>
      </c>
      <c r="I735" s="65"/>
      <c r="J735" s="65" t="s">
        <v>9</v>
      </c>
      <c r="K735" s="97" t="s">
        <v>9</v>
      </c>
      <c r="L735" s="129">
        <v>0.5</v>
      </c>
      <c r="M735" s="129">
        <f t="shared" si="461"/>
        <v>0.75</v>
      </c>
      <c r="N735" s="128">
        <v>1.0</v>
      </c>
      <c r="O735" s="129">
        <f t="shared" ref="O735:O737" si="480">IF(COUNT(L735:N735)=0,"",(L735+4*M735+N735)/6)</f>
        <v>0.75</v>
      </c>
      <c r="P735" s="159"/>
      <c r="Q735" s="208">
        <f t="shared" ref="Q735:Q737" si="481">IF(O735="","",IF(P735="",O735,O735*(1+P735)))</f>
        <v>0.75</v>
      </c>
      <c r="R735" s="132"/>
      <c r="S735" s="132"/>
      <c r="T735" s="65" t="s">
        <v>31</v>
      </c>
      <c r="U735" s="26"/>
      <c r="V735" s="26"/>
      <c r="W735" s="26"/>
      <c r="X735" s="26"/>
      <c r="Y735" s="26"/>
      <c r="Z735" s="26"/>
      <c r="AA735" s="26"/>
      <c r="AB735" s="26"/>
      <c r="AC735" s="26"/>
    </row>
    <row r="736" ht="33.75" customHeight="1">
      <c r="A736" s="65" t="s">
        <v>1259</v>
      </c>
      <c r="B736" s="215" t="s">
        <v>27</v>
      </c>
      <c r="C736" s="215" t="s">
        <v>1253</v>
      </c>
      <c r="D736" s="215" t="s">
        <v>1256</v>
      </c>
      <c r="E736" s="215" t="s">
        <v>1257</v>
      </c>
      <c r="F736" s="65" t="s">
        <v>1225</v>
      </c>
      <c r="G736" s="65" t="s">
        <v>154</v>
      </c>
      <c r="H736" s="65" t="s">
        <v>154</v>
      </c>
      <c r="I736" s="65"/>
      <c r="J736" s="65" t="s">
        <v>9</v>
      </c>
      <c r="K736" s="97" t="s">
        <v>9</v>
      </c>
      <c r="L736" s="129">
        <v>0.25</v>
      </c>
      <c r="M736" s="129">
        <f t="shared" si="461"/>
        <v>0.625</v>
      </c>
      <c r="N736" s="128">
        <v>1.0</v>
      </c>
      <c r="O736" s="129">
        <f t="shared" si="480"/>
        <v>0.625</v>
      </c>
      <c r="P736" s="159"/>
      <c r="Q736" s="208">
        <f t="shared" si="481"/>
        <v>0.625</v>
      </c>
      <c r="R736" s="132"/>
      <c r="S736" s="132"/>
      <c r="T736" s="65" t="s">
        <v>32</v>
      </c>
      <c r="U736" s="26"/>
      <c r="V736" s="26"/>
      <c r="W736" s="26"/>
      <c r="X736" s="26"/>
      <c r="Y736" s="26"/>
      <c r="Z736" s="26"/>
      <c r="AA736" s="26"/>
      <c r="AB736" s="26"/>
      <c r="AC736" s="26"/>
    </row>
    <row r="737" ht="33.75" customHeight="1">
      <c r="A737" s="65" t="s">
        <v>1260</v>
      </c>
      <c r="B737" s="215" t="s">
        <v>27</v>
      </c>
      <c r="C737" s="215" t="s">
        <v>1253</v>
      </c>
      <c r="D737" s="215" t="s">
        <v>1256</v>
      </c>
      <c r="E737" s="215" t="s">
        <v>1257</v>
      </c>
      <c r="F737" s="65" t="s">
        <v>1225</v>
      </c>
      <c r="G737" s="65" t="s">
        <v>154</v>
      </c>
      <c r="H737" s="65" t="s">
        <v>154</v>
      </c>
      <c r="I737" s="65"/>
      <c r="J737" s="65" t="s">
        <v>9</v>
      </c>
      <c r="K737" s="97" t="s">
        <v>9</v>
      </c>
      <c r="L737" s="129">
        <v>0.25</v>
      </c>
      <c r="M737" s="129">
        <f t="shared" si="461"/>
        <v>0.625</v>
      </c>
      <c r="N737" s="128">
        <v>1.0</v>
      </c>
      <c r="O737" s="129">
        <f t="shared" si="480"/>
        <v>0.625</v>
      </c>
      <c r="P737" s="159"/>
      <c r="Q737" s="208">
        <f t="shared" si="481"/>
        <v>0.625</v>
      </c>
      <c r="R737" s="132"/>
      <c r="S737" s="132"/>
      <c r="T737" s="65" t="s">
        <v>70</v>
      </c>
      <c r="U737" s="26"/>
      <c r="V737" s="26"/>
      <c r="W737" s="26"/>
      <c r="X737" s="26"/>
      <c r="Y737" s="26"/>
      <c r="Z737" s="26"/>
      <c r="AA737" s="26"/>
      <c r="AB737" s="26"/>
      <c r="AC737" s="26"/>
    </row>
    <row r="738" ht="33.75" customHeight="1">
      <c r="A738" s="54" t="s">
        <v>1261</v>
      </c>
      <c r="B738" s="209" t="s">
        <v>27</v>
      </c>
      <c r="C738" s="209" t="s">
        <v>1253</v>
      </c>
      <c r="D738" s="209" t="s">
        <v>1262</v>
      </c>
      <c r="E738" s="209" t="s">
        <v>1263</v>
      </c>
      <c r="F738" s="54" t="s">
        <v>1202</v>
      </c>
      <c r="G738" s="54" t="s">
        <v>168</v>
      </c>
      <c r="H738" s="54" t="s">
        <v>168</v>
      </c>
      <c r="I738" s="54"/>
      <c r="J738" s="54" t="s">
        <v>9</v>
      </c>
      <c r="K738" s="119" t="s">
        <v>9</v>
      </c>
      <c r="L738" s="202">
        <f>IF(COUNT(L739:N741)=0,"",SUM(L739:L741))</f>
        <v>2.5</v>
      </c>
      <c r="M738" s="202">
        <f t="shared" si="461"/>
        <v>2.875</v>
      </c>
      <c r="N738" s="202">
        <f>IF(COUNT(L739:N741)=0,"",SUM(N739:N741))</f>
        <v>3.25</v>
      </c>
      <c r="O738" s="202">
        <f>IF(COUNT(O739:O741)=0,"",SUM(O739:O741))</f>
        <v>2.875</v>
      </c>
      <c r="P738" s="210"/>
      <c r="Q738" s="202">
        <f>IF(COUNT(Q739:Q741)=0,"",SUM(Q739:Q741))</f>
        <v>2.875</v>
      </c>
      <c r="R738" s="163"/>
      <c r="S738" s="163"/>
      <c r="T738" s="54" t="s">
        <v>65</v>
      </c>
      <c r="U738" s="179"/>
      <c r="V738" s="179"/>
      <c r="W738" s="179"/>
      <c r="X738" s="105"/>
      <c r="Y738" s="105"/>
      <c r="Z738" s="105"/>
      <c r="AA738" s="105"/>
      <c r="AB738" s="179"/>
      <c r="AC738" s="105"/>
    </row>
    <row r="739" ht="33.75" customHeight="1">
      <c r="A739" s="65" t="s">
        <v>1264</v>
      </c>
      <c r="B739" s="215" t="s">
        <v>27</v>
      </c>
      <c r="C739" s="215" t="s">
        <v>1253</v>
      </c>
      <c r="D739" s="215" t="s">
        <v>1262</v>
      </c>
      <c r="E739" s="215" t="s">
        <v>1263</v>
      </c>
      <c r="F739" s="65" t="s">
        <v>1202</v>
      </c>
      <c r="G739" s="65" t="s">
        <v>168</v>
      </c>
      <c r="H739" s="65" t="s">
        <v>168</v>
      </c>
      <c r="I739" s="65"/>
      <c r="J739" s="65" t="s">
        <v>9</v>
      </c>
      <c r="K739" s="97" t="s">
        <v>9</v>
      </c>
      <c r="L739" s="129">
        <v>1.0</v>
      </c>
      <c r="M739" s="129">
        <f t="shared" si="461"/>
        <v>1.25</v>
      </c>
      <c r="N739" s="128">
        <v>1.5</v>
      </c>
      <c r="O739" s="129">
        <f t="shared" ref="O739:O741" si="482">IF(COUNT(L739:N739)=0,"",(L739+4*M739+N739)/6)</f>
        <v>1.25</v>
      </c>
      <c r="P739" s="159"/>
      <c r="Q739" s="208">
        <f t="shared" ref="Q739:Q741" si="483">IF(O739="","",IF(P739="",O739,O739*(1+P739)))</f>
        <v>1.25</v>
      </c>
      <c r="R739" s="132"/>
      <c r="S739" s="132"/>
      <c r="T739" s="65" t="s">
        <v>31</v>
      </c>
      <c r="U739" s="26"/>
      <c r="V739" s="26"/>
      <c r="W739" s="26"/>
      <c r="X739" s="26"/>
      <c r="Y739" s="26"/>
      <c r="Z739" s="26"/>
      <c r="AA739" s="26"/>
      <c r="AB739" s="26"/>
      <c r="AC739" s="26"/>
    </row>
    <row r="740" ht="33.75" customHeight="1">
      <c r="A740" s="65" t="s">
        <v>1265</v>
      </c>
      <c r="B740" s="215" t="s">
        <v>27</v>
      </c>
      <c r="C740" s="215" t="s">
        <v>1253</v>
      </c>
      <c r="D740" s="215" t="s">
        <v>1262</v>
      </c>
      <c r="E740" s="215" t="s">
        <v>1263</v>
      </c>
      <c r="F740" s="65" t="s">
        <v>1202</v>
      </c>
      <c r="G740" s="65" t="s">
        <v>168</v>
      </c>
      <c r="H740" s="65" t="s">
        <v>168</v>
      </c>
      <c r="I740" s="65"/>
      <c r="J740" s="65" t="s">
        <v>9</v>
      </c>
      <c r="K740" s="97" t="s">
        <v>9</v>
      </c>
      <c r="L740" s="129">
        <v>1.0</v>
      </c>
      <c r="M740" s="129">
        <f t="shared" si="461"/>
        <v>1.125</v>
      </c>
      <c r="N740" s="128">
        <v>1.25</v>
      </c>
      <c r="O740" s="129">
        <f t="shared" si="482"/>
        <v>1.125</v>
      </c>
      <c r="P740" s="159"/>
      <c r="Q740" s="208">
        <f t="shared" si="483"/>
        <v>1.125</v>
      </c>
      <c r="R740" s="132"/>
      <c r="S740" s="132"/>
      <c r="T740" s="65" t="s">
        <v>32</v>
      </c>
      <c r="U740" s="26"/>
      <c r="V740" s="26"/>
      <c r="W740" s="26"/>
      <c r="X740" s="26"/>
      <c r="Y740" s="26"/>
      <c r="Z740" s="26"/>
      <c r="AA740" s="26"/>
      <c r="AB740" s="26"/>
      <c r="AC740" s="26"/>
    </row>
    <row r="741" ht="33.75" customHeight="1">
      <c r="A741" s="65" t="s">
        <v>1266</v>
      </c>
      <c r="B741" s="215" t="s">
        <v>27</v>
      </c>
      <c r="C741" s="215" t="s">
        <v>1253</v>
      </c>
      <c r="D741" s="215" t="s">
        <v>1262</v>
      </c>
      <c r="E741" s="215" t="s">
        <v>1263</v>
      </c>
      <c r="F741" s="65" t="s">
        <v>1202</v>
      </c>
      <c r="G741" s="65" t="s">
        <v>168</v>
      </c>
      <c r="H741" s="65" t="s">
        <v>168</v>
      </c>
      <c r="I741" s="65"/>
      <c r="J741" s="65" t="s">
        <v>9</v>
      </c>
      <c r="K741" s="97" t="s">
        <v>9</v>
      </c>
      <c r="L741" s="129">
        <v>0.5</v>
      </c>
      <c r="M741" s="129">
        <f t="shared" si="461"/>
        <v>0.5</v>
      </c>
      <c r="N741" s="128">
        <v>0.5</v>
      </c>
      <c r="O741" s="129">
        <f t="shared" si="482"/>
        <v>0.5</v>
      </c>
      <c r="P741" s="159"/>
      <c r="Q741" s="208">
        <f t="shared" si="483"/>
        <v>0.5</v>
      </c>
      <c r="R741" s="132"/>
      <c r="S741" s="132"/>
      <c r="T741" s="65" t="s">
        <v>70</v>
      </c>
      <c r="U741" s="26"/>
      <c r="V741" s="26"/>
      <c r="W741" s="26"/>
      <c r="X741" s="26"/>
      <c r="Y741" s="26"/>
      <c r="Z741" s="26"/>
      <c r="AA741" s="26"/>
      <c r="AB741" s="26"/>
      <c r="AC741" s="26"/>
    </row>
    <row r="742" ht="33.75" customHeight="1">
      <c r="A742" s="54" t="s">
        <v>1267</v>
      </c>
      <c r="B742" s="209" t="s">
        <v>27</v>
      </c>
      <c r="C742" s="209" t="s">
        <v>1253</v>
      </c>
      <c r="D742" s="209" t="s">
        <v>1268</v>
      </c>
      <c r="E742" s="209" t="s">
        <v>1269</v>
      </c>
      <c r="F742" s="54" t="s">
        <v>1239</v>
      </c>
      <c r="G742" s="54" t="s">
        <v>168</v>
      </c>
      <c r="H742" s="54" t="s">
        <v>168</v>
      </c>
      <c r="I742" s="54"/>
      <c r="J742" s="54" t="s">
        <v>9</v>
      </c>
      <c r="K742" s="119" t="s">
        <v>9</v>
      </c>
      <c r="L742" s="202">
        <f>IF(COUNT(L743:N745)=0,"",SUM(L743:L745))</f>
        <v>2.5</v>
      </c>
      <c r="M742" s="202">
        <f t="shared" si="461"/>
        <v>3</v>
      </c>
      <c r="N742" s="202">
        <f>IF(COUNT(L743:N745)=0,"",SUM(N743:N745))</f>
        <v>3.5</v>
      </c>
      <c r="O742" s="202">
        <f>IF(COUNT(O743:O745)=0,"",SUM(O743:O745))</f>
        <v>3</v>
      </c>
      <c r="P742" s="210"/>
      <c r="Q742" s="202">
        <f>IF(COUNT(Q743:Q745)=0,"",SUM(Q743:Q745))</f>
        <v>3</v>
      </c>
      <c r="R742" s="163"/>
      <c r="S742" s="163"/>
      <c r="T742" s="54" t="s">
        <v>65</v>
      </c>
      <c r="U742" s="179"/>
      <c r="V742" s="179"/>
      <c r="W742" s="179"/>
      <c r="X742" s="105"/>
      <c r="Y742" s="105"/>
      <c r="Z742" s="105"/>
      <c r="AA742" s="105"/>
      <c r="AB742" s="179"/>
      <c r="AC742" s="105"/>
    </row>
    <row r="743" ht="33.75" customHeight="1">
      <c r="A743" s="65" t="s">
        <v>1270</v>
      </c>
      <c r="B743" s="215" t="s">
        <v>27</v>
      </c>
      <c r="C743" s="215" t="s">
        <v>1253</v>
      </c>
      <c r="D743" s="215" t="s">
        <v>1268</v>
      </c>
      <c r="E743" s="215" t="s">
        <v>1269</v>
      </c>
      <c r="F743" s="65" t="s">
        <v>1239</v>
      </c>
      <c r="G743" s="65" t="s">
        <v>168</v>
      </c>
      <c r="H743" s="65" t="s">
        <v>168</v>
      </c>
      <c r="I743" s="65"/>
      <c r="J743" s="65" t="s">
        <v>9</v>
      </c>
      <c r="K743" s="97" t="s">
        <v>9</v>
      </c>
      <c r="L743" s="129">
        <v>1.0</v>
      </c>
      <c r="M743" s="129">
        <f t="shared" si="461"/>
        <v>1.125</v>
      </c>
      <c r="N743" s="128">
        <v>1.25</v>
      </c>
      <c r="O743" s="129">
        <f t="shared" ref="O743:O745" si="484">IF(COUNT(L743:N743)=0,"",(L743+4*M743+N743)/6)</f>
        <v>1.125</v>
      </c>
      <c r="P743" s="159"/>
      <c r="Q743" s="208">
        <f t="shared" ref="Q743:Q745" si="485">IF(O743="","",IF(P743="",O743,O743*(1+P743)))</f>
        <v>1.125</v>
      </c>
      <c r="R743" s="132"/>
      <c r="S743" s="132"/>
      <c r="T743" s="65" t="s">
        <v>31</v>
      </c>
      <c r="U743" s="26"/>
      <c r="V743" s="26"/>
      <c r="W743" s="26"/>
      <c r="X743" s="26"/>
      <c r="Y743" s="26"/>
      <c r="Z743" s="26"/>
      <c r="AA743" s="26"/>
      <c r="AB743" s="26"/>
      <c r="AC743" s="26"/>
    </row>
    <row r="744" ht="33.75" customHeight="1">
      <c r="A744" s="65" t="s">
        <v>1271</v>
      </c>
      <c r="B744" s="215" t="s">
        <v>27</v>
      </c>
      <c r="C744" s="215" t="s">
        <v>1253</v>
      </c>
      <c r="D744" s="215" t="s">
        <v>1268</v>
      </c>
      <c r="E744" s="215" t="s">
        <v>1269</v>
      </c>
      <c r="F744" s="65" t="s">
        <v>1239</v>
      </c>
      <c r="G744" s="65" t="s">
        <v>168</v>
      </c>
      <c r="H744" s="65" t="s">
        <v>168</v>
      </c>
      <c r="I744" s="65"/>
      <c r="J744" s="65" t="s">
        <v>9</v>
      </c>
      <c r="K744" s="97" t="s">
        <v>9</v>
      </c>
      <c r="L744" s="129">
        <v>1.0</v>
      </c>
      <c r="M744" s="129">
        <f t="shared" si="461"/>
        <v>1.25</v>
      </c>
      <c r="N744" s="128">
        <v>1.5</v>
      </c>
      <c r="O744" s="129">
        <f t="shared" si="484"/>
        <v>1.25</v>
      </c>
      <c r="P744" s="159"/>
      <c r="Q744" s="208">
        <f t="shared" si="485"/>
        <v>1.25</v>
      </c>
      <c r="R744" s="132"/>
      <c r="S744" s="132"/>
      <c r="T744" s="65" t="s">
        <v>32</v>
      </c>
      <c r="U744" s="26"/>
      <c r="V744" s="26"/>
      <c r="W744" s="26"/>
      <c r="X744" s="26"/>
      <c r="Y744" s="26"/>
      <c r="Z744" s="26"/>
      <c r="AA744" s="26"/>
      <c r="AB744" s="26"/>
      <c r="AC744" s="26"/>
    </row>
    <row r="745" ht="33.75" customHeight="1">
      <c r="A745" s="65" t="s">
        <v>1272</v>
      </c>
      <c r="B745" s="215" t="s">
        <v>27</v>
      </c>
      <c r="C745" s="215" t="s">
        <v>1253</v>
      </c>
      <c r="D745" s="215" t="s">
        <v>1268</v>
      </c>
      <c r="E745" s="215" t="s">
        <v>1269</v>
      </c>
      <c r="F745" s="65" t="s">
        <v>1239</v>
      </c>
      <c r="G745" s="65" t="s">
        <v>168</v>
      </c>
      <c r="H745" s="65" t="s">
        <v>168</v>
      </c>
      <c r="I745" s="65"/>
      <c r="J745" s="65" t="s">
        <v>9</v>
      </c>
      <c r="K745" s="97" t="s">
        <v>9</v>
      </c>
      <c r="L745" s="129">
        <v>0.5</v>
      </c>
      <c r="M745" s="129">
        <f t="shared" si="461"/>
        <v>0.625</v>
      </c>
      <c r="N745" s="128">
        <v>0.75</v>
      </c>
      <c r="O745" s="129">
        <f t="shared" si="484"/>
        <v>0.625</v>
      </c>
      <c r="P745" s="159"/>
      <c r="Q745" s="208">
        <f t="shared" si="485"/>
        <v>0.625</v>
      </c>
      <c r="R745" s="132"/>
      <c r="S745" s="132"/>
      <c r="T745" s="65" t="s">
        <v>70</v>
      </c>
      <c r="U745" s="26"/>
      <c r="V745" s="26"/>
      <c r="W745" s="26"/>
      <c r="X745" s="26"/>
      <c r="Y745" s="26"/>
      <c r="Z745" s="26"/>
      <c r="AA745" s="26"/>
      <c r="AB745" s="26"/>
      <c r="AC745" s="26"/>
    </row>
    <row r="746" ht="33.75" customHeight="1">
      <c r="A746" s="98" t="s">
        <v>1273</v>
      </c>
      <c r="B746" s="99" t="s">
        <v>27</v>
      </c>
      <c r="C746" s="99" t="s">
        <v>1253</v>
      </c>
      <c r="D746" s="99" t="s">
        <v>1274</v>
      </c>
      <c r="E746" s="99" t="s">
        <v>1275</v>
      </c>
      <c r="F746" s="98" t="s">
        <v>1232</v>
      </c>
      <c r="G746" s="98" t="s">
        <v>200</v>
      </c>
      <c r="H746" s="98" t="s">
        <v>200</v>
      </c>
      <c r="I746" s="98"/>
      <c r="J746" s="98" t="s">
        <v>12</v>
      </c>
      <c r="K746" s="100" t="s">
        <v>12</v>
      </c>
      <c r="L746" s="101">
        <f>IF(COUNT(L747:N749)=0,"",SUM(L747:L749))</f>
        <v>0</v>
      </c>
      <c r="M746" s="102">
        <f t="shared" si="461"/>
        <v>0</v>
      </c>
      <c r="N746" s="101">
        <f>IF(COUNT(L747:N749)=0,"",SUM(N747:N749))</f>
        <v>0</v>
      </c>
      <c r="O746" s="101">
        <f>IF(COUNT(O747:O749)=0,"",SUM(O747:O749))</f>
        <v>0</v>
      </c>
      <c r="P746" s="103"/>
      <c r="Q746" s="101">
        <f>IF(COUNT(Q747:Q749)=0,"",SUM(Q747:Q749))</f>
        <v>0</v>
      </c>
      <c r="R746" s="104"/>
      <c r="S746" s="104"/>
      <c r="T746" s="98" t="s">
        <v>65</v>
      </c>
      <c r="U746" s="179"/>
      <c r="V746" s="179"/>
      <c r="W746" s="179"/>
      <c r="X746" s="105"/>
      <c r="Y746" s="105"/>
      <c r="Z746" s="105"/>
      <c r="AA746" s="105"/>
      <c r="AB746" s="179"/>
      <c r="AC746" s="105"/>
    </row>
    <row r="747" ht="33.75" customHeight="1">
      <c r="A747" s="106" t="s">
        <v>1276</v>
      </c>
      <c r="B747" s="107" t="s">
        <v>27</v>
      </c>
      <c r="C747" s="107" t="s">
        <v>1253</v>
      </c>
      <c r="D747" s="107" t="s">
        <v>1274</v>
      </c>
      <c r="E747" s="107" t="s">
        <v>1275</v>
      </c>
      <c r="F747" s="106" t="s">
        <v>1232</v>
      </c>
      <c r="G747" s="106" t="s">
        <v>200</v>
      </c>
      <c r="H747" s="106" t="s">
        <v>200</v>
      </c>
      <c r="I747" s="106"/>
      <c r="J747" s="106" t="s">
        <v>12</v>
      </c>
      <c r="K747" s="108" t="s">
        <v>12</v>
      </c>
      <c r="L747" s="109"/>
      <c r="M747" s="109">
        <f t="shared" si="461"/>
        <v>0</v>
      </c>
      <c r="N747" s="109"/>
      <c r="O747" s="109">
        <f t="shared" ref="O747:O749" si="486">IF(COUNT(L747:N747)=0,"",(L747+4*M747+N747)/6)</f>
        <v>0</v>
      </c>
      <c r="P747" s="110"/>
      <c r="Q747" s="109">
        <f t="shared" ref="Q747:Q749" si="487">IF(O747="","",IF(P747="",O747,O747*(1+P747)))</f>
        <v>0</v>
      </c>
      <c r="R747" s="111"/>
      <c r="S747" s="111"/>
      <c r="T747" s="106" t="s">
        <v>31</v>
      </c>
      <c r="U747" s="26"/>
      <c r="V747" s="26"/>
      <c r="W747" s="26"/>
      <c r="X747" s="26"/>
      <c r="Y747" s="26"/>
      <c r="Z747" s="26"/>
      <c r="AA747" s="26"/>
      <c r="AB747" s="26"/>
      <c r="AC747" s="26"/>
    </row>
    <row r="748" ht="33.75" customHeight="1">
      <c r="A748" s="106" t="s">
        <v>1277</v>
      </c>
      <c r="B748" s="107" t="s">
        <v>27</v>
      </c>
      <c r="C748" s="107" t="s">
        <v>1253</v>
      </c>
      <c r="D748" s="107" t="s">
        <v>1274</v>
      </c>
      <c r="E748" s="107" t="s">
        <v>1275</v>
      </c>
      <c r="F748" s="106" t="s">
        <v>1232</v>
      </c>
      <c r="G748" s="106" t="s">
        <v>200</v>
      </c>
      <c r="H748" s="106" t="s">
        <v>200</v>
      </c>
      <c r="I748" s="106"/>
      <c r="J748" s="106" t="s">
        <v>12</v>
      </c>
      <c r="K748" s="108" t="s">
        <v>12</v>
      </c>
      <c r="L748" s="109"/>
      <c r="M748" s="109">
        <f t="shared" si="461"/>
        <v>0</v>
      </c>
      <c r="N748" s="109"/>
      <c r="O748" s="109">
        <f t="shared" si="486"/>
        <v>0</v>
      </c>
      <c r="P748" s="110"/>
      <c r="Q748" s="109">
        <f t="shared" si="487"/>
        <v>0</v>
      </c>
      <c r="R748" s="111"/>
      <c r="S748" s="111"/>
      <c r="T748" s="106" t="s">
        <v>32</v>
      </c>
      <c r="U748" s="26"/>
      <c r="V748" s="26"/>
      <c r="W748" s="26"/>
      <c r="X748" s="26"/>
      <c r="Y748" s="26"/>
      <c r="Z748" s="26"/>
      <c r="AA748" s="26"/>
      <c r="AB748" s="26"/>
      <c r="AC748" s="26"/>
    </row>
    <row r="749" ht="33.75" customHeight="1">
      <c r="A749" s="106" t="s">
        <v>1278</v>
      </c>
      <c r="B749" s="107" t="s">
        <v>27</v>
      </c>
      <c r="C749" s="107" t="s">
        <v>1253</v>
      </c>
      <c r="D749" s="107" t="s">
        <v>1274</v>
      </c>
      <c r="E749" s="107" t="s">
        <v>1275</v>
      </c>
      <c r="F749" s="106" t="s">
        <v>1232</v>
      </c>
      <c r="G749" s="106" t="s">
        <v>200</v>
      </c>
      <c r="H749" s="106" t="s">
        <v>200</v>
      </c>
      <c r="I749" s="106"/>
      <c r="J749" s="106" t="s">
        <v>12</v>
      </c>
      <c r="K749" s="108" t="s">
        <v>12</v>
      </c>
      <c r="L749" s="109"/>
      <c r="M749" s="109">
        <f t="shared" si="461"/>
        <v>0</v>
      </c>
      <c r="N749" s="109"/>
      <c r="O749" s="109">
        <f t="shared" si="486"/>
        <v>0</v>
      </c>
      <c r="P749" s="110"/>
      <c r="Q749" s="109">
        <f t="shared" si="487"/>
        <v>0</v>
      </c>
      <c r="R749" s="111"/>
      <c r="S749" s="111"/>
      <c r="T749" s="106" t="s">
        <v>70</v>
      </c>
      <c r="U749" s="26"/>
      <c r="V749" s="26"/>
      <c r="W749" s="26"/>
      <c r="X749" s="26"/>
      <c r="Y749" s="26"/>
      <c r="Z749" s="26"/>
      <c r="AA749" s="26"/>
      <c r="AB749" s="26"/>
      <c r="AC749" s="26"/>
    </row>
    <row r="750" ht="33.75" customHeight="1">
      <c r="A750" s="54" t="s">
        <v>1279</v>
      </c>
      <c r="B750" s="209" t="s">
        <v>27</v>
      </c>
      <c r="C750" s="209" t="s">
        <v>1253</v>
      </c>
      <c r="D750" s="209" t="s">
        <v>1280</v>
      </c>
      <c r="E750" s="209" t="s">
        <v>1281</v>
      </c>
      <c r="F750" s="54" t="s">
        <v>1282</v>
      </c>
      <c r="G750" s="54" t="s">
        <v>168</v>
      </c>
      <c r="H750" s="54" t="s">
        <v>168</v>
      </c>
      <c r="I750" s="54"/>
      <c r="J750" s="54" t="s">
        <v>9</v>
      </c>
      <c r="K750" s="119" t="s">
        <v>9</v>
      </c>
      <c r="L750" s="202">
        <f>IF(COUNT(L751:N753)=0,"",SUM(L751:L753))</f>
        <v>3</v>
      </c>
      <c r="M750" s="202">
        <f t="shared" si="461"/>
        <v>3.625</v>
      </c>
      <c r="N750" s="202">
        <f>IF(COUNT(L751:N753)=0,"",SUM(N751:N753))</f>
        <v>4.25</v>
      </c>
      <c r="O750" s="202">
        <f>IF(COUNT(O751:O753)=0,"",SUM(O751:O753))</f>
        <v>3.625</v>
      </c>
      <c r="P750" s="210"/>
      <c r="Q750" s="202">
        <f>IF(COUNT(Q751:Q753)=0,"",SUM(Q751:Q753))</f>
        <v>3.625</v>
      </c>
      <c r="R750" s="163"/>
      <c r="S750" s="163"/>
      <c r="T750" s="54" t="s">
        <v>65</v>
      </c>
      <c r="U750" s="179"/>
      <c r="V750" s="179"/>
      <c r="W750" s="179"/>
      <c r="X750" s="105"/>
      <c r="Y750" s="105"/>
      <c r="Z750" s="105"/>
      <c r="AA750" s="105"/>
      <c r="AB750" s="179"/>
      <c r="AC750" s="105"/>
    </row>
    <row r="751" ht="33.75" customHeight="1">
      <c r="A751" s="65" t="s">
        <v>1283</v>
      </c>
      <c r="B751" s="215" t="s">
        <v>27</v>
      </c>
      <c r="C751" s="215" t="s">
        <v>1253</v>
      </c>
      <c r="D751" s="215" t="s">
        <v>1280</v>
      </c>
      <c r="E751" s="215" t="s">
        <v>1281</v>
      </c>
      <c r="F751" s="65" t="s">
        <v>1282</v>
      </c>
      <c r="G751" s="65" t="s">
        <v>168</v>
      </c>
      <c r="H751" s="65" t="s">
        <v>168</v>
      </c>
      <c r="I751" s="65"/>
      <c r="J751" s="65" t="s">
        <v>9</v>
      </c>
      <c r="K751" s="97" t="s">
        <v>9</v>
      </c>
      <c r="L751" s="129">
        <v>1.0</v>
      </c>
      <c r="M751" s="129">
        <f t="shared" si="461"/>
        <v>1.125</v>
      </c>
      <c r="N751" s="128">
        <v>1.25</v>
      </c>
      <c r="O751" s="129">
        <f t="shared" ref="O751:O753" si="488">IF(COUNT(L751:N751)=0,"",(L751+4*M751+N751)/6)</f>
        <v>1.125</v>
      </c>
      <c r="P751" s="159"/>
      <c r="Q751" s="208">
        <f t="shared" ref="Q751:Q753" si="489">IF(O751="","",IF(P751="",O751,O751*(1+P751)))</f>
        <v>1.125</v>
      </c>
      <c r="R751" s="132"/>
      <c r="S751" s="132"/>
      <c r="T751" s="65" t="s">
        <v>31</v>
      </c>
      <c r="U751" s="26"/>
      <c r="V751" s="26"/>
      <c r="W751" s="26"/>
      <c r="X751" s="26"/>
      <c r="Y751" s="26"/>
      <c r="Z751" s="26"/>
      <c r="AA751" s="26"/>
      <c r="AB751" s="26"/>
      <c r="AC751" s="26"/>
    </row>
    <row r="752" ht="33.75" customHeight="1">
      <c r="A752" s="65" t="s">
        <v>1284</v>
      </c>
      <c r="B752" s="215" t="s">
        <v>27</v>
      </c>
      <c r="C752" s="215" t="s">
        <v>1253</v>
      </c>
      <c r="D752" s="215" t="s">
        <v>1280</v>
      </c>
      <c r="E752" s="215" t="s">
        <v>1281</v>
      </c>
      <c r="F752" s="65" t="s">
        <v>1282</v>
      </c>
      <c r="G752" s="65" t="s">
        <v>168</v>
      </c>
      <c r="H752" s="65" t="s">
        <v>168</v>
      </c>
      <c r="I752" s="65"/>
      <c r="J752" s="65" t="s">
        <v>9</v>
      </c>
      <c r="K752" s="97" t="s">
        <v>9</v>
      </c>
      <c r="L752" s="129">
        <v>1.5</v>
      </c>
      <c r="M752" s="129">
        <f t="shared" si="461"/>
        <v>1.75</v>
      </c>
      <c r="N752" s="128">
        <v>2.0</v>
      </c>
      <c r="O752" s="129">
        <f t="shared" si="488"/>
        <v>1.75</v>
      </c>
      <c r="P752" s="159"/>
      <c r="Q752" s="208">
        <f t="shared" si="489"/>
        <v>1.75</v>
      </c>
      <c r="R752" s="132"/>
      <c r="S752" s="132"/>
      <c r="T752" s="65" t="s">
        <v>32</v>
      </c>
      <c r="U752" s="26"/>
      <c r="V752" s="26"/>
      <c r="W752" s="26"/>
      <c r="X752" s="26"/>
      <c r="Y752" s="26"/>
      <c r="Z752" s="26"/>
      <c r="AA752" s="26"/>
      <c r="AB752" s="26"/>
      <c r="AC752" s="26"/>
    </row>
    <row r="753" ht="33.75" customHeight="1">
      <c r="A753" s="65" t="s">
        <v>1285</v>
      </c>
      <c r="B753" s="215" t="s">
        <v>27</v>
      </c>
      <c r="C753" s="215" t="s">
        <v>1253</v>
      </c>
      <c r="D753" s="215" t="s">
        <v>1280</v>
      </c>
      <c r="E753" s="215" t="s">
        <v>1281</v>
      </c>
      <c r="F753" s="65" t="s">
        <v>1282</v>
      </c>
      <c r="G753" s="65" t="s">
        <v>168</v>
      </c>
      <c r="H753" s="65" t="s">
        <v>168</v>
      </c>
      <c r="I753" s="65"/>
      <c r="J753" s="65" t="s">
        <v>9</v>
      </c>
      <c r="K753" s="97" t="s">
        <v>9</v>
      </c>
      <c r="L753" s="129">
        <v>0.5</v>
      </c>
      <c r="M753" s="129">
        <f t="shared" si="461"/>
        <v>0.75</v>
      </c>
      <c r="N753" s="128">
        <v>1.0</v>
      </c>
      <c r="O753" s="129">
        <f t="shared" si="488"/>
        <v>0.75</v>
      </c>
      <c r="P753" s="159"/>
      <c r="Q753" s="208">
        <f t="shared" si="489"/>
        <v>0.75</v>
      </c>
      <c r="R753" s="132"/>
      <c r="S753" s="132"/>
      <c r="T753" s="65" t="s">
        <v>70</v>
      </c>
      <c r="U753" s="26"/>
      <c r="V753" s="26"/>
      <c r="W753" s="26"/>
      <c r="X753" s="26"/>
      <c r="Y753" s="26"/>
      <c r="Z753" s="26"/>
      <c r="AA753" s="26"/>
      <c r="AB753" s="26"/>
      <c r="AC753" s="26"/>
    </row>
    <row r="754" ht="33.75" customHeight="1">
      <c r="A754" s="45" t="s">
        <v>1286</v>
      </c>
      <c r="B754" s="212" t="s">
        <v>27</v>
      </c>
      <c r="C754" s="212" t="s">
        <v>1287</v>
      </c>
      <c r="D754" s="212" t="s">
        <v>1287</v>
      </c>
      <c r="E754" s="212" t="s">
        <v>1288</v>
      </c>
      <c r="F754" s="45"/>
      <c r="G754" s="45"/>
      <c r="H754" s="45"/>
      <c r="I754" s="45"/>
      <c r="J754" s="45"/>
      <c r="K754" s="123"/>
      <c r="L754" s="213">
        <f>IF(COUNT(L755,L759,L763,L767)=0,"",SUM(L755,L759,L763,L767))</f>
        <v>6.75</v>
      </c>
      <c r="M754" s="213">
        <f t="shared" si="461"/>
        <v>7.875</v>
      </c>
      <c r="N754" s="213">
        <f t="shared" ref="N754:O754" si="490">IF(COUNT(N755,N759,N763,N767)=0,"",SUM(N755,N759,N763,N767))</f>
        <v>9</v>
      </c>
      <c r="O754" s="213">
        <f t="shared" si="490"/>
        <v>7.875</v>
      </c>
      <c r="P754" s="214"/>
      <c r="Q754" s="213">
        <f>IF(COUNT(Q755,Q759,Q763,Q767)=0,"",SUM(Q755,Q759,Q763,Q767))</f>
        <v>7.875</v>
      </c>
      <c r="R754" s="126"/>
      <c r="S754" s="126"/>
      <c r="T754" s="45" t="s">
        <v>62</v>
      </c>
      <c r="U754" s="26"/>
      <c r="V754" s="26"/>
      <c r="W754" s="26"/>
      <c r="X754" s="46">
        <f t="shared" ref="X754:AA754" si="491">L754</f>
        <v>6.75</v>
      </c>
      <c r="Y754" s="46">
        <f t="shared" si="491"/>
        <v>7.875</v>
      </c>
      <c r="Z754" s="46">
        <f t="shared" si="491"/>
        <v>9</v>
      </c>
      <c r="AA754" s="46">
        <f t="shared" si="491"/>
        <v>7.875</v>
      </c>
      <c r="AB754" s="26"/>
      <c r="AC754" s="46">
        <f>Q754</f>
        <v>7.875</v>
      </c>
    </row>
    <row r="755" ht="33.75" customHeight="1">
      <c r="A755" s="54" t="s">
        <v>1289</v>
      </c>
      <c r="B755" s="209" t="s">
        <v>27</v>
      </c>
      <c r="C755" s="209" t="s">
        <v>1287</v>
      </c>
      <c r="D755" s="209" t="s">
        <v>1290</v>
      </c>
      <c r="E755" s="209" t="s">
        <v>1291</v>
      </c>
      <c r="F755" s="54" t="s">
        <v>1292</v>
      </c>
      <c r="G755" s="54" t="s">
        <v>200</v>
      </c>
      <c r="H755" s="54" t="s">
        <v>200</v>
      </c>
      <c r="I755" s="54"/>
      <c r="J755" s="54" t="s">
        <v>9</v>
      </c>
      <c r="K755" s="119" t="s">
        <v>9</v>
      </c>
      <c r="L755" s="202">
        <f>IF(COUNT(L756:N758)=0,"",SUM(L756:L758))</f>
        <v>3.5</v>
      </c>
      <c r="M755" s="202">
        <f t="shared" si="461"/>
        <v>3.875</v>
      </c>
      <c r="N755" s="202">
        <f>IF(COUNT(L756:N758)=0,"",SUM(N756:N758))</f>
        <v>4.25</v>
      </c>
      <c r="O755" s="202">
        <f>IF(COUNT(O756:O758)=0,"",SUM(O756:O758))</f>
        <v>3.875</v>
      </c>
      <c r="P755" s="210"/>
      <c r="Q755" s="202">
        <f>IF(COUNT(Q756:Q758)=0,"",SUM(Q756:Q758))</f>
        <v>3.875</v>
      </c>
      <c r="R755" s="163"/>
      <c r="S755" s="163"/>
      <c r="T755" s="54" t="s">
        <v>65</v>
      </c>
      <c r="U755" s="179"/>
      <c r="V755" s="179"/>
      <c r="W755" s="179"/>
      <c r="X755" s="105"/>
      <c r="Y755" s="105"/>
      <c r="Z755" s="105"/>
      <c r="AA755" s="105"/>
      <c r="AB755" s="179"/>
      <c r="AC755" s="105"/>
    </row>
    <row r="756" ht="33.75" customHeight="1">
      <c r="A756" s="65" t="s">
        <v>1293</v>
      </c>
      <c r="B756" s="215" t="s">
        <v>27</v>
      </c>
      <c r="C756" s="215" t="s">
        <v>1287</v>
      </c>
      <c r="D756" s="215" t="s">
        <v>1290</v>
      </c>
      <c r="E756" s="215" t="s">
        <v>1291</v>
      </c>
      <c r="F756" s="65" t="s">
        <v>1292</v>
      </c>
      <c r="G756" s="65" t="s">
        <v>200</v>
      </c>
      <c r="H756" s="65" t="s">
        <v>200</v>
      </c>
      <c r="I756" s="65"/>
      <c r="J756" s="65" t="s">
        <v>9</v>
      </c>
      <c r="K756" s="97" t="s">
        <v>9</v>
      </c>
      <c r="L756" s="129">
        <v>1.0</v>
      </c>
      <c r="M756" s="129">
        <f t="shared" si="461"/>
        <v>1.25</v>
      </c>
      <c r="N756" s="128">
        <v>1.5</v>
      </c>
      <c r="O756" s="129">
        <f t="shared" ref="O756:O758" si="492">IF(COUNT(L756:N756)=0,"",(L756+4*M756+N756)/6)</f>
        <v>1.25</v>
      </c>
      <c r="P756" s="159"/>
      <c r="Q756" s="208">
        <f t="shared" ref="Q756:Q758" si="493">IF(O756="","",IF(P756="",O756,O756*(1+P756)))</f>
        <v>1.25</v>
      </c>
      <c r="R756" s="132"/>
      <c r="S756" s="132"/>
      <c r="T756" s="65" t="s">
        <v>31</v>
      </c>
      <c r="U756" s="26"/>
      <c r="V756" s="26"/>
      <c r="W756" s="26"/>
      <c r="X756" s="26"/>
      <c r="Y756" s="26"/>
      <c r="Z756" s="26"/>
      <c r="AA756" s="26"/>
      <c r="AB756" s="26"/>
      <c r="AC756" s="26"/>
    </row>
    <row r="757" ht="33.75" customHeight="1">
      <c r="A757" s="65" t="s">
        <v>1294</v>
      </c>
      <c r="B757" s="215" t="s">
        <v>27</v>
      </c>
      <c r="C757" s="215" t="s">
        <v>1287</v>
      </c>
      <c r="D757" s="215" t="s">
        <v>1290</v>
      </c>
      <c r="E757" s="215" t="s">
        <v>1291</v>
      </c>
      <c r="F757" s="65" t="s">
        <v>1292</v>
      </c>
      <c r="G757" s="65" t="s">
        <v>200</v>
      </c>
      <c r="H757" s="65" t="s">
        <v>200</v>
      </c>
      <c r="I757" s="65"/>
      <c r="J757" s="65" t="s">
        <v>9</v>
      </c>
      <c r="K757" s="97" t="s">
        <v>9</v>
      </c>
      <c r="L757" s="129">
        <v>2.0</v>
      </c>
      <c r="M757" s="129">
        <f t="shared" si="461"/>
        <v>2</v>
      </c>
      <c r="N757" s="128">
        <v>2.0</v>
      </c>
      <c r="O757" s="129">
        <f t="shared" si="492"/>
        <v>2</v>
      </c>
      <c r="P757" s="159"/>
      <c r="Q757" s="208">
        <f t="shared" si="493"/>
        <v>2</v>
      </c>
      <c r="R757" s="132"/>
      <c r="S757" s="132"/>
      <c r="T757" s="65" t="s">
        <v>32</v>
      </c>
      <c r="U757" s="26"/>
      <c r="V757" s="26"/>
      <c r="W757" s="26"/>
      <c r="X757" s="26"/>
      <c r="Y757" s="26"/>
      <c r="Z757" s="26"/>
      <c r="AA757" s="26"/>
      <c r="AB757" s="26"/>
      <c r="AC757" s="26"/>
    </row>
    <row r="758" ht="33.75" customHeight="1">
      <c r="A758" s="65" t="s">
        <v>1295</v>
      </c>
      <c r="B758" s="215" t="s">
        <v>27</v>
      </c>
      <c r="C758" s="215" t="s">
        <v>1287</v>
      </c>
      <c r="D758" s="215" t="s">
        <v>1290</v>
      </c>
      <c r="E758" s="215" t="s">
        <v>1291</v>
      </c>
      <c r="F758" s="65" t="s">
        <v>1292</v>
      </c>
      <c r="G758" s="65" t="s">
        <v>200</v>
      </c>
      <c r="H758" s="65" t="s">
        <v>200</v>
      </c>
      <c r="I758" s="65"/>
      <c r="J758" s="65" t="s">
        <v>9</v>
      </c>
      <c r="K758" s="97" t="s">
        <v>9</v>
      </c>
      <c r="L758" s="129">
        <v>0.5</v>
      </c>
      <c r="M758" s="129">
        <f t="shared" si="461"/>
        <v>0.625</v>
      </c>
      <c r="N758" s="128">
        <v>0.75</v>
      </c>
      <c r="O758" s="129">
        <f t="shared" si="492"/>
        <v>0.625</v>
      </c>
      <c r="P758" s="159"/>
      <c r="Q758" s="208">
        <f t="shared" si="493"/>
        <v>0.625</v>
      </c>
      <c r="R758" s="132"/>
      <c r="S758" s="132"/>
      <c r="T758" s="65" t="s">
        <v>70</v>
      </c>
      <c r="U758" s="26"/>
      <c r="V758" s="26"/>
      <c r="W758" s="26"/>
      <c r="X758" s="26"/>
      <c r="Y758" s="26"/>
      <c r="Z758" s="26"/>
      <c r="AA758" s="26"/>
      <c r="AB758" s="26"/>
      <c r="AC758" s="26"/>
    </row>
    <row r="759" ht="33.75" customHeight="1">
      <c r="A759" s="54" t="s">
        <v>1296</v>
      </c>
      <c r="B759" s="209" t="s">
        <v>27</v>
      </c>
      <c r="C759" s="209" t="s">
        <v>1287</v>
      </c>
      <c r="D759" s="209" t="s">
        <v>1297</v>
      </c>
      <c r="E759" s="209" t="s">
        <v>1298</v>
      </c>
      <c r="F759" s="54" t="s">
        <v>1299</v>
      </c>
      <c r="G759" s="54" t="s">
        <v>168</v>
      </c>
      <c r="H759" s="54" t="s">
        <v>168</v>
      </c>
      <c r="I759" s="54"/>
      <c r="J759" s="54" t="s">
        <v>9</v>
      </c>
      <c r="K759" s="119" t="s">
        <v>9</v>
      </c>
      <c r="L759" s="202">
        <f>IF(COUNT(L760:N762)=0,"",SUM(L760:L762))</f>
        <v>1.75</v>
      </c>
      <c r="M759" s="202">
        <f t="shared" si="461"/>
        <v>2.125</v>
      </c>
      <c r="N759" s="202">
        <f>IF(COUNT(L760:N762)=0,"",SUM(N760:N762))</f>
        <v>2.5</v>
      </c>
      <c r="O759" s="202">
        <f>IF(COUNT(O760:O762)=0,"",SUM(O760:O762))</f>
        <v>2.125</v>
      </c>
      <c r="P759" s="210"/>
      <c r="Q759" s="202">
        <f>IF(COUNT(Q760:Q762)=0,"",SUM(Q760:Q762))</f>
        <v>2.125</v>
      </c>
      <c r="R759" s="163"/>
      <c r="S759" s="163"/>
      <c r="T759" s="54" t="s">
        <v>65</v>
      </c>
      <c r="U759" s="179"/>
      <c r="V759" s="179"/>
      <c r="W759" s="179"/>
      <c r="X759" s="105"/>
      <c r="Y759" s="105"/>
      <c r="Z759" s="105"/>
      <c r="AA759" s="105"/>
      <c r="AB759" s="179"/>
      <c r="AC759" s="105"/>
    </row>
    <row r="760" ht="33.75" customHeight="1">
      <c r="A760" s="65" t="s">
        <v>1300</v>
      </c>
      <c r="B760" s="215" t="s">
        <v>27</v>
      </c>
      <c r="C760" s="215" t="s">
        <v>1287</v>
      </c>
      <c r="D760" s="215" t="s">
        <v>1297</v>
      </c>
      <c r="E760" s="215" t="s">
        <v>1298</v>
      </c>
      <c r="F760" s="65" t="s">
        <v>1299</v>
      </c>
      <c r="G760" s="65" t="s">
        <v>168</v>
      </c>
      <c r="H760" s="65" t="s">
        <v>168</v>
      </c>
      <c r="I760" s="65"/>
      <c r="J760" s="65" t="s">
        <v>9</v>
      </c>
      <c r="K760" s="97" t="s">
        <v>9</v>
      </c>
      <c r="L760" s="129">
        <v>0.5</v>
      </c>
      <c r="M760" s="129">
        <f t="shared" si="461"/>
        <v>0.625</v>
      </c>
      <c r="N760" s="128">
        <v>0.75</v>
      </c>
      <c r="O760" s="129">
        <f t="shared" ref="O760:O762" si="494">IF(COUNT(L760:N760)=0,"",(L760+4*M760+N760)/6)</f>
        <v>0.625</v>
      </c>
      <c r="P760" s="159"/>
      <c r="Q760" s="208">
        <f t="shared" ref="Q760:Q762" si="495">IF(O760="","",IF(P760="",O760,O760*(1+P760)))</f>
        <v>0.625</v>
      </c>
      <c r="R760" s="132"/>
      <c r="S760" s="132"/>
      <c r="T760" s="65" t="s">
        <v>31</v>
      </c>
      <c r="U760" s="26"/>
      <c r="V760" s="26"/>
      <c r="W760" s="26"/>
      <c r="X760" s="26"/>
      <c r="Y760" s="26"/>
      <c r="Z760" s="26"/>
      <c r="AA760" s="26"/>
      <c r="AB760" s="26"/>
      <c r="AC760" s="26"/>
    </row>
    <row r="761" ht="33.75" customHeight="1">
      <c r="A761" s="65" t="s">
        <v>1301</v>
      </c>
      <c r="B761" s="215" t="s">
        <v>27</v>
      </c>
      <c r="C761" s="215" t="s">
        <v>1287</v>
      </c>
      <c r="D761" s="215" t="s">
        <v>1297</v>
      </c>
      <c r="E761" s="215" t="s">
        <v>1298</v>
      </c>
      <c r="F761" s="65" t="s">
        <v>1299</v>
      </c>
      <c r="G761" s="65" t="s">
        <v>168</v>
      </c>
      <c r="H761" s="65" t="s">
        <v>168</v>
      </c>
      <c r="I761" s="65"/>
      <c r="J761" s="65" t="s">
        <v>9</v>
      </c>
      <c r="K761" s="97" t="s">
        <v>9</v>
      </c>
      <c r="L761" s="129">
        <v>1.0</v>
      </c>
      <c r="M761" s="129">
        <f t="shared" si="461"/>
        <v>1.125</v>
      </c>
      <c r="N761" s="128">
        <v>1.25</v>
      </c>
      <c r="O761" s="129">
        <f t="shared" si="494"/>
        <v>1.125</v>
      </c>
      <c r="P761" s="159"/>
      <c r="Q761" s="208">
        <f t="shared" si="495"/>
        <v>1.125</v>
      </c>
      <c r="R761" s="132"/>
      <c r="S761" s="132"/>
      <c r="T761" s="65" t="s">
        <v>32</v>
      </c>
      <c r="U761" s="26"/>
      <c r="V761" s="26"/>
      <c r="W761" s="26"/>
      <c r="X761" s="26"/>
      <c r="Y761" s="26"/>
      <c r="Z761" s="26"/>
      <c r="AA761" s="26"/>
      <c r="AB761" s="26"/>
      <c r="AC761" s="26"/>
    </row>
    <row r="762" ht="33.75" customHeight="1">
      <c r="A762" s="65" t="s">
        <v>1302</v>
      </c>
      <c r="B762" s="215" t="s">
        <v>27</v>
      </c>
      <c r="C762" s="215" t="s">
        <v>1287</v>
      </c>
      <c r="D762" s="215" t="s">
        <v>1297</v>
      </c>
      <c r="E762" s="215" t="s">
        <v>1298</v>
      </c>
      <c r="F762" s="65" t="s">
        <v>1299</v>
      </c>
      <c r="G762" s="65" t="s">
        <v>168</v>
      </c>
      <c r="H762" s="65" t="s">
        <v>168</v>
      </c>
      <c r="I762" s="65"/>
      <c r="J762" s="65" t="s">
        <v>9</v>
      </c>
      <c r="K762" s="97" t="s">
        <v>9</v>
      </c>
      <c r="L762" s="129">
        <v>0.25</v>
      </c>
      <c r="M762" s="129">
        <f t="shared" si="461"/>
        <v>0.375</v>
      </c>
      <c r="N762" s="128">
        <v>0.5</v>
      </c>
      <c r="O762" s="129">
        <f t="shared" si="494"/>
        <v>0.375</v>
      </c>
      <c r="P762" s="159"/>
      <c r="Q762" s="208">
        <f t="shared" si="495"/>
        <v>0.375</v>
      </c>
      <c r="R762" s="132"/>
      <c r="S762" s="132"/>
      <c r="T762" s="65" t="s">
        <v>70</v>
      </c>
      <c r="U762" s="26"/>
      <c r="V762" s="26"/>
      <c r="W762" s="26"/>
      <c r="X762" s="26"/>
      <c r="Y762" s="26"/>
      <c r="Z762" s="26"/>
      <c r="AA762" s="26"/>
      <c r="AB762" s="26"/>
      <c r="AC762" s="26"/>
    </row>
    <row r="763" ht="33.75" customHeight="1">
      <c r="A763" s="54" t="s">
        <v>1303</v>
      </c>
      <c r="B763" s="209" t="s">
        <v>27</v>
      </c>
      <c r="C763" s="209" t="s">
        <v>1287</v>
      </c>
      <c r="D763" s="209" t="s">
        <v>1304</v>
      </c>
      <c r="E763" s="209" t="s">
        <v>1305</v>
      </c>
      <c r="F763" s="54" t="s">
        <v>1306</v>
      </c>
      <c r="G763" s="54" t="s">
        <v>168</v>
      </c>
      <c r="H763" s="54" t="s">
        <v>168</v>
      </c>
      <c r="I763" s="54"/>
      <c r="J763" s="54" t="s">
        <v>9</v>
      </c>
      <c r="K763" s="119" t="s">
        <v>9</v>
      </c>
      <c r="L763" s="202">
        <f>IF(COUNT(L764:N766)=0,"",SUM(L764:L766))</f>
        <v>1.5</v>
      </c>
      <c r="M763" s="202">
        <f t="shared" si="461"/>
        <v>1.875</v>
      </c>
      <c r="N763" s="202">
        <f>IF(COUNT(L764:N766)=0,"",SUM(N764:N766))</f>
        <v>2.25</v>
      </c>
      <c r="O763" s="202">
        <f>IF(COUNT(O764:O766)=0,"",SUM(O764:O766))</f>
        <v>1.875</v>
      </c>
      <c r="P763" s="210"/>
      <c r="Q763" s="202">
        <f>IF(COUNT(Q764:Q766)=0,"",SUM(Q764:Q766))</f>
        <v>1.875</v>
      </c>
      <c r="R763" s="163"/>
      <c r="S763" s="163"/>
      <c r="T763" s="54" t="s">
        <v>65</v>
      </c>
      <c r="U763" s="179"/>
      <c r="V763" s="179"/>
      <c r="W763" s="179"/>
      <c r="X763" s="105"/>
      <c r="Y763" s="105"/>
      <c r="Z763" s="105"/>
      <c r="AA763" s="105"/>
      <c r="AB763" s="179"/>
      <c r="AC763" s="105"/>
    </row>
    <row r="764" ht="33.75" customHeight="1">
      <c r="A764" s="65" t="s">
        <v>1307</v>
      </c>
      <c r="B764" s="215" t="s">
        <v>27</v>
      </c>
      <c r="C764" s="215" t="s">
        <v>1287</v>
      </c>
      <c r="D764" s="215" t="s">
        <v>1304</v>
      </c>
      <c r="E764" s="215" t="s">
        <v>1305</v>
      </c>
      <c r="F764" s="65" t="s">
        <v>1306</v>
      </c>
      <c r="G764" s="65" t="s">
        <v>168</v>
      </c>
      <c r="H764" s="65" t="s">
        <v>168</v>
      </c>
      <c r="I764" s="65"/>
      <c r="J764" s="65" t="s">
        <v>9</v>
      </c>
      <c r="K764" s="97" t="s">
        <v>9</v>
      </c>
      <c r="L764" s="129">
        <v>0.5</v>
      </c>
      <c r="M764" s="129">
        <f t="shared" si="461"/>
        <v>0.625</v>
      </c>
      <c r="N764" s="128">
        <v>0.75</v>
      </c>
      <c r="O764" s="129">
        <f t="shared" ref="O764:O766" si="496">IF(COUNT(L764:N764)=0,"",(L764+4*M764+N764)/6)</f>
        <v>0.625</v>
      </c>
      <c r="P764" s="159"/>
      <c r="Q764" s="208">
        <f t="shared" ref="Q764:Q766" si="497">IF(O764="","",IF(P764="",O764,O764*(1+P764)))</f>
        <v>0.625</v>
      </c>
      <c r="R764" s="132"/>
      <c r="S764" s="132"/>
      <c r="T764" s="65" t="s">
        <v>31</v>
      </c>
      <c r="U764" s="26"/>
      <c r="V764" s="26"/>
      <c r="W764" s="26"/>
      <c r="X764" s="26"/>
      <c r="Y764" s="26"/>
      <c r="Z764" s="26"/>
      <c r="AA764" s="26"/>
      <c r="AB764" s="26"/>
      <c r="AC764" s="26"/>
    </row>
    <row r="765" ht="33.75" customHeight="1">
      <c r="A765" s="65" t="s">
        <v>1308</v>
      </c>
      <c r="B765" s="215" t="s">
        <v>27</v>
      </c>
      <c r="C765" s="215" t="s">
        <v>1287</v>
      </c>
      <c r="D765" s="215" t="s">
        <v>1304</v>
      </c>
      <c r="E765" s="215" t="s">
        <v>1305</v>
      </c>
      <c r="F765" s="65" t="s">
        <v>1306</v>
      </c>
      <c r="G765" s="65" t="s">
        <v>168</v>
      </c>
      <c r="H765" s="65" t="s">
        <v>168</v>
      </c>
      <c r="I765" s="65"/>
      <c r="J765" s="65" t="s">
        <v>9</v>
      </c>
      <c r="K765" s="97" t="s">
        <v>9</v>
      </c>
      <c r="L765" s="129">
        <v>0.75</v>
      </c>
      <c r="M765" s="129">
        <f t="shared" si="461"/>
        <v>0.875</v>
      </c>
      <c r="N765" s="128">
        <v>1.0</v>
      </c>
      <c r="O765" s="129">
        <f t="shared" si="496"/>
        <v>0.875</v>
      </c>
      <c r="P765" s="159"/>
      <c r="Q765" s="208">
        <f t="shared" si="497"/>
        <v>0.875</v>
      </c>
      <c r="R765" s="132"/>
      <c r="S765" s="132"/>
      <c r="T765" s="65" t="s">
        <v>32</v>
      </c>
      <c r="U765" s="26"/>
      <c r="V765" s="26"/>
      <c r="W765" s="26"/>
      <c r="X765" s="26"/>
      <c r="Y765" s="26"/>
      <c r="Z765" s="26"/>
      <c r="AA765" s="26"/>
      <c r="AB765" s="26"/>
      <c r="AC765" s="26"/>
    </row>
    <row r="766" ht="33.75" customHeight="1">
      <c r="A766" s="65" t="s">
        <v>1309</v>
      </c>
      <c r="B766" s="215" t="s">
        <v>27</v>
      </c>
      <c r="C766" s="215" t="s">
        <v>1287</v>
      </c>
      <c r="D766" s="215" t="s">
        <v>1304</v>
      </c>
      <c r="E766" s="215" t="s">
        <v>1305</v>
      </c>
      <c r="F766" s="65" t="s">
        <v>1306</v>
      </c>
      <c r="G766" s="65" t="s">
        <v>168</v>
      </c>
      <c r="H766" s="65" t="s">
        <v>168</v>
      </c>
      <c r="I766" s="65"/>
      <c r="J766" s="65" t="s">
        <v>9</v>
      </c>
      <c r="K766" s="97" t="s">
        <v>9</v>
      </c>
      <c r="L766" s="129">
        <v>0.25</v>
      </c>
      <c r="M766" s="129">
        <f t="shared" si="461"/>
        <v>0.375</v>
      </c>
      <c r="N766" s="128">
        <v>0.5</v>
      </c>
      <c r="O766" s="129">
        <f t="shared" si="496"/>
        <v>0.375</v>
      </c>
      <c r="P766" s="159"/>
      <c r="Q766" s="208">
        <f t="shared" si="497"/>
        <v>0.375</v>
      </c>
      <c r="R766" s="132"/>
      <c r="S766" s="132"/>
      <c r="T766" s="65" t="s">
        <v>70</v>
      </c>
      <c r="U766" s="26"/>
      <c r="V766" s="26"/>
      <c r="W766" s="26"/>
      <c r="X766" s="26"/>
      <c r="Y766" s="26"/>
      <c r="Z766" s="26"/>
      <c r="AA766" s="26"/>
      <c r="AB766" s="26"/>
      <c r="AC766" s="26"/>
    </row>
    <row r="767" ht="33.75" customHeight="1">
      <c r="A767" s="98" t="s">
        <v>1310</v>
      </c>
      <c r="B767" s="99" t="s">
        <v>27</v>
      </c>
      <c r="C767" s="99" t="s">
        <v>1287</v>
      </c>
      <c r="D767" s="99" t="s">
        <v>1311</v>
      </c>
      <c r="E767" s="99" t="s">
        <v>1312</v>
      </c>
      <c r="F767" s="98" t="s">
        <v>1239</v>
      </c>
      <c r="G767" s="98" t="s">
        <v>168</v>
      </c>
      <c r="H767" s="98" t="s">
        <v>168</v>
      </c>
      <c r="I767" s="98"/>
      <c r="J767" s="98" t="s">
        <v>12</v>
      </c>
      <c r="K767" s="100" t="s">
        <v>12</v>
      </c>
      <c r="L767" s="101">
        <f>IF(COUNT(L768:N770)=0,"",SUM(L768:L770))</f>
        <v>0</v>
      </c>
      <c r="M767" s="102">
        <f t="shared" si="461"/>
        <v>0</v>
      </c>
      <c r="N767" s="101">
        <f>IF(COUNT(L768:N770)=0,"",SUM(N768:N770))</f>
        <v>0</v>
      </c>
      <c r="O767" s="101">
        <f>IF(COUNT(O768:O770)=0,"",SUM(O768:O770))</f>
        <v>0</v>
      </c>
      <c r="P767" s="103"/>
      <c r="Q767" s="101">
        <f>IF(COUNT(Q768:Q770)=0,"",SUM(Q768:Q770))</f>
        <v>0</v>
      </c>
      <c r="R767" s="104"/>
      <c r="S767" s="104"/>
      <c r="T767" s="98" t="s">
        <v>65</v>
      </c>
      <c r="U767" s="179"/>
      <c r="V767" s="179"/>
      <c r="W767" s="179"/>
      <c r="X767" s="105"/>
      <c r="Y767" s="105"/>
      <c r="Z767" s="105"/>
      <c r="AA767" s="105"/>
      <c r="AB767" s="179"/>
      <c r="AC767" s="105"/>
    </row>
    <row r="768" ht="33.75" customHeight="1">
      <c r="A768" s="106" t="s">
        <v>1313</v>
      </c>
      <c r="B768" s="107" t="s">
        <v>27</v>
      </c>
      <c r="C768" s="107" t="s">
        <v>1287</v>
      </c>
      <c r="D768" s="107" t="s">
        <v>1311</v>
      </c>
      <c r="E768" s="107" t="s">
        <v>1312</v>
      </c>
      <c r="F768" s="106" t="s">
        <v>1239</v>
      </c>
      <c r="G768" s="106" t="s">
        <v>168</v>
      </c>
      <c r="H768" s="106" t="s">
        <v>168</v>
      </c>
      <c r="I768" s="106"/>
      <c r="J768" s="106" t="s">
        <v>12</v>
      </c>
      <c r="K768" s="108" t="s">
        <v>12</v>
      </c>
      <c r="L768" s="109"/>
      <c r="M768" s="109">
        <f t="shared" si="461"/>
        <v>0</v>
      </c>
      <c r="N768" s="109"/>
      <c r="O768" s="109">
        <f t="shared" ref="O768:O770" si="498">IF(COUNT(L768:N768)=0,"",(L768+4*M768+N768)/6)</f>
        <v>0</v>
      </c>
      <c r="P768" s="110"/>
      <c r="Q768" s="109">
        <f t="shared" ref="Q768:Q770" si="499">IF(O768="","",IF(P768="",O768,O768*(1+P768)))</f>
        <v>0</v>
      </c>
      <c r="R768" s="111"/>
      <c r="S768" s="111"/>
      <c r="T768" s="106" t="s">
        <v>31</v>
      </c>
      <c r="U768" s="26"/>
      <c r="V768" s="26"/>
      <c r="W768" s="26"/>
      <c r="X768" s="26"/>
      <c r="Y768" s="26"/>
      <c r="Z768" s="26"/>
      <c r="AA768" s="26"/>
      <c r="AB768" s="26"/>
      <c r="AC768" s="26"/>
    </row>
    <row r="769" ht="33.75" customHeight="1">
      <c r="A769" s="106" t="s">
        <v>1314</v>
      </c>
      <c r="B769" s="107" t="s">
        <v>27</v>
      </c>
      <c r="C769" s="107" t="s">
        <v>1287</v>
      </c>
      <c r="D769" s="107" t="s">
        <v>1311</v>
      </c>
      <c r="E769" s="107" t="s">
        <v>1312</v>
      </c>
      <c r="F769" s="106" t="s">
        <v>1239</v>
      </c>
      <c r="G769" s="106" t="s">
        <v>168</v>
      </c>
      <c r="H769" s="106" t="s">
        <v>168</v>
      </c>
      <c r="I769" s="106"/>
      <c r="J769" s="106" t="s">
        <v>12</v>
      </c>
      <c r="K769" s="108" t="s">
        <v>12</v>
      </c>
      <c r="L769" s="109"/>
      <c r="M769" s="109">
        <f t="shared" si="461"/>
        <v>0</v>
      </c>
      <c r="N769" s="109"/>
      <c r="O769" s="109">
        <f t="shared" si="498"/>
        <v>0</v>
      </c>
      <c r="P769" s="110"/>
      <c r="Q769" s="109">
        <f t="shared" si="499"/>
        <v>0</v>
      </c>
      <c r="R769" s="111"/>
      <c r="S769" s="111"/>
      <c r="T769" s="106" t="s">
        <v>32</v>
      </c>
      <c r="U769" s="26"/>
      <c r="V769" s="26"/>
      <c r="W769" s="26"/>
      <c r="X769" s="26"/>
      <c r="Y769" s="26"/>
      <c r="Z769" s="26"/>
      <c r="AA769" s="26"/>
      <c r="AB769" s="26"/>
      <c r="AC769" s="26"/>
    </row>
    <row r="770" ht="33.75" customHeight="1">
      <c r="A770" s="106" t="s">
        <v>1315</v>
      </c>
      <c r="B770" s="107" t="s">
        <v>27</v>
      </c>
      <c r="C770" s="107" t="s">
        <v>1287</v>
      </c>
      <c r="D770" s="107" t="s">
        <v>1311</v>
      </c>
      <c r="E770" s="107" t="s">
        <v>1312</v>
      </c>
      <c r="F770" s="106" t="s">
        <v>1239</v>
      </c>
      <c r="G770" s="106" t="s">
        <v>168</v>
      </c>
      <c r="H770" s="106" t="s">
        <v>168</v>
      </c>
      <c r="I770" s="106"/>
      <c r="J770" s="106" t="s">
        <v>12</v>
      </c>
      <c r="K770" s="108" t="s">
        <v>12</v>
      </c>
      <c r="L770" s="109"/>
      <c r="M770" s="109">
        <f t="shared" si="461"/>
        <v>0</v>
      </c>
      <c r="N770" s="109"/>
      <c r="O770" s="109">
        <f t="shared" si="498"/>
        <v>0</v>
      </c>
      <c r="P770" s="110"/>
      <c r="Q770" s="109">
        <f t="shared" si="499"/>
        <v>0</v>
      </c>
      <c r="R770" s="111"/>
      <c r="S770" s="111"/>
      <c r="T770" s="106" t="s">
        <v>70</v>
      </c>
      <c r="U770" s="26"/>
      <c r="V770" s="26"/>
      <c r="W770" s="26"/>
      <c r="X770" s="26"/>
      <c r="Y770" s="26"/>
      <c r="Z770" s="26"/>
      <c r="AA770" s="26"/>
      <c r="AB770" s="26"/>
      <c r="AC770" s="26"/>
    </row>
    <row r="771" ht="33.75" customHeight="1">
      <c r="A771" s="45" t="s">
        <v>1316</v>
      </c>
      <c r="B771" s="212" t="s">
        <v>27</v>
      </c>
      <c r="C771" s="212" t="s">
        <v>1317</v>
      </c>
      <c r="D771" s="212" t="s">
        <v>1317</v>
      </c>
      <c r="E771" s="212" t="s">
        <v>1318</v>
      </c>
      <c r="F771" s="45"/>
      <c r="G771" s="45"/>
      <c r="H771" s="45"/>
      <c r="I771" s="45"/>
      <c r="J771" s="45"/>
      <c r="K771" s="123"/>
      <c r="L771" s="213">
        <f>IF(COUNT(L772,L776)=0,"",SUM(L772,L776))</f>
        <v>0</v>
      </c>
      <c r="M771" s="213">
        <f t="shared" si="461"/>
        <v>0</v>
      </c>
      <c r="N771" s="213">
        <f t="shared" ref="N771:O771" si="500">IF(COUNT(N772,N776)=0,"",SUM(N772,N776))</f>
        <v>0</v>
      </c>
      <c r="O771" s="213">
        <f t="shared" si="500"/>
        <v>0</v>
      </c>
      <c r="P771" s="214"/>
      <c r="Q771" s="213">
        <f>IF(COUNT(Q772,Q776)=0,"",SUM(Q772,Q776))</f>
        <v>0</v>
      </c>
      <c r="R771" s="126"/>
      <c r="S771" s="126"/>
      <c r="T771" s="45" t="s">
        <v>62</v>
      </c>
      <c r="U771" s="26"/>
      <c r="V771" s="26"/>
      <c r="W771" s="26"/>
      <c r="X771" s="46">
        <f t="shared" ref="X771:AA771" si="501">L771</f>
        <v>0</v>
      </c>
      <c r="Y771" s="46">
        <f t="shared" si="501"/>
        <v>0</v>
      </c>
      <c r="Z771" s="46">
        <f t="shared" si="501"/>
        <v>0</v>
      </c>
      <c r="AA771" s="46">
        <f t="shared" si="501"/>
        <v>0</v>
      </c>
      <c r="AB771" s="26"/>
      <c r="AC771" s="46">
        <f>Q771</f>
        <v>0</v>
      </c>
    </row>
    <row r="772" ht="33.75" customHeight="1">
      <c r="A772" s="54" t="s">
        <v>1319</v>
      </c>
      <c r="B772" s="209" t="s">
        <v>27</v>
      </c>
      <c r="C772" s="209" t="s">
        <v>1317</v>
      </c>
      <c r="D772" s="209" t="s">
        <v>1320</v>
      </c>
      <c r="E772" s="209" t="s">
        <v>1321</v>
      </c>
      <c r="F772" s="54" t="s">
        <v>983</v>
      </c>
      <c r="G772" s="54" t="s">
        <v>168</v>
      </c>
      <c r="H772" s="54" t="s">
        <v>168</v>
      </c>
      <c r="I772" s="54"/>
      <c r="J772" s="119" t="s">
        <v>9</v>
      </c>
      <c r="K772" s="119" t="s">
        <v>9</v>
      </c>
      <c r="L772" s="202">
        <f>IF(COUNT(L773:N775)=0,"",SUM(L773:L775))</f>
        <v>0</v>
      </c>
      <c r="M772" s="174">
        <f t="shared" si="461"/>
        <v>0</v>
      </c>
      <c r="N772" s="202">
        <f>IF(COUNT(L773:N775)=0,"",SUM(N773:N775))</f>
        <v>0</v>
      </c>
      <c r="O772" s="202">
        <f>IF(COUNT(O773:O775)=0,"",SUM(O773:O775))</f>
        <v>0</v>
      </c>
      <c r="P772" s="210"/>
      <c r="Q772" s="202">
        <f>IF(COUNT(Q773:Q775)=0,"",SUM(Q773:Q775))</f>
        <v>0</v>
      </c>
      <c r="R772" s="163"/>
      <c r="S772" s="163"/>
      <c r="T772" s="54" t="s">
        <v>65</v>
      </c>
      <c r="U772" s="179"/>
      <c r="V772" s="179"/>
      <c r="W772" s="179"/>
      <c r="X772" s="105"/>
      <c r="Y772" s="105"/>
      <c r="Z772" s="105"/>
      <c r="AA772" s="105"/>
      <c r="AB772" s="105"/>
      <c r="AC772" s="105"/>
    </row>
    <row r="773" ht="33.75" customHeight="1">
      <c r="A773" s="218" t="s">
        <v>1322</v>
      </c>
      <c r="B773" s="215" t="s">
        <v>27</v>
      </c>
      <c r="C773" s="215" t="s">
        <v>1317</v>
      </c>
      <c r="D773" s="215" t="s">
        <v>1320</v>
      </c>
      <c r="E773" s="215" t="s">
        <v>1321</v>
      </c>
      <c r="F773" s="65" t="s">
        <v>983</v>
      </c>
      <c r="G773" s="65" t="s">
        <v>168</v>
      </c>
      <c r="H773" s="65" t="s">
        <v>168</v>
      </c>
      <c r="I773" s="65"/>
      <c r="J773" s="97" t="s">
        <v>9</v>
      </c>
      <c r="K773" s="97" t="s">
        <v>9</v>
      </c>
      <c r="L773" s="129"/>
      <c r="M773" s="180">
        <f t="shared" si="461"/>
        <v>0</v>
      </c>
      <c r="N773" s="129"/>
      <c r="O773" s="129">
        <f t="shared" ref="O773:O775" si="502">IF(COUNT(L773:N773)=0,"",(L773+4*M773+N773)/6)</f>
        <v>0</v>
      </c>
      <c r="P773" s="159"/>
      <c r="Q773" s="208">
        <f t="shared" ref="Q773:Q775" si="503">IF(O773="","",IF(P773="",O773,O773*(1+P773)))</f>
        <v>0</v>
      </c>
      <c r="R773" s="132"/>
      <c r="S773" s="132"/>
      <c r="T773" s="65" t="s">
        <v>31</v>
      </c>
      <c r="U773" s="26"/>
      <c r="V773" s="26"/>
      <c r="W773" s="26"/>
      <c r="X773" s="26"/>
      <c r="Y773" s="26"/>
      <c r="Z773" s="26"/>
      <c r="AA773" s="26"/>
      <c r="AB773" s="26"/>
      <c r="AC773" s="26"/>
    </row>
    <row r="774" ht="33.75" customHeight="1">
      <c r="A774" s="218" t="s">
        <v>1323</v>
      </c>
      <c r="B774" s="215" t="s">
        <v>27</v>
      </c>
      <c r="C774" s="215" t="s">
        <v>1317</v>
      </c>
      <c r="D774" s="215" t="s">
        <v>1320</v>
      </c>
      <c r="E774" s="215" t="s">
        <v>1321</v>
      </c>
      <c r="F774" s="65" t="s">
        <v>983</v>
      </c>
      <c r="G774" s="65" t="s">
        <v>168</v>
      </c>
      <c r="H774" s="65" t="s">
        <v>168</v>
      </c>
      <c r="I774" s="65"/>
      <c r="J774" s="97" t="s">
        <v>9</v>
      </c>
      <c r="K774" s="97" t="s">
        <v>9</v>
      </c>
      <c r="L774" s="129"/>
      <c r="M774" s="180">
        <f t="shared" si="461"/>
        <v>0</v>
      </c>
      <c r="N774" s="129"/>
      <c r="O774" s="129">
        <f t="shared" si="502"/>
        <v>0</v>
      </c>
      <c r="P774" s="159"/>
      <c r="Q774" s="208">
        <f t="shared" si="503"/>
        <v>0</v>
      </c>
      <c r="R774" s="132"/>
      <c r="S774" s="132"/>
      <c r="T774" s="65" t="s">
        <v>32</v>
      </c>
      <c r="U774" s="26"/>
      <c r="V774" s="26"/>
      <c r="W774" s="26"/>
      <c r="X774" s="26"/>
      <c r="Y774" s="26"/>
      <c r="Z774" s="26"/>
      <c r="AA774" s="26"/>
      <c r="AB774" s="26"/>
      <c r="AC774" s="26"/>
    </row>
    <row r="775" ht="33.75" customHeight="1">
      <c r="A775" s="218" t="s">
        <v>1324</v>
      </c>
      <c r="B775" s="215" t="s">
        <v>27</v>
      </c>
      <c r="C775" s="215" t="s">
        <v>1317</v>
      </c>
      <c r="D775" s="215" t="s">
        <v>1320</v>
      </c>
      <c r="E775" s="215" t="s">
        <v>1321</v>
      </c>
      <c r="F775" s="65" t="s">
        <v>983</v>
      </c>
      <c r="G775" s="65" t="s">
        <v>168</v>
      </c>
      <c r="H775" s="65" t="s">
        <v>168</v>
      </c>
      <c r="I775" s="65"/>
      <c r="J775" s="97" t="s">
        <v>9</v>
      </c>
      <c r="K775" s="97" t="s">
        <v>9</v>
      </c>
      <c r="L775" s="129"/>
      <c r="M775" s="180">
        <f t="shared" si="461"/>
        <v>0</v>
      </c>
      <c r="N775" s="129"/>
      <c r="O775" s="129">
        <f t="shared" si="502"/>
        <v>0</v>
      </c>
      <c r="P775" s="159"/>
      <c r="Q775" s="208">
        <f t="shared" si="503"/>
        <v>0</v>
      </c>
      <c r="R775" s="132"/>
      <c r="S775" s="132"/>
      <c r="T775" s="65" t="s">
        <v>70</v>
      </c>
      <c r="U775" s="26"/>
      <c r="V775" s="26"/>
      <c r="W775" s="26"/>
      <c r="X775" s="26"/>
      <c r="Y775" s="26"/>
      <c r="Z775" s="26"/>
      <c r="AA775" s="26"/>
      <c r="AB775" s="26"/>
      <c r="AC775" s="26"/>
    </row>
    <row r="776" ht="33.75" customHeight="1">
      <c r="A776" s="54" t="s">
        <v>1325</v>
      </c>
      <c r="B776" s="209" t="s">
        <v>27</v>
      </c>
      <c r="C776" s="209" t="s">
        <v>1317</v>
      </c>
      <c r="D776" s="209" t="s">
        <v>1326</v>
      </c>
      <c r="E776" s="209" t="s">
        <v>1327</v>
      </c>
      <c r="F776" s="54" t="s">
        <v>1328</v>
      </c>
      <c r="G776" s="54" t="s">
        <v>168</v>
      </c>
      <c r="H776" s="54" t="s">
        <v>168</v>
      </c>
      <c r="I776" s="54"/>
      <c r="J776" s="119" t="s">
        <v>9</v>
      </c>
      <c r="K776" s="119" t="s">
        <v>9</v>
      </c>
      <c r="L776" s="202">
        <f>IF(COUNT(L777:N779)=0,"",SUM(L777:L779))</f>
        <v>0</v>
      </c>
      <c r="M776" s="174">
        <f t="shared" si="461"/>
        <v>0</v>
      </c>
      <c r="N776" s="202">
        <f>IF(COUNT(L777:N779)=0,"",SUM(N777:N779))</f>
        <v>0</v>
      </c>
      <c r="O776" s="202">
        <f>IF(COUNT(O777:O779)=0,"",SUM(O777:O779))</f>
        <v>0</v>
      </c>
      <c r="P776" s="210"/>
      <c r="Q776" s="202">
        <f>IF(COUNT(Q777:Q779)=0,"",SUM(Q777:Q779))</f>
        <v>0</v>
      </c>
      <c r="R776" s="163"/>
      <c r="S776" s="163"/>
      <c r="T776" s="54" t="s">
        <v>65</v>
      </c>
      <c r="U776" s="179"/>
      <c r="V776" s="179"/>
      <c r="W776" s="179"/>
      <c r="X776" s="105"/>
      <c r="Y776" s="105"/>
      <c r="Z776" s="105"/>
      <c r="AA776" s="105"/>
      <c r="AB776" s="105"/>
      <c r="AC776" s="105"/>
    </row>
    <row r="777" ht="33.75" customHeight="1">
      <c r="A777" s="218" t="s">
        <v>1329</v>
      </c>
      <c r="B777" s="215" t="s">
        <v>27</v>
      </c>
      <c r="C777" s="215" t="s">
        <v>1317</v>
      </c>
      <c r="D777" s="215" t="s">
        <v>1326</v>
      </c>
      <c r="E777" s="215" t="s">
        <v>1327</v>
      </c>
      <c r="F777" s="65" t="s">
        <v>1328</v>
      </c>
      <c r="G777" s="65" t="s">
        <v>168</v>
      </c>
      <c r="H777" s="65" t="s">
        <v>168</v>
      </c>
      <c r="I777" s="65"/>
      <c r="J777" s="97" t="s">
        <v>9</v>
      </c>
      <c r="K777" s="97" t="s">
        <v>9</v>
      </c>
      <c r="L777" s="129"/>
      <c r="M777" s="180">
        <f t="shared" si="461"/>
        <v>0</v>
      </c>
      <c r="N777" s="129"/>
      <c r="O777" s="129">
        <f t="shared" ref="O777:O779" si="504">IF(COUNT(L777:N777)=0,"",(L777+4*M777+N777)/6)</f>
        <v>0</v>
      </c>
      <c r="P777" s="159"/>
      <c r="Q777" s="208">
        <f t="shared" ref="Q777:Q779" si="505">IF(O777="","",IF(P777="",O777,O777*(1+P777)))</f>
        <v>0</v>
      </c>
      <c r="R777" s="132"/>
      <c r="S777" s="132"/>
      <c r="T777" s="65" t="s">
        <v>31</v>
      </c>
      <c r="U777" s="26"/>
      <c r="V777" s="26"/>
      <c r="W777" s="26"/>
      <c r="X777" s="26"/>
      <c r="Y777" s="26"/>
      <c r="Z777" s="26"/>
      <c r="AA777" s="26"/>
      <c r="AB777" s="26"/>
      <c r="AC777" s="26"/>
    </row>
    <row r="778" ht="33.75" customHeight="1">
      <c r="A778" s="218" t="s">
        <v>1330</v>
      </c>
      <c r="B778" s="215" t="s">
        <v>27</v>
      </c>
      <c r="C778" s="215" t="s">
        <v>1317</v>
      </c>
      <c r="D778" s="215" t="s">
        <v>1326</v>
      </c>
      <c r="E778" s="215" t="s">
        <v>1327</v>
      </c>
      <c r="F778" s="65" t="s">
        <v>1328</v>
      </c>
      <c r="G778" s="65" t="s">
        <v>168</v>
      </c>
      <c r="H778" s="65" t="s">
        <v>168</v>
      </c>
      <c r="I778" s="65"/>
      <c r="J778" s="97" t="s">
        <v>9</v>
      </c>
      <c r="K778" s="97" t="s">
        <v>9</v>
      </c>
      <c r="L778" s="129"/>
      <c r="M778" s="180">
        <f t="shared" si="461"/>
        <v>0</v>
      </c>
      <c r="N778" s="129"/>
      <c r="O778" s="129">
        <f t="shared" si="504"/>
        <v>0</v>
      </c>
      <c r="P778" s="159"/>
      <c r="Q778" s="208">
        <f t="shared" si="505"/>
        <v>0</v>
      </c>
      <c r="R778" s="132"/>
      <c r="S778" s="132"/>
      <c r="T778" s="65" t="s">
        <v>32</v>
      </c>
      <c r="U778" s="26"/>
      <c r="V778" s="26"/>
      <c r="W778" s="26"/>
      <c r="X778" s="26"/>
      <c r="Y778" s="26"/>
      <c r="Z778" s="26"/>
      <c r="AA778" s="26"/>
      <c r="AB778" s="26"/>
      <c r="AC778" s="26"/>
    </row>
    <row r="779" ht="33.75" customHeight="1">
      <c r="A779" s="218" t="s">
        <v>1331</v>
      </c>
      <c r="B779" s="215" t="s">
        <v>27</v>
      </c>
      <c r="C779" s="215" t="s">
        <v>1317</v>
      </c>
      <c r="D779" s="215" t="s">
        <v>1326</v>
      </c>
      <c r="E779" s="215" t="s">
        <v>1327</v>
      </c>
      <c r="F779" s="65" t="s">
        <v>1328</v>
      </c>
      <c r="G779" s="65" t="s">
        <v>168</v>
      </c>
      <c r="H779" s="65" t="s">
        <v>168</v>
      </c>
      <c r="I779" s="65"/>
      <c r="J779" s="97" t="s">
        <v>9</v>
      </c>
      <c r="K779" s="97" t="s">
        <v>9</v>
      </c>
      <c r="L779" s="129"/>
      <c r="M779" s="180">
        <f t="shared" si="461"/>
        <v>0</v>
      </c>
      <c r="N779" s="129"/>
      <c r="O779" s="129">
        <f t="shared" si="504"/>
        <v>0</v>
      </c>
      <c r="P779" s="159"/>
      <c r="Q779" s="208">
        <f t="shared" si="505"/>
        <v>0</v>
      </c>
      <c r="R779" s="132"/>
      <c r="S779" s="132"/>
      <c r="T779" s="65" t="s">
        <v>70</v>
      </c>
      <c r="U779" s="26"/>
      <c r="V779" s="26"/>
      <c r="W779" s="26"/>
      <c r="X779" s="26"/>
      <c r="Y779" s="26"/>
      <c r="Z779" s="26"/>
      <c r="AA779" s="26"/>
      <c r="AB779" s="26"/>
      <c r="AC779" s="26"/>
    </row>
    <row r="780" ht="33.75" customHeight="1">
      <c r="A780" s="27" t="s">
        <v>1332</v>
      </c>
      <c r="B780" s="28"/>
      <c r="C780" s="28"/>
      <c r="D780" s="28"/>
      <c r="E780" s="29"/>
      <c r="F780" s="30"/>
      <c r="G780" s="30"/>
      <c r="H780" s="30"/>
      <c r="I780" s="30"/>
      <c r="J780" s="30"/>
      <c r="K780" s="31"/>
      <c r="L780" s="32">
        <f t="shared" ref="L780:O780" si="506">SUM(X781:X902)</f>
        <v>46.5</v>
      </c>
      <c r="M780" s="32">
        <f t="shared" si="506"/>
        <v>64.125</v>
      </c>
      <c r="N780" s="32">
        <f t="shared" si="506"/>
        <v>81.75</v>
      </c>
      <c r="O780" s="32">
        <f t="shared" si="506"/>
        <v>65.125</v>
      </c>
      <c r="P780" s="33"/>
      <c r="Q780" s="32">
        <f>SUM(AC781:AC902)</f>
        <v>73.5375</v>
      </c>
      <c r="R780" s="34"/>
      <c r="S780" s="34"/>
      <c r="T780" s="35" t="s">
        <v>59</v>
      </c>
      <c r="U780" s="26"/>
      <c r="V780" s="26"/>
      <c r="W780" s="26"/>
      <c r="X780" s="26"/>
      <c r="Y780" s="26"/>
      <c r="Z780" s="26"/>
      <c r="AA780" s="26"/>
      <c r="AB780" s="26"/>
      <c r="AC780" s="26"/>
    </row>
    <row r="781" ht="33.75" customHeight="1">
      <c r="A781" s="45" t="s">
        <v>1333</v>
      </c>
      <c r="B781" s="212" t="s">
        <v>1334</v>
      </c>
      <c r="C781" s="212" t="s">
        <v>1335</v>
      </c>
      <c r="D781" s="212" t="s">
        <v>1335</v>
      </c>
      <c r="E781" s="212" t="s">
        <v>1336</v>
      </c>
      <c r="F781" s="45"/>
      <c r="G781" s="45"/>
      <c r="H781" s="45"/>
      <c r="I781" s="45"/>
      <c r="J781" s="45"/>
      <c r="K781" s="123"/>
      <c r="L781" s="213">
        <f>IF(COUNT(L782,L786,L790,L794)=0,"",SUM(L782,L786,L790,L794))</f>
        <v>6</v>
      </c>
      <c r="M781" s="213">
        <f t="shared" ref="M781:M856" si="509">(N781+L781)/2</f>
        <v>10.375</v>
      </c>
      <c r="N781" s="213">
        <f t="shared" ref="N781:O781" si="507">IF(COUNT(N782,N786,N790,N794)=0,"",SUM(N782,N786,N790,N794))</f>
        <v>14.75</v>
      </c>
      <c r="O781" s="213">
        <f t="shared" si="507"/>
        <v>10.375</v>
      </c>
      <c r="P781" s="214"/>
      <c r="Q781" s="213">
        <f>IF(COUNT(Q782,Q786,Q790,Q794)=0,"",SUM(Q782,Q786,Q790,Q794))</f>
        <v>11.58125</v>
      </c>
      <c r="R781" s="126"/>
      <c r="S781" s="126"/>
      <c r="T781" s="45" t="s">
        <v>62</v>
      </c>
      <c r="U781" s="26"/>
      <c r="V781" s="26"/>
      <c r="W781" s="26"/>
      <c r="X781" s="46">
        <f t="shared" ref="X781:AA781" si="508">L781</f>
        <v>6</v>
      </c>
      <c r="Y781" s="46">
        <f t="shared" si="508"/>
        <v>10.375</v>
      </c>
      <c r="Z781" s="46">
        <f t="shared" si="508"/>
        <v>14.75</v>
      </c>
      <c r="AA781" s="46">
        <f t="shared" si="508"/>
        <v>10.375</v>
      </c>
      <c r="AB781" s="26"/>
      <c r="AC781" s="46">
        <f>Q781</f>
        <v>11.58125</v>
      </c>
    </row>
    <row r="782" ht="33.75" customHeight="1">
      <c r="A782" s="54" t="s">
        <v>1337</v>
      </c>
      <c r="B782" s="209" t="s">
        <v>1334</v>
      </c>
      <c r="C782" s="209" t="s">
        <v>1335</v>
      </c>
      <c r="D782" s="209" t="s">
        <v>1338</v>
      </c>
      <c r="E782" s="209" t="s">
        <v>1339</v>
      </c>
      <c r="F782" s="54" t="s">
        <v>192</v>
      </c>
      <c r="G782" s="54" t="s">
        <v>168</v>
      </c>
      <c r="H782" s="54" t="s">
        <v>168</v>
      </c>
      <c r="I782" s="54"/>
      <c r="J782" s="54" t="s">
        <v>9</v>
      </c>
      <c r="K782" s="119" t="s">
        <v>9</v>
      </c>
      <c r="L782" s="202">
        <f>IF(COUNT(L783:N785)=0,"",SUM(L783:L785))</f>
        <v>1.25</v>
      </c>
      <c r="M782" s="174">
        <f t="shared" si="509"/>
        <v>2.625</v>
      </c>
      <c r="N782" s="202">
        <f>IF(COUNT(L783:N785)=0,"",SUM(N783:N785))</f>
        <v>4</v>
      </c>
      <c r="O782" s="202">
        <f>IF(COUNT(O783:O785)=0,"",SUM(O783:O785))</f>
        <v>2.625</v>
      </c>
      <c r="P782" s="210"/>
      <c r="Q782" s="202">
        <f>IF(COUNT(Q783:Q785)=0,"",SUM(Q783:Q785))</f>
        <v>2.85625</v>
      </c>
      <c r="R782" s="163"/>
      <c r="S782" s="163"/>
      <c r="T782" s="54" t="s">
        <v>65</v>
      </c>
      <c r="U782" s="179"/>
      <c r="V782" s="179"/>
      <c r="W782" s="179"/>
      <c r="X782" s="105"/>
      <c r="Y782" s="105"/>
      <c r="Z782" s="105"/>
      <c r="AA782" s="105"/>
      <c r="AB782" s="105"/>
      <c r="AC782" s="105"/>
    </row>
    <row r="783" ht="33.75" customHeight="1">
      <c r="A783" s="65" t="s">
        <v>1340</v>
      </c>
      <c r="B783" s="215" t="s">
        <v>1334</v>
      </c>
      <c r="C783" s="215" t="s">
        <v>1335</v>
      </c>
      <c r="D783" s="215" t="s">
        <v>1338</v>
      </c>
      <c r="E783" s="215" t="s">
        <v>1339</v>
      </c>
      <c r="F783" s="65" t="s">
        <v>192</v>
      </c>
      <c r="G783" s="65" t="s">
        <v>168</v>
      </c>
      <c r="H783" s="65" t="s">
        <v>168</v>
      </c>
      <c r="I783" s="65"/>
      <c r="J783" s="65" t="s">
        <v>9</v>
      </c>
      <c r="K783" s="97" t="s">
        <v>9</v>
      </c>
      <c r="L783" s="129">
        <v>0.5</v>
      </c>
      <c r="M783" s="180">
        <f t="shared" si="509"/>
        <v>1</v>
      </c>
      <c r="N783" s="129">
        <v>1.5</v>
      </c>
      <c r="O783" s="129">
        <f t="shared" ref="O783:O785" si="510">IF(COUNT(L783:N783)=0,"",(L783+4*M783+N783)/6)</f>
        <v>1</v>
      </c>
      <c r="P783" s="159">
        <v>0.1</v>
      </c>
      <c r="Q783" s="208">
        <f t="shared" ref="Q783:Q785" si="511">IF(O783="","",IF(P783="",O783,O783*(1+P783)))</f>
        <v>1.1</v>
      </c>
      <c r="R783" s="132">
        <v>5.0</v>
      </c>
      <c r="S783" s="132">
        <v>1.0</v>
      </c>
      <c r="T783" s="65" t="s">
        <v>31</v>
      </c>
      <c r="U783" s="26"/>
      <c r="V783" s="26"/>
      <c r="W783" s="26"/>
      <c r="X783" s="26"/>
      <c r="Y783" s="26"/>
      <c r="Z783" s="26"/>
      <c r="AA783" s="26"/>
      <c r="AB783" s="26"/>
      <c r="AC783" s="26"/>
    </row>
    <row r="784" ht="33.75" customHeight="1">
      <c r="A784" s="65" t="s">
        <v>1341</v>
      </c>
      <c r="B784" s="215" t="s">
        <v>1334</v>
      </c>
      <c r="C784" s="215" t="s">
        <v>1335</v>
      </c>
      <c r="D784" s="215" t="s">
        <v>1338</v>
      </c>
      <c r="E784" s="215" t="s">
        <v>1339</v>
      </c>
      <c r="F784" s="65" t="s">
        <v>192</v>
      </c>
      <c r="G784" s="65" t="s">
        <v>168</v>
      </c>
      <c r="H784" s="65" t="s">
        <v>168</v>
      </c>
      <c r="I784" s="65"/>
      <c r="J784" s="65" t="s">
        <v>9</v>
      </c>
      <c r="K784" s="97" t="s">
        <v>9</v>
      </c>
      <c r="L784" s="129">
        <v>0.5</v>
      </c>
      <c r="M784" s="180">
        <f t="shared" si="509"/>
        <v>1</v>
      </c>
      <c r="N784" s="129">
        <v>1.5</v>
      </c>
      <c r="O784" s="129">
        <f t="shared" si="510"/>
        <v>1</v>
      </c>
      <c r="P784" s="159">
        <v>0.1</v>
      </c>
      <c r="Q784" s="208">
        <f t="shared" si="511"/>
        <v>1.1</v>
      </c>
      <c r="R784" s="132">
        <v>4.0</v>
      </c>
      <c r="S784" s="132">
        <v>2.0</v>
      </c>
      <c r="T784" s="65" t="s">
        <v>32</v>
      </c>
      <c r="U784" s="26"/>
      <c r="V784" s="26"/>
      <c r="W784" s="26"/>
      <c r="X784" s="26"/>
      <c r="Y784" s="26"/>
      <c r="Z784" s="26"/>
      <c r="AA784" s="26"/>
      <c r="AB784" s="26"/>
      <c r="AC784" s="26"/>
    </row>
    <row r="785" ht="33.75" customHeight="1">
      <c r="A785" s="65" t="s">
        <v>1342</v>
      </c>
      <c r="B785" s="215" t="s">
        <v>1334</v>
      </c>
      <c r="C785" s="215" t="s">
        <v>1335</v>
      </c>
      <c r="D785" s="215" t="s">
        <v>1338</v>
      </c>
      <c r="E785" s="215" t="s">
        <v>1339</v>
      </c>
      <c r="F785" s="65" t="s">
        <v>192</v>
      </c>
      <c r="G785" s="65" t="s">
        <v>168</v>
      </c>
      <c r="H785" s="65" t="s">
        <v>168</v>
      </c>
      <c r="I785" s="65"/>
      <c r="J785" s="65" t="s">
        <v>9</v>
      </c>
      <c r="K785" s="97" t="s">
        <v>9</v>
      </c>
      <c r="L785" s="129">
        <v>0.25</v>
      </c>
      <c r="M785" s="180">
        <f t="shared" si="509"/>
        <v>0.625</v>
      </c>
      <c r="N785" s="129">
        <v>1.0</v>
      </c>
      <c r="O785" s="129">
        <f t="shared" si="510"/>
        <v>0.625</v>
      </c>
      <c r="P785" s="159">
        <v>0.05</v>
      </c>
      <c r="Q785" s="208">
        <f t="shared" si="511"/>
        <v>0.65625</v>
      </c>
      <c r="R785" s="132">
        <v>5.0</v>
      </c>
      <c r="S785" s="132">
        <v>1.0</v>
      </c>
      <c r="T785" s="65" t="s">
        <v>70</v>
      </c>
      <c r="U785" s="26"/>
      <c r="V785" s="26"/>
      <c r="W785" s="26"/>
      <c r="X785" s="26"/>
      <c r="Y785" s="26"/>
      <c r="Z785" s="26"/>
      <c r="AA785" s="26"/>
      <c r="AB785" s="26"/>
      <c r="AC785" s="26"/>
    </row>
    <row r="786" ht="33.75" customHeight="1">
      <c r="A786" s="98" t="s">
        <v>1343</v>
      </c>
      <c r="B786" s="99" t="s">
        <v>1334</v>
      </c>
      <c r="C786" s="99" t="s">
        <v>1335</v>
      </c>
      <c r="D786" s="99" t="s">
        <v>1344</v>
      </c>
      <c r="E786" s="99" t="s">
        <v>1345</v>
      </c>
      <c r="F786" s="98" t="s">
        <v>1337</v>
      </c>
      <c r="G786" s="98" t="s">
        <v>168</v>
      </c>
      <c r="H786" s="98" t="s">
        <v>168</v>
      </c>
      <c r="I786" s="98"/>
      <c r="J786" s="98" t="s">
        <v>12</v>
      </c>
      <c r="K786" s="100" t="s">
        <v>12</v>
      </c>
      <c r="L786" s="101">
        <f>IF(COUNT(L787:N789)=0,"",SUM(L787:L789))</f>
        <v>0</v>
      </c>
      <c r="M786" s="102">
        <f t="shared" si="509"/>
        <v>0</v>
      </c>
      <c r="N786" s="101">
        <f>IF(COUNT(L787:N789)=0,"",SUM(N787:N789))</f>
        <v>0</v>
      </c>
      <c r="O786" s="101">
        <f>IF(COUNT(O787:O789)=0,"",SUM(O787:O789))</f>
        <v>0</v>
      </c>
      <c r="P786" s="103"/>
      <c r="Q786" s="101">
        <f>IF(COUNT(Q787:Q789)=0,"",SUM(Q787:Q789))</f>
        <v>0</v>
      </c>
      <c r="R786" s="104"/>
      <c r="S786" s="104"/>
      <c r="T786" s="98" t="s">
        <v>65</v>
      </c>
      <c r="U786" s="179"/>
      <c r="V786" s="179"/>
      <c r="W786" s="179"/>
      <c r="X786" s="105"/>
      <c r="Y786" s="105"/>
      <c r="Z786" s="105"/>
      <c r="AA786" s="105"/>
      <c r="AB786" s="179"/>
      <c r="AC786" s="105"/>
    </row>
    <row r="787" ht="33.75" customHeight="1">
      <c r="A787" s="106" t="s">
        <v>1346</v>
      </c>
      <c r="B787" s="107" t="s">
        <v>1334</v>
      </c>
      <c r="C787" s="107" t="s">
        <v>1335</v>
      </c>
      <c r="D787" s="107" t="s">
        <v>1344</v>
      </c>
      <c r="E787" s="107" t="s">
        <v>1345</v>
      </c>
      <c r="F787" s="106" t="s">
        <v>1337</v>
      </c>
      <c r="G787" s="106" t="s">
        <v>168</v>
      </c>
      <c r="H787" s="106" t="s">
        <v>168</v>
      </c>
      <c r="I787" s="106"/>
      <c r="J787" s="106" t="s">
        <v>12</v>
      </c>
      <c r="K787" s="108" t="s">
        <v>12</v>
      </c>
      <c r="L787" s="109"/>
      <c r="M787" s="109">
        <f t="shared" si="509"/>
        <v>0</v>
      </c>
      <c r="N787" s="109"/>
      <c r="O787" s="109">
        <f t="shared" ref="O787:O789" si="512">IF(COUNT(L787:N787)=0,"",(L787+4*M787+N787)/6)</f>
        <v>0</v>
      </c>
      <c r="P787" s="110"/>
      <c r="Q787" s="109">
        <f t="shared" ref="Q787:Q789" si="513">IF(O787="","",IF(P787="",O787,O787*(1+P787)))</f>
        <v>0</v>
      </c>
      <c r="R787" s="111"/>
      <c r="S787" s="111"/>
      <c r="T787" s="106" t="s">
        <v>31</v>
      </c>
      <c r="U787" s="26"/>
      <c r="V787" s="26"/>
      <c r="W787" s="26"/>
      <c r="X787" s="26"/>
      <c r="Y787" s="26"/>
      <c r="Z787" s="26"/>
      <c r="AA787" s="26"/>
      <c r="AB787" s="26"/>
      <c r="AC787" s="26"/>
    </row>
    <row r="788" ht="33.75" customHeight="1">
      <c r="A788" s="106" t="s">
        <v>1347</v>
      </c>
      <c r="B788" s="107" t="s">
        <v>1334</v>
      </c>
      <c r="C788" s="107" t="s">
        <v>1335</v>
      </c>
      <c r="D788" s="107" t="s">
        <v>1344</v>
      </c>
      <c r="E788" s="107" t="s">
        <v>1345</v>
      </c>
      <c r="F788" s="106" t="s">
        <v>1337</v>
      </c>
      <c r="G788" s="106" t="s">
        <v>168</v>
      </c>
      <c r="H788" s="106" t="s">
        <v>168</v>
      </c>
      <c r="I788" s="106"/>
      <c r="J788" s="106" t="s">
        <v>12</v>
      </c>
      <c r="K788" s="108" t="s">
        <v>12</v>
      </c>
      <c r="L788" s="109"/>
      <c r="M788" s="109">
        <f t="shared" si="509"/>
        <v>0</v>
      </c>
      <c r="N788" s="109"/>
      <c r="O788" s="109">
        <f t="shared" si="512"/>
        <v>0</v>
      </c>
      <c r="P788" s="110"/>
      <c r="Q788" s="109">
        <f t="shared" si="513"/>
        <v>0</v>
      </c>
      <c r="R788" s="111"/>
      <c r="S788" s="111"/>
      <c r="T788" s="106" t="s">
        <v>32</v>
      </c>
      <c r="U788" s="26"/>
      <c r="V788" s="26"/>
      <c r="W788" s="26"/>
      <c r="X788" s="26"/>
      <c r="Y788" s="26"/>
      <c r="Z788" s="26"/>
      <c r="AA788" s="26"/>
      <c r="AB788" s="26"/>
      <c r="AC788" s="26"/>
    </row>
    <row r="789" ht="33.75" customHeight="1">
      <c r="A789" s="106" t="s">
        <v>1348</v>
      </c>
      <c r="B789" s="107" t="s">
        <v>1334</v>
      </c>
      <c r="C789" s="107" t="s">
        <v>1335</v>
      </c>
      <c r="D789" s="107" t="s">
        <v>1344</v>
      </c>
      <c r="E789" s="107" t="s">
        <v>1345</v>
      </c>
      <c r="F789" s="106" t="s">
        <v>1337</v>
      </c>
      <c r="G789" s="106" t="s">
        <v>168</v>
      </c>
      <c r="H789" s="106" t="s">
        <v>168</v>
      </c>
      <c r="I789" s="106"/>
      <c r="J789" s="106" t="s">
        <v>12</v>
      </c>
      <c r="K789" s="108" t="s">
        <v>12</v>
      </c>
      <c r="L789" s="109"/>
      <c r="M789" s="109">
        <f t="shared" si="509"/>
        <v>0</v>
      </c>
      <c r="N789" s="109"/>
      <c r="O789" s="109">
        <f t="shared" si="512"/>
        <v>0</v>
      </c>
      <c r="P789" s="110"/>
      <c r="Q789" s="109">
        <f t="shared" si="513"/>
        <v>0</v>
      </c>
      <c r="R789" s="111"/>
      <c r="S789" s="111"/>
      <c r="T789" s="106" t="s">
        <v>70</v>
      </c>
      <c r="U789" s="26"/>
      <c r="V789" s="26"/>
      <c r="W789" s="26"/>
      <c r="X789" s="26"/>
      <c r="Y789" s="26"/>
      <c r="Z789" s="26"/>
      <c r="AA789" s="26"/>
      <c r="AB789" s="26"/>
      <c r="AC789" s="26"/>
    </row>
    <row r="790" ht="33.75" customHeight="1">
      <c r="A790" s="54" t="s">
        <v>1349</v>
      </c>
      <c r="B790" s="209" t="s">
        <v>1334</v>
      </c>
      <c r="C790" s="209" t="s">
        <v>1335</v>
      </c>
      <c r="D790" s="209" t="s">
        <v>1350</v>
      </c>
      <c r="E790" s="209" t="s">
        <v>1351</v>
      </c>
      <c r="F790" s="54" t="s">
        <v>1337</v>
      </c>
      <c r="G790" s="54" t="s">
        <v>168</v>
      </c>
      <c r="H790" s="54" t="s">
        <v>168</v>
      </c>
      <c r="I790" s="54"/>
      <c r="J790" s="54" t="s">
        <v>9</v>
      </c>
      <c r="K790" s="119" t="s">
        <v>9</v>
      </c>
      <c r="L790" s="202">
        <f>IF(COUNT(L791:N793)=0,"",SUM(L791:L793))</f>
        <v>1.25</v>
      </c>
      <c r="M790" s="174">
        <f t="shared" si="509"/>
        <v>2.5</v>
      </c>
      <c r="N790" s="202">
        <f>IF(COUNT(L791:N793)=0,"",SUM(N791:N793))</f>
        <v>3.75</v>
      </c>
      <c r="O790" s="202">
        <f>IF(COUNT(O791:O793)=0,"",SUM(O791:O793))</f>
        <v>2.5</v>
      </c>
      <c r="P790" s="210"/>
      <c r="Q790" s="202">
        <f>IF(COUNT(Q791:Q793)=0,"",SUM(Q791:Q793))</f>
        <v>2.725</v>
      </c>
      <c r="R790" s="163"/>
      <c r="S790" s="163"/>
      <c r="T790" s="54" t="s">
        <v>65</v>
      </c>
      <c r="U790" s="179"/>
      <c r="V790" s="179"/>
      <c r="W790" s="179"/>
      <c r="X790" s="105"/>
      <c r="Y790" s="105"/>
      <c r="Z790" s="105"/>
      <c r="AA790" s="105"/>
      <c r="AB790" s="105"/>
      <c r="AC790" s="105"/>
    </row>
    <row r="791" ht="33.75" customHeight="1">
      <c r="A791" s="65" t="s">
        <v>1352</v>
      </c>
      <c r="B791" s="215" t="s">
        <v>1334</v>
      </c>
      <c r="C791" s="215" t="s">
        <v>1335</v>
      </c>
      <c r="D791" s="215" t="s">
        <v>1350</v>
      </c>
      <c r="E791" s="215" t="s">
        <v>1351</v>
      </c>
      <c r="F791" s="65" t="s">
        <v>1337</v>
      </c>
      <c r="G791" s="65" t="s">
        <v>168</v>
      </c>
      <c r="H791" s="65" t="s">
        <v>168</v>
      </c>
      <c r="I791" s="65"/>
      <c r="J791" s="65" t="s">
        <v>9</v>
      </c>
      <c r="K791" s="97" t="s">
        <v>9</v>
      </c>
      <c r="L791" s="129">
        <v>0.5</v>
      </c>
      <c r="M791" s="180">
        <f t="shared" si="509"/>
        <v>1</v>
      </c>
      <c r="N791" s="129">
        <v>1.5</v>
      </c>
      <c r="O791" s="129">
        <f t="shared" ref="O791:O793" si="514">IF(COUNT(L791:N791)=0,"",(L791+4*M791+N791)/6)</f>
        <v>1</v>
      </c>
      <c r="P791" s="159">
        <v>0.1</v>
      </c>
      <c r="Q791" s="208">
        <f t="shared" ref="Q791:Q793" si="515">IF(O791="","",IF(P791="",O791,O791*(1+P791)))</f>
        <v>1.1</v>
      </c>
      <c r="R791" s="132">
        <v>4.0</v>
      </c>
      <c r="S791" s="132">
        <v>2.0</v>
      </c>
      <c r="T791" s="65" t="s">
        <v>31</v>
      </c>
      <c r="U791" s="26"/>
      <c r="V791" s="26"/>
      <c r="W791" s="26"/>
      <c r="X791" s="26"/>
      <c r="Y791" s="26"/>
      <c r="Z791" s="26"/>
      <c r="AA791" s="26"/>
      <c r="AB791" s="26"/>
      <c r="AC791" s="26"/>
    </row>
    <row r="792" ht="33.75" customHeight="1">
      <c r="A792" s="65" t="s">
        <v>1353</v>
      </c>
      <c r="B792" s="215" t="s">
        <v>1334</v>
      </c>
      <c r="C792" s="215" t="s">
        <v>1335</v>
      </c>
      <c r="D792" s="215" t="s">
        <v>1350</v>
      </c>
      <c r="E792" s="215" t="s">
        <v>1351</v>
      </c>
      <c r="F792" s="65" t="s">
        <v>1337</v>
      </c>
      <c r="G792" s="65" t="s">
        <v>168</v>
      </c>
      <c r="H792" s="65" t="s">
        <v>168</v>
      </c>
      <c r="I792" s="65"/>
      <c r="J792" s="65" t="s">
        <v>9</v>
      </c>
      <c r="K792" s="97" t="s">
        <v>9</v>
      </c>
      <c r="L792" s="129">
        <v>0.5</v>
      </c>
      <c r="M792" s="180">
        <f t="shared" si="509"/>
        <v>1</v>
      </c>
      <c r="N792" s="129">
        <v>1.5</v>
      </c>
      <c r="O792" s="129">
        <f t="shared" si="514"/>
        <v>1</v>
      </c>
      <c r="P792" s="159">
        <v>0.1</v>
      </c>
      <c r="Q792" s="208">
        <f t="shared" si="515"/>
        <v>1.1</v>
      </c>
      <c r="R792" s="132">
        <v>4.0</v>
      </c>
      <c r="S792" s="132">
        <v>2.0</v>
      </c>
      <c r="T792" s="65" t="s">
        <v>32</v>
      </c>
      <c r="U792" s="26"/>
      <c r="V792" s="26"/>
      <c r="W792" s="26"/>
      <c r="X792" s="26"/>
      <c r="Y792" s="26"/>
      <c r="Z792" s="26"/>
      <c r="AA792" s="26"/>
      <c r="AB792" s="26"/>
      <c r="AC792" s="26"/>
    </row>
    <row r="793" ht="33.75" customHeight="1">
      <c r="A793" s="65" t="s">
        <v>1354</v>
      </c>
      <c r="B793" s="215" t="s">
        <v>1334</v>
      </c>
      <c r="C793" s="215" t="s">
        <v>1335</v>
      </c>
      <c r="D793" s="215" t="s">
        <v>1350</v>
      </c>
      <c r="E793" s="215" t="s">
        <v>1351</v>
      </c>
      <c r="F793" s="65" t="s">
        <v>1337</v>
      </c>
      <c r="G793" s="65" t="s">
        <v>168</v>
      </c>
      <c r="H793" s="65" t="s">
        <v>168</v>
      </c>
      <c r="I793" s="65"/>
      <c r="J793" s="65" t="s">
        <v>9</v>
      </c>
      <c r="K793" s="97" t="s">
        <v>9</v>
      </c>
      <c r="L793" s="129">
        <v>0.25</v>
      </c>
      <c r="M793" s="180">
        <f t="shared" si="509"/>
        <v>0.5</v>
      </c>
      <c r="N793" s="129">
        <v>0.75</v>
      </c>
      <c r="O793" s="129">
        <f t="shared" si="514"/>
        <v>0.5</v>
      </c>
      <c r="P793" s="159">
        <v>0.05</v>
      </c>
      <c r="Q793" s="208">
        <f t="shared" si="515"/>
        <v>0.525</v>
      </c>
      <c r="R793" s="132">
        <v>5.0</v>
      </c>
      <c r="S793" s="132">
        <v>1.0</v>
      </c>
      <c r="T793" s="65" t="s">
        <v>70</v>
      </c>
      <c r="U793" s="26"/>
      <c r="V793" s="26"/>
      <c r="W793" s="26"/>
      <c r="X793" s="26"/>
      <c r="Y793" s="26"/>
      <c r="Z793" s="26"/>
      <c r="AA793" s="26"/>
      <c r="AB793" s="26"/>
      <c r="AC793" s="26"/>
    </row>
    <row r="794" ht="33.75" customHeight="1">
      <c r="A794" s="54" t="s">
        <v>1355</v>
      </c>
      <c r="B794" s="209" t="s">
        <v>1334</v>
      </c>
      <c r="C794" s="209" t="s">
        <v>1335</v>
      </c>
      <c r="D794" s="209" t="s">
        <v>1356</v>
      </c>
      <c r="E794" s="209" t="s">
        <v>1357</v>
      </c>
      <c r="F794" s="54" t="s">
        <v>1337</v>
      </c>
      <c r="G794" s="54" t="s">
        <v>154</v>
      </c>
      <c r="H794" s="54" t="s">
        <v>154</v>
      </c>
      <c r="I794" s="54"/>
      <c r="J794" s="54" t="s">
        <v>9</v>
      </c>
      <c r="K794" s="119" t="s">
        <v>9</v>
      </c>
      <c r="L794" s="202">
        <f>IF(COUNT(L795:N797)=0,"",SUM(L795:L797))</f>
        <v>3.5</v>
      </c>
      <c r="M794" s="174">
        <f t="shared" si="509"/>
        <v>5.25</v>
      </c>
      <c r="N794" s="202">
        <f>IF(COUNT(L795:N797)=0,"",SUM(N795:N797))</f>
        <v>7</v>
      </c>
      <c r="O794" s="202">
        <f>IF(COUNT(O795:O797)=0,"",SUM(O795:O797))</f>
        <v>5.25</v>
      </c>
      <c r="P794" s="210"/>
      <c r="Q794" s="202">
        <f>IF(COUNT(Q795:Q797)=0,"",SUM(Q795:Q797))</f>
        <v>6</v>
      </c>
      <c r="R794" s="163"/>
      <c r="S794" s="163"/>
      <c r="T794" s="54" t="s">
        <v>65</v>
      </c>
      <c r="U794" s="179"/>
      <c r="V794" s="179"/>
      <c r="W794" s="179"/>
      <c r="X794" s="105"/>
      <c r="Y794" s="105"/>
      <c r="Z794" s="105"/>
      <c r="AA794" s="105"/>
      <c r="AB794" s="105"/>
      <c r="AC794" s="105"/>
    </row>
    <row r="795" ht="33.75" customHeight="1">
      <c r="A795" s="65" t="s">
        <v>1358</v>
      </c>
      <c r="B795" s="215" t="s">
        <v>1334</v>
      </c>
      <c r="C795" s="215" t="s">
        <v>1335</v>
      </c>
      <c r="D795" s="215" t="s">
        <v>1356</v>
      </c>
      <c r="E795" s="215" t="s">
        <v>1357</v>
      </c>
      <c r="F795" s="65" t="s">
        <v>1337</v>
      </c>
      <c r="G795" s="65" t="s">
        <v>154</v>
      </c>
      <c r="H795" s="65" t="s">
        <v>154</v>
      </c>
      <c r="I795" s="65"/>
      <c r="J795" s="65" t="s">
        <v>9</v>
      </c>
      <c r="K795" s="97" t="s">
        <v>9</v>
      </c>
      <c r="L795" s="129">
        <v>1.5</v>
      </c>
      <c r="M795" s="180">
        <f t="shared" si="509"/>
        <v>2.25</v>
      </c>
      <c r="N795" s="129">
        <v>3.0</v>
      </c>
      <c r="O795" s="129">
        <f t="shared" ref="O795:O797" si="516">IF(COUNT(L795:N795)=0,"",(L795+4*M795+N795)/6)</f>
        <v>2.25</v>
      </c>
      <c r="P795" s="159">
        <v>0.15</v>
      </c>
      <c r="Q795" s="208">
        <f t="shared" ref="Q795:Q797" si="517">IF(O795="","",IF(P795="",O795,O795*(1+P795)))</f>
        <v>2.5875</v>
      </c>
      <c r="R795" s="132">
        <v>4.0</v>
      </c>
      <c r="S795" s="132">
        <v>2.0</v>
      </c>
      <c r="T795" s="65" t="s">
        <v>31</v>
      </c>
      <c r="U795" s="26"/>
      <c r="V795" s="26"/>
      <c r="W795" s="26"/>
      <c r="X795" s="26"/>
      <c r="Y795" s="26"/>
      <c r="Z795" s="26"/>
      <c r="AA795" s="26"/>
      <c r="AB795" s="26"/>
      <c r="AC795" s="26"/>
    </row>
    <row r="796" ht="33.75" customHeight="1">
      <c r="A796" s="65" t="s">
        <v>1359</v>
      </c>
      <c r="B796" s="215" t="s">
        <v>1334</v>
      </c>
      <c r="C796" s="215" t="s">
        <v>1335</v>
      </c>
      <c r="D796" s="215" t="s">
        <v>1356</v>
      </c>
      <c r="E796" s="215" t="s">
        <v>1357</v>
      </c>
      <c r="F796" s="65" t="s">
        <v>1337</v>
      </c>
      <c r="G796" s="65" t="s">
        <v>154</v>
      </c>
      <c r="H796" s="65" t="s">
        <v>154</v>
      </c>
      <c r="I796" s="65"/>
      <c r="J796" s="65" t="s">
        <v>9</v>
      </c>
      <c r="K796" s="97" t="s">
        <v>9</v>
      </c>
      <c r="L796" s="129">
        <v>1.5</v>
      </c>
      <c r="M796" s="180">
        <f t="shared" si="509"/>
        <v>2.25</v>
      </c>
      <c r="N796" s="129">
        <v>3.0</v>
      </c>
      <c r="O796" s="129">
        <f t="shared" si="516"/>
        <v>2.25</v>
      </c>
      <c r="P796" s="159">
        <v>0.15</v>
      </c>
      <c r="Q796" s="208">
        <f t="shared" si="517"/>
        <v>2.5875</v>
      </c>
      <c r="R796" s="132">
        <v>4.0</v>
      </c>
      <c r="S796" s="132">
        <v>2.0</v>
      </c>
      <c r="T796" s="65" t="s">
        <v>32</v>
      </c>
      <c r="U796" s="26"/>
      <c r="V796" s="26"/>
      <c r="W796" s="26"/>
      <c r="X796" s="26"/>
      <c r="Y796" s="26"/>
      <c r="Z796" s="26"/>
      <c r="AA796" s="26"/>
      <c r="AB796" s="26"/>
      <c r="AC796" s="26"/>
    </row>
    <row r="797" ht="33.75" customHeight="1">
      <c r="A797" s="65" t="s">
        <v>1360</v>
      </c>
      <c r="B797" s="215" t="s">
        <v>1334</v>
      </c>
      <c r="C797" s="215" t="s">
        <v>1335</v>
      </c>
      <c r="D797" s="215" t="s">
        <v>1356</v>
      </c>
      <c r="E797" s="215" t="s">
        <v>1357</v>
      </c>
      <c r="F797" s="65" t="s">
        <v>1337</v>
      </c>
      <c r="G797" s="65" t="s">
        <v>154</v>
      </c>
      <c r="H797" s="65" t="s">
        <v>154</v>
      </c>
      <c r="I797" s="65"/>
      <c r="J797" s="65" t="s">
        <v>9</v>
      </c>
      <c r="K797" s="97" t="s">
        <v>9</v>
      </c>
      <c r="L797" s="129">
        <v>0.5</v>
      </c>
      <c r="M797" s="180">
        <f t="shared" si="509"/>
        <v>0.75</v>
      </c>
      <c r="N797" s="129">
        <v>1.0</v>
      </c>
      <c r="O797" s="129">
        <f t="shared" si="516"/>
        <v>0.75</v>
      </c>
      <c r="P797" s="159">
        <v>0.1</v>
      </c>
      <c r="Q797" s="208">
        <f t="shared" si="517"/>
        <v>0.825</v>
      </c>
      <c r="R797" s="132">
        <v>4.0</v>
      </c>
      <c r="S797" s="132">
        <v>2.0</v>
      </c>
      <c r="T797" s="65" t="s">
        <v>70</v>
      </c>
      <c r="U797" s="26"/>
      <c r="V797" s="26"/>
      <c r="W797" s="26"/>
      <c r="X797" s="26"/>
      <c r="Y797" s="26"/>
      <c r="Z797" s="26"/>
      <c r="AA797" s="26"/>
      <c r="AB797" s="26"/>
      <c r="AC797" s="26"/>
    </row>
    <row r="798" ht="33.75" customHeight="1">
      <c r="A798" s="71" t="s">
        <v>1361</v>
      </c>
      <c r="B798" s="209" t="s">
        <v>1334</v>
      </c>
      <c r="C798" s="209" t="s">
        <v>1335</v>
      </c>
      <c r="D798" s="219" t="s">
        <v>1362</v>
      </c>
      <c r="E798" s="219" t="s">
        <v>1363</v>
      </c>
      <c r="F798" s="54" t="s">
        <v>1337</v>
      </c>
      <c r="G798" s="54" t="s">
        <v>154</v>
      </c>
      <c r="H798" s="54" t="s">
        <v>154</v>
      </c>
      <c r="I798" s="54"/>
      <c r="J798" s="54" t="s">
        <v>9</v>
      </c>
      <c r="K798" s="119" t="s">
        <v>9</v>
      </c>
      <c r="L798" s="202">
        <f>IF(COUNT(L799:N801)=0,"",SUM(L799:L801))</f>
        <v>0.5</v>
      </c>
      <c r="M798" s="174">
        <f t="shared" si="509"/>
        <v>0.875</v>
      </c>
      <c r="N798" s="202">
        <f>IF(COUNT(L799:N801)=0,"",SUM(N799:N801))</f>
        <v>1.25</v>
      </c>
      <c r="O798" s="202">
        <f>IF(COUNT(O799:O801)=0,"",SUM(O799:O801))</f>
        <v>0.875</v>
      </c>
      <c r="P798" s="210"/>
      <c r="Q798" s="202">
        <f>IF(COUNT(Q799:Q801)=0,"",SUM(Q799:Q801))</f>
        <v>0.875</v>
      </c>
      <c r="R798" s="163"/>
      <c r="S798" s="163"/>
      <c r="T798" s="54" t="s">
        <v>65</v>
      </c>
      <c r="U798" s="179"/>
      <c r="V798" s="179"/>
      <c r="W798" s="179"/>
      <c r="X798" s="105"/>
      <c r="Y798" s="105"/>
      <c r="Z798" s="105"/>
      <c r="AA798" s="105"/>
      <c r="AB798" s="105"/>
      <c r="AC798" s="105"/>
    </row>
    <row r="799" ht="33.75" customHeight="1">
      <c r="A799" s="220" t="s">
        <v>1364</v>
      </c>
      <c r="B799" s="215" t="s">
        <v>1334</v>
      </c>
      <c r="C799" s="215" t="str">
        <f t="shared" ref="C799:K799" si="518">C798</f>
        <v>Query Interface</v>
      </c>
      <c r="D799" s="215" t="str">
        <f t="shared" si="518"/>
        <v>Seed new chats with a daily or weekly summary to avoid the blank-start problem</v>
      </c>
      <c r="E799" s="215" t="str">
        <f t="shared" si="518"/>
        <v> Workshop 21 April: when a user opens a new chat, Budgie starts with a contextual summary (today's brief or this week's review) rather than an empty page. Increases engagement and surfaces relevant coaching moments.</v>
      </c>
      <c r="F799" s="215" t="str">
        <f t="shared" si="518"/>
        <v>8.1.1</v>
      </c>
      <c r="G799" s="215" t="str">
        <f t="shared" si="518"/>
        <v>S</v>
      </c>
      <c r="H799" s="215" t="str">
        <f t="shared" si="518"/>
        <v>S</v>
      </c>
      <c r="I799" s="215" t="str">
        <f t="shared" si="518"/>
        <v/>
      </c>
      <c r="J799" s="215" t="str">
        <f t="shared" si="518"/>
        <v>MVP</v>
      </c>
      <c r="K799" s="215" t="str">
        <f t="shared" si="518"/>
        <v>MVP</v>
      </c>
      <c r="L799" s="128">
        <v>0.0</v>
      </c>
      <c r="M799" s="180">
        <f t="shared" si="509"/>
        <v>0</v>
      </c>
      <c r="N799" s="128">
        <v>0.0</v>
      </c>
      <c r="O799" s="129">
        <f t="shared" ref="O799:O801" si="520">IF(COUNT(L799:N799)=0,"",(L799+4*M799+N799)/6)</f>
        <v>0</v>
      </c>
      <c r="P799" s="159"/>
      <c r="Q799" s="208">
        <f t="shared" ref="Q799:Q801" si="521">IF(O799="","",IF(P799="",O799,O799*(1+P799)))</f>
        <v>0</v>
      </c>
      <c r="R799" s="132"/>
      <c r="S799" s="132"/>
      <c r="T799" s="65" t="s">
        <v>31</v>
      </c>
      <c r="U799" s="26"/>
      <c r="V799" s="26"/>
      <c r="W799" s="26"/>
      <c r="X799" s="26"/>
      <c r="Y799" s="26"/>
      <c r="Z799" s="26"/>
      <c r="AA799" s="26"/>
      <c r="AB799" s="26"/>
      <c r="AC799" s="26"/>
    </row>
    <row r="800" ht="33.75" customHeight="1">
      <c r="A800" s="221" t="s">
        <v>1365</v>
      </c>
      <c r="B800" s="215" t="s">
        <v>1334</v>
      </c>
      <c r="C800" s="215" t="str">
        <f t="shared" ref="C800:K800" si="519">C799</f>
        <v>Query Interface</v>
      </c>
      <c r="D800" s="215" t="str">
        <f t="shared" si="519"/>
        <v>Seed new chats with a daily or weekly summary to avoid the blank-start problem</v>
      </c>
      <c r="E800" s="215" t="str">
        <f t="shared" si="519"/>
        <v> Workshop 21 April: when a user opens a new chat, Budgie starts with a contextual summary (today's brief or this week's review) rather than an empty page. Increases engagement and surfaces relevant coaching moments.</v>
      </c>
      <c r="F800" s="215" t="str">
        <f t="shared" si="519"/>
        <v>8.1.1</v>
      </c>
      <c r="G800" s="215" t="str">
        <f t="shared" si="519"/>
        <v>S</v>
      </c>
      <c r="H800" s="215" t="str">
        <f t="shared" si="519"/>
        <v>S</v>
      </c>
      <c r="I800" s="215" t="str">
        <f t="shared" si="519"/>
        <v/>
      </c>
      <c r="J800" s="215" t="str">
        <f t="shared" si="519"/>
        <v>MVP</v>
      </c>
      <c r="K800" s="215" t="str">
        <f t="shared" si="519"/>
        <v>MVP</v>
      </c>
      <c r="L800" s="128">
        <v>0.25</v>
      </c>
      <c r="M800" s="180">
        <f t="shared" si="509"/>
        <v>0.5</v>
      </c>
      <c r="N800" s="128">
        <v>0.75</v>
      </c>
      <c r="O800" s="129">
        <f t="shared" si="520"/>
        <v>0.5</v>
      </c>
      <c r="P800" s="159"/>
      <c r="Q800" s="208">
        <f t="shared" si="521"/>
        <v>0.5</v>
      </c>
      <c r="R800" s="132"/>
      <c r="S800" s="132"/>
      <c r="T800" s="65" t="s">
        <v>32</v>
      </c>
      <c r="U800" s="26"/>
      <c r="V800" s="26"/>
      <c r="W800" s="26"/>
      <c r="X800" s="26"/>
      <c r="Y800" s="26"/>
      <c r="Z800" s="26"/>
      <c r="AA800" s="26"/>
      <c r="AB800" s="26"/>
      <c r="AC800" s="26"/>
    </row>
    <row r="801" ht="33.75" customHeight="1">
      <c r="A801" s="221" t="s">
        <v>1366</v>
      </c>
      <c r="B801" s="215" t="s">
        <v>1334</v>
      </c>
      <c r="C801" s="215" t="str">
        <f t="shared" ref="C801:K801" si="522">C800</f>
        <v>Query Interface</v>
      </c>
      <c r="D801" s="215" t="str">
        <f t="shared" si="522"/>
        <v>Seed new chats with a daily or weekly summary to avoid the blank-start problem</v>
      </c>
      <c r="E801" s="215" t="str">
        <f t="shared" si="522"/>
        <v> Workshop 21 April: when a user opens a new chat, Budgie starts with a contextual summary (today's brief or this week's review) rather than an empty page. Increases engagement and surfaces relevant coaching moments.</v>
      </c>
      <c r="F801" s="215" t="str">
        <f t="shared" si="522"/>
        <v>8.1.1</v>
      </c>
      <c r="G801" s="215" t="str">
        <f t="shared" si="522"/>
        <v>S</v>
      </c>
      <c r="H801" s="215" t="str">
        <f t="shared" si="522"/>
        <v>S</v>
      </c>
      <c r="I801" s="215" t="str">
        <f t="shared" si="522"/>
        <v/>
      </c>
      <c r="J801" s="215" t="str">
        <f t="shared" si="522"/>
        <v>MVP</v>
      </c>
      <c r="K801" s="215" t="str">
        <f t="shared" si="522"/>
        <v>MVP</v>
      </c>
      <c r="L801" s="128">
        <v>0.25</v>
      </c>
      <c r="M801" s="180">
        <f t="shared" si="509"/>
        <v>0.375</v>
      </c>
      <c r="N801" s="128">
        <v>0.5</v>
      </c>
      <c r="O801" s="129">
        <f t="shared" si="520"/>
        <v>0.375</v>
      </c>
      <c r="P801" s="159"/>
      <c r="Q801" s="208">
        <f t="shared" si="521"/>
        <v>0.375</v>
      </c>
      <c r="R801" s="132"/>
      <c r="S801" s="132"/>
      <c r="T801" s="65" t="s">
        <v>70</v>
      </c>
      <c r="U801" s="26"/>
      <c r="V801" s="26"/>
      <c r="W801" s="26"/>
      <c r="X801" s="26"/>
      <c r="Y801" s="26"/>
      <c r="Z801" s="26"/>
      <c r="AA801" s="26"/>
      <c r="AB801" s="26"/>
      <c r="AC801" s="26"/>
    </row>
    <row r="802" ht="33.75" customHeight="1">
      <c r="A802" s="222" t="s">
        <v>1367</v>
      </c>
      <c r="B802" s="223" t="s">
        <v>1334</v>
      </c>
      <c r="C802" s="223" t="s">
        <v>1335</v>
      </c>
      <c r="D802" s="223" t="s">
        <v>1368</v>
      </c>
      <c r="E802" s="99" t="s">
        <v>1369</v>
      </c>
      <c r="F802" s="98" t="s">
        <v>1355</v>
      </c>
      <c r="G802" s="98" t="s">
        <v>154</v>
      </c>
      <c r="H802" s="98" t="s">
        <v>154</v>
      </c>
      <c r="I802" s="98"/>
      <c r="J802" s="98" t="s">
        <v>12</v>
      </c>
      <c r="K802" s="100" t="s">
        <v>12</v>
      </c>
      <c r="L802" s="101">
        <f>IF(COUNT(L803:N805)=0,"",SUM(L803:L805))</f>
        <v>0</v>
      </c>
      <c r="M802" s="102">
        <f t="shared" si="509"/>
        <v>0</v>
      </c>
      <c r="N802" s="101">
        <f>IF(COUNT(L803:N805)=0,"",SUM(N803:N805))</f>
        <v>0</v>
      </c>
      <c r="O802" s="101">
        <f>IF(COUNT(O803:O805)=0,"",SUM(O803:O805))</f>
        <v>0</v>
      </c>
      <c r="P802" s="103"/>
      <c r="Q802" s="101">
        <f>IF(COUNT(Q803:Q805)=0,"",SUM(Q803:Q805))</f>
        <v>0</v>
      </c>
      <c r="R802" s="104"/>
      <c r="S802" s="104"/>
      <c r="T802" s="98" t="s">
        <v>65</v>
      </c>
      <c r="U802" s="179"/>
      <c r="V802" s="179"/>
      <c r="W802" s="179"/>
      <c r="X802" s="105"/>
      <c r="Y802" s="105"/>
      <c r="Z802" s="105"/>
      <c r="AA802" s="105"/>
      <c r="AB802" s="105"/>
      <c r="AC802" s="105"/>
    </row>
    <row r="803" ht="33.75" customHeight="1">
      <c r="A803" s="224" t="s">
        <v>1370</v>
      </c>
      <c r="B803" s="225" t="s">
        <v>1334</v>
      </c>
      <c r="C803" s="225" t="str">
        <f t="shared" ref="C803:K803" si="523">C802</f>
        <v>Query Interface</v>
      </c>
      <c r="D803" s="225" t="str">
        <f t="shared" si="523"/>
        <v>Chat branching and categorisation — organise and split chat threads by topic</v>
      </c>
      <c r="E803" s="107" t="str">
        <f t="shared" si="523"/>
        <v>Workshop 21 April: flagged as a future feature beyond MVP multi-thread basics.</v>
      </c>
      <c r="F803" s="106" t="str">
        <f t="shared" si="523"/>
        <v>8.1.4</v>
      </c>
      <c r="G803" s="106" t="str">
        <f t="shared" si="523"/>
        <v>S</v>
      </c>
      <c r="H803" s="106" t="str">
        <f t="shared" si="523"/>
        <v>S</v>
      </c>
      <c r="I803" s="106" t="str">
        <f t="shared" si="523"/>
        <v/>
      </c>
      <c r="J803" s="106" t="str">
        <f t="shared" si="523"/>
        <v>v1.1</v>
      </c>
      <c r="K803" s="108" t="str">
        <f t="shared" si="523"/>
        <v>v1.1</v>
      </c>
      <c r="L803" s="109"/>
      <c r="M803" s="109">
        <f t="shared" si="509"/>
        <v>0</v>
      </c>
      <c r="N803" s="109"/>
      <c r="O803" s="109">
        <f t="shared" ref="O803:O805" si="525">IF(COUNT(L803:N803)=0,"",(L803+4*M803+N803)/6)</f>
        <v>0</v>
      </c>
      <c r="P803" s="110"/>
      <c r="Q803" s="109">
        <f t="shared" ref="Q803:Q805" si="526">IF(O803="","",IF(P803="",O803,O803*(1+P803)))</f>
        <v>0</v>
      </c>
      <c r="R803" s="111"/>
      <c r="S803" s="111"/>
      <c r="T803" s="106" t="s">
        <v>31</v>
      </c>
      <c r="U803" s="26"/>
      <c r="V803" s="26"/>
      <c r="W803" s="26"/>
      <c r="X803" s="26"/>
      <c r="Y803" s="26"/>
      <c r="Z803" s="26"/>
      <c r="AA803" s="26"/>
      <c r="AB803" s="26"/>
      <c r="AC803" s="26"/>
    </row>
    <row r="804" ht="33.75" customHeight="1">
      <c r="A804" s="226" t="s">
        <v>1371</v>
      </c>
      <c r="B804" s="225" t="s">
        <v>1334</v>
      </c>
      <c r="C804" s="225" t="str">
        <f t="shared" ref="C804:K804" si="524">C803</f>
        <v>Query Interface</v>
      </c>
      <c r="D804" s="225" t="str">
        <f t="shared" si="524"/>
        <v>Chat branching and categorisation — organise and split chat threads by topic</v>
      </c>
      <c r="E804" s="107" t="str">
        <f t="shared" si="524"/>
        <v>Workshop 21 April: flagged as a future feature beyond MVP multi-thread basics.</v>
      </c>
      <c r="F804" s="106" t="str">
        <f t="shared" si="524"/>
        <v>8.1.4</v>
      </c>
      <c r="G804" s="106" t="str">
        <f t="shared" si="524"/>
        <v>S</v>
      </c>
      <c r="H804" s="106" t="str">
        <f t="shared" si="524"/>
        <v>S</v>
      </c>
      <c r="I804" s="106" t="str">
        <f t="shared" si="524"/>
        <v/>
      </c>
      <c r="J804" s="106" t="str">
        <f t="shared" si="524"/>
        <v>v1.1</v>
      </c>
      <c r="K804" s="108" t="str">
        <f t="shared" si="524"/>
        <v>v1.1</v>
      </c>
      <c r="L804" s="109"/>
      <c r="M804" s="109">
        <f t="shared" si="509"/>
        <v>0</v>
      </c>
      <c r="N804" s="109"/>
      <c r="O804" s="109">
        <f t="shared" si="525"/>
        <v>0</v>
      </c>
      <c r="P804" s="110"/>
      <c r="Q804" s="109">
        <f t="shared" si="526"/>
        <v>0</v>
      </c>
      <c r="R804" s="111"/>
      <c r="S804" s="111"/>
      <c r="T804" s="106" t="s">
        <v>32</v>
      </c>
      <c r="U804" s="26"/>
      <c r="V804" s="26"/>
      <c r="W804" s="26"/>
      <c r="X804" s="26"/>
      <c r="Y804" s="26"/>
      <c r="Z804" s="26"/>
      <c r="AA804" s="26"/>
      <c r="AB804" s="26"/>
      <c r="AC804" s="26"/>
    </row>
    <row r="805" ht="33.75" customHeight="1">
      <c r="A805" s="226" t="s">
        <v>1372</v>
      </c>
      <c r="B805" s="225" t="s">
        <v>1334</v>
      </c>
      <c r="C805" s="225" t="str">
        <f t="shared" ref="C805:K805" si="527">C804</f>
        <v>Query Interface</v>
      </c>
      <c r="D805" s="225" t="str">
        <f t="shared" si="527"/>
        <v>Chat branching and categorisation — organise and split chat threads by topic</v>
      </c>
      <c r="E805" s="107" t="str">
        <f t="shared" si="527"/>
        <v>Workshop 21 April: flagged as a future feature beyond MVP multi-thread basics.</v>
      </c>
      <c r="F805" s="106" t="str">
        <f t="shared" si="527"/>
        <v>8.1.4</v>
      </c>
      <c r="G805" s="106" t="str">
        <f t="shared" si="527"/>
        <v>S</v>
      </c>
      <c r="H805" s="106" t="str">
        <f t="shared" si="527"/>
        <v>S</v>
      </c>
      <c r="I805" s="106" t="str">
        <f t="shared" si="527"/>
        <v/>
      </c>
      <c r="J805" s="106" t="str">
        <f t="shared" si="527"/>
        <v>v1.1</v>
      </c>
      <c r="K805" s="108" t="str">
        <f t="shared" si="527"/>
        <v>v1.1</v>
      </c>
      <c r="L805" s="109"/>
      <c r="M805" s="109">
        <f t="shared" si="509"/>
        <v>0</v>
      </c>
      <c r="N805" s="109"/>
      <c r="O805" s="109">
        <f t="shared" si="525"/>
        <v>0</v>
      </c>
      <c r="P805" s="110"/>
      <c r="Q805" s="109">
        <f t="shared" si="526"/>
        <v>0</v>
      </c>
      <c r="R805" s="111"/>
      <c r="S805" s="111"/>
      <c r="T805" s="106" t="s">
        <v>70</v>
      </c>
      <c r="U805" s="26"/>
      <c r="V805" s="26"/>
      <c r="W805" s="26"/>
      <c r="X805" s="26"/>
      <c r="Y805" s="26"/>
      <c r="Z805" s="26"/>
      <c r="AA805" s="26"/>
      <c r="AB805" s="26"/>
      <c r="AC805" s="26"/>
    </row>
    <row r="806" ht="33.75" customHeight="1">
      <c r="A806" s="45" t="s">
        <v>1373</v>
      </c>
      <c r="B806" s="212" t="s">
        <v>1334</v>
      </c>
      <c r="C806" s="212" t="s">
        <v>1374</v>
      </c>
      <c r="D806" s="212" t="s">
        <v>1374</v>
      </c>
      <c r="E806" s="212" t="s">
        <v>1375</v>
      </c>
      <c r="F806" s="45"/>
      <c r="G806" s="45"/>
      <c r="H806" s="45"/>
      <c r="I806" s="45"/>
      <c r="J806" s="45"/>
      <c r="K806" s="123"/>
      <c r="L806" s="213">
        <f>IF(COUNT(L807,L811,L815,L819,L823,L827)=0,"",SUM(L807,L811,L815,L819,L823,L827))</f>
        <v>17.5</v>
      </c>
      <c r="M806" s="213">
        <f t="shared" si="509"/>
        <v>22.25</v>
      </c>
      <c r="N806" s="213">
        <f t="shared" ref="N806:O806" si="528">IF(COUNT(N807,N811,N815,N819,N823,N827)=0,"",SUM(N807,N811,N815,N819,N823,N827))</f>
        <v>27</v>
      </c>
      <c r="O806" s="213">
        <f t="shared" si="528"/>
        <v>23.25</v>
      </c>
      <c r="P806" s="214"/>
      <c r="Q806" s="213">
        <f>IF(COUNT(Q807,Q811,Q815,Q819,Q823,Q827)=0,"",SUM(Q807,Q811,Q815,Q819,Q823,Q827))</f>
        <v>26.6</v>
      </c>
      <c r="R806" s="126"/>
      <c r="S806" s="126"/>
      <c r="T806" s="45" t="s">
        <v>62</v>
      </c>
      <c r="U806" s="26"/>
      <c r="V806" s="26"/>
      <c r="W806" s="26"/>
      <c r="X806" s="46">
        <f t="shared" ref="X806:AA806" si="529">L806</f>
        <v>17.5</v>
      </c>
      <c r="Y806" s="46">
        <f t="shared" si="529"/>
        <v>22.25</v>
      </c>
      <c r="Z806" s="46">
        <f t="shared" si="529"/>
        <v>27</v>
      </c>
      <c r="AA806" s="46">
        <f t="shared" si="529"/>
        <v>23.25</v>
      </c>
      <c r="AB806" s="26"/>
      <c r="AC806" s="46">
        <f>Q806</f>
        <v>26.6</v>
      </c>
    </row>
    <row r="807" ht="33.75" customHeight="1">
      <c r="A807" s="54" t="s">
        <v>1376</v>
      </c>
      <c r="B807" s="209" t="s">
        <v>1334</v>
      </c>
      <c r="C807" s="209" t="s">
        <v>1374</v>
      </c>
      <c r="D807" s="209" t="s">
        <v>1377</v>
      </c>
      <c r="E807" s="209" t="s">
        <v>1378</v>
      </c>
      <c r="F807" s="54" t="s">
        <v>639</v>
      </c>
      <c r="G807" s="54" t="s">
        <v>200</v>
      </c>
      <c r="H807" s="54" t="s">
        <v>200</v>
      </c>
      <c r="I807" s="54"/>
      <c r="J807" s="54" t="s">
        <v>9</v>
      </c>
      <c r="K807" s="119" t="s">
        <v>9</v>
      </c>
      <c r="L807" s="202">
        <f>IF(COUNT(L808:N810)=0,"",SUM(L808:L810))</f>
        <v>3</v>
      </c>
      <c r="M807" s="174">
        <f t="shared" si="509"/>
        <v>5.5</v>
      </c>
      <c r="N807" s="202">
        <f>IF(COUNT(L808:N810)=0,"",SUM(N808:N810))</f>
        <v>8</v>
      </c>
      <c r="O807" s="202">
        <f>IF(COUNT(O808:O810)=0,"",SUM(O808:O810))</f>
        <v>5.5</v>
      </c>
      <c r="P807" s="210"/>
      <c r="Q807" s="202">
        <f>IF(COUNT(Q808:Q810)=0,"",SUM(Q808:Q810))</f>
        <v>6.35</v>
      </c>
      <c r="R807" s="163"/>
      <c r="S807" s="163"/>
      <c r="T807" s="54" t="s">
        <v>65</v>
      </c>
      <c r="U807" s="179"/>
      <c r="V807" s="179"/>
      <c r="W807" s="179"/>
      <c r="X807" s="105"/>
      <c r="Y807" s="105"/>
      <c r="Z807" s="105"/>
      <c r="AA807" s="105"/>
      <c r="AB807" s="105"/>
      <c r="AC807" s="105"/>
    </row>
    <row r="808" ht="33.75" customHeight="1">
      <c r="A808" s="65" t="s">
        <v>1379</v>
      </c>
      <c r="B808" s="215" t="s">
        <v>1334</v>
      </c>
      <c r="C808" s="215" t="s">
        <v>1374</v>
      </c>
      <c r="D808" s="215" t="s">
        <v>1377</v>
      </c>
      <c r="E808" s="215" t="s">
        <v>1378</v>
      </c>
      <c r="F808" s="65" t="s">
        <v>639</v>
      </c>
      <c r="G808" s="65" t="s">
        <v>200</v>
      </c>
      <c r="H808" s="65" t="s">
        <v>200</v>
      </c>
      <c r="I808" s="65"/>
      <c r="J808" s="65" t="s">
        <v>9</v>
      </c>
      <c r="K808" s="97" t="s">
        <v>9</v>
      </c>
      <c r="L808" s="129">
        <v>0.5</v>
      </c>
      <c r="M808" s="180">
        <f t="shared" si="509"/>
        <v>1.5</v>
      </c>
      <c r="N808" s="129">
        <v>2.5</v>
      </c>
      <c r="O808" s="129">
        <f t="shared" ref="O808:O810" si="530">IF(COUNT(L808:N808)=0,"",(L808+4*M808+N808)/6)</f>
        <v>1.5</v>
      </c>
      <c r="P808" s="159">
        <v>0.1</v>
      </c>
      <c r="Q808" s="208">
        <f t="shared" ref="Q808:Q810" si="531">IF(O808="","",IF(P808="",O808,O808*(1+P808)))</f>
        <v>1.65</v>
      </c>
      <c r="R808" s="132">
        <v>4.0</v>
      </c>
      <c r="S808" s="132">
        <v>2.0</v>
      </c>
      <c r="T808" s="65" t="s">
        <v>31</v>
      </c>
      <c r="U808" s="26"/>
      <c r="V808" s="26"/>
      <c r="W808" s="26"/>
      <c r="X808" s="26"/>
      <c r="Y808" s="26"/>
      <c r="Z808" s="26"/>
      <c r="AA808" s="26"/>
      <c r="AB808" s="26"/>
      <c r="AC808" s="26"/>
    </row>
    <row r="809" ht="33.75" customHeight="1">
      <c r="A809" s="65" t="s">
        <v>1380</v>
      </c>
      <c r="B809" s="215" t="s">
        <v>1334</v>
      </c>
      <c r="C809" s="215" t="s">
        <v>1374</v>
      </c>
      <c r="D809" s="215" t="s">
        <v>1377</v>
      </c>
      <c r="E809" s="215" t="s">
        <v>1378</v>
      </c>
      <c r="F809" s="65" t="s">
        <v>639</v>
      </c>
      <c r="G809" s="65" t="s">
        <v>200</v>
      </c>
      <c r="H809" s="65" t="s">
        <v>200</v>
      </c>
      <c r="I809" s="65"/>
      <c r="J809" s="65" t="s">
        <v>9</v>
      </c>
      <c r="K809" s="97" t="s">
        <v>9</v>
      </c>
      <c r="L809" s="129">
        <v>2.0</v>
      </c>
      <c r="M809" s="180">
        <f t="shared" si="509"/>
        <v>3</v>
      </c>
      <c r="N809" s="129">
        <v>4.0</v>
      </c>
      <c r="O809" s="129">
        <f t="shared" si="530"/>
        <v>3</v>
      </c>
      <c r="P809" s="159">
        <v>0.2</v>
      </c>
      <c r="Q809" s="208">
        <f t="shared" si="531"/>
        <v>3.6</v>
      </c>
      <c r="R809" s="132">
        <v>3.0</v>
      </c>
      <c r="S809" s="132">
        <v>3.0</v>
      </c>
      <c r="T809" s="65" t="s">
        <v>32</v>
      </c>
      <c r="U809" s="26"/>
      <c r="V809" s="26"/>
      <c r="W809" s="26"/>
      <c r="X809" s="26"/>
      <c r="Y809" s="26"/>
      <c r="Z809" s="26"/>
      <c r="AA809" s="26"/>
      <c r="AB809" s="26"/>
      <c r="AC809" s="26"/>
    </row>
    <row r="810" ht="33.75" customHeight="1">
      <c r="A810" s="65" t="s">
        <v>1381</v>
      </c>
      <c r="B810" s="215" t="s">
        <v>1334</v>
      </c>
      <c r="C810" s="215" t="s">
        <v>1374</v>
      </c>
      <c r="D810" s="215" t="s">
        <v>1377</v>
      </c>
      <c r="E810" s="215" t="s">
        <v>1378</v>
      </c>
      <c r="F810" s="65" t="s">
        <v>639</v>
      </c>
      <c r="G810" s="65" t="s">
        <v>200</v>
      </c>
      <c r="H810" s="65" t="s">
        <v>200</v>
      </c>
      <c r="I810" s="65"/>
      <c r="J810" s="65" t="s">
        <v>9</v>
      </c>
      <c r="K810" s="97" t="s">
        <v>9</v>
      </c>
      <c r="L810" s="129">
        <v>0.5</v>
      </c>
      <c r="M810" s="180">
        <f t="shared" si="509"/>
        <v>1</v>
      </c>
      <c r="N810" s="129">
        <v>1.5</v>
      </c>
      <c r="O810" s="129">
        <f t="shared" si="530"/>
        <v>1</v>
      </c>
      <c r="P810" s="159">
        <v>0.1</v>
      </c>
      <c r="Q810" s="208">
        <f t="shared" si="531"/>
        <v>1.1</v>
      </c>
      <c r="R810" s="132">
        <v>4.0</v>
      </c>
      <c r="S810" s="132">
        <v>2.0</v>
      </c>
      <c r="T810" s="65" t="s">
        <v>70</v>
      </c>
      <c r="U810" s="26"/>
      <c r="V810" s="26"/>
      <c r="W810" s="26"/>
      <c r="X810" s="26"/>
      <c r="Y810" s="26"/>
      <c r="Z810" s="26"/>
      <c r="AA810" s="26"/>
      <c r="AB810" s="26"/>
      <c r="AC810" s="26"/>
    </row>
    <row r="811" ht="33.75" customHeight="1">
      <c r="A811" s="54" t="s">
        <v>1382</v>
      </c>
      <c r="B811" s="209" t="s">
        <v>1334</v>
      </c>
      <c r="C811" s="209" t="s">
        <v>1374</v>
      </c>
      <c r="D811" s="209" t="s">
        <v>1383</v>
      </c>
      <c r="E811" s="209" t="s">
        <v>1384</v>
      </c>
      <c r="F811" s="54" t="s">
        <v>1385</v>
      </c>
      <c r="G811" s="54" t="s">
        <v>200</v>
      </c>
      <c r="H811" s="54" t="s">
        <v>200</v>
      </c>
      <c r="I811" s="54"/>
      <c r="J811" s="54" t="s">
        <v>9</v>
      </c>
      <c r="K811" s="119" t="s">
        <v>9</v>
      </c>
      <c r="L811" s="202">
        <f>IF(COUNT(L812:N814)=0,"",SUM(L812:L814))</f>
        <v>3.75</v>
      </c>
      <c r="M811" s="174">
        <f t="shared" si="509"/>
        <v>3.875</v>
      </c>
      <c r="N811" s="202">
        <f>IF(COUNT(L812:N814)=0,"",SUM(N812:N814))</f>
        <v>4</v>
      </c>
      <c r="O811" s="202">
        <f>IF(COUNT(O812:O814)=0,"",SUM(O812:O814))</f>
        <v>3.875</v>
      </c>
      <c r="P811" s="210"/>
      <c r="Q811" s="202">
        <f>IF(COUNT(Q812:Q814)=0,"",SUM(Q812:Q814))</f>
        <v>4.4875</v>
      </c>
      <c r="R811" s="163"/>
      <c r="S811" s="163"/>
      <c r="T811" s="54" t="s">
        <v>65</v>
      </c>
      <c r="U811" s="179"/>
      <c r="V811" s="179"/>
      <c r="W811" s="179"/>
      <c r="X811" s="105"/>
      <c r="Y811" s="105"/>
      <c r="Z811" s="105"/>
      <c r="AA811" s="105"/>
      <c r="AB811" s="105"/>
      <c r="AC811" s="105"/>
    </row>
    <row r="812" ht="33.75" customHeight="1">
      <c r="A812" s="65" t="s">
        <v>1386</v>
      </c>
      <c r="B812" s="215" t="s">
        <v>1334</v>
      </c>
      <c r="C812" s="215" t="s">
        <v>1374</v>
      </c>
      <c r="D812" s="215" t="s">
        <v>1383</v>
      </c>
      <c r="E812" s="215" t="s">
        <v>1384</v>
      </c>
      <c r="F812" s="65" t="s">
        <v>1385</v>
      </c>
      <c r="G812" s="65" t="s">
        <v>200</v>
      </c>
      <c r="H812" s="65" t="s">
        <v>200</v>
      </c>
      <c r="I812" s="65"/>
      <c r="J812" s="65" t="s">
        <v>9</v>
      </c>
      <c r="K812" s="97" t="s">
        <v>9</v>
      </c>
      <c r="L812" s="129">
        <v>0.5</v>
      </c>
      <c r="M812" s="180">
        <f t="shared" si="509"/>
        <v>0.75</v>
      </c>
      <c r="N812" s="129">
        <v>1.0</v>
      </c>
      <c r="O812" s="129">
        <f t="shared" ref="O812:O814" si="532">IF(COUNT(L812:N812)=0,"",(L812+4*M812+N812)/6)</f>
        <v>0.75</v>
      </c>
      <c r="P812" s="159">
        <v>0.1</v>
      </c>
      <c r="Q812" s="208">
        <f t="shared" ref="Q812:Q814" si="533">IF(O812="","",IF(P812="",O812,O812*(1+P812)))</f>
        <v>0.825</v>
      </c>
      <c r="R812" s="132">
        <v>4.0</v>
      </c>
      <c r="S812" s="132">
        <v>2.0</v>
      </c>
      <c r="T812" s="65" t="s">
        <v>31</v>
      </c>
      <c r="U812" s="26"/>
      <c r="V812" s="26"/>
      <c r="W812" s="26"/>
      <c r="X812" s="26"/>
      <c r="Y812" s="26"/>
      <c r="Z812" s="26"/>
      <c r="AA812" s="26"/>
      <c r="AB812" s="26"/>
      <c r="AC812" s="26"/>
    </row>
    <row r="813" ht="33.75" customHeight="1">
      <c r="A813" s="65" t="s">
        <v>1387</v>
      </c>
      <c r="B813" s="215" t="s">
        <v>1334</v>
      </c>
      <c r="C813" s="215" t="s">
        <v>1374</v>
      </c>
      <c r="D813" s="215" t="s">
        <v>1383</v>
      </c>
      <c r="E813" s="215" t="s">
        <v>1384</v>
      </c>
      <c r="F813" s="65" t="s">
        <v>1385</v>
      </c>
      <c r="G813" s="65" t="s">
        <v>200</v>
      </c>
      <c r="H813" s="65" t="s">
        <v>200</v>
      </c>
      <c r="I813" s="65"/>
      <c r="J813" s="65" t="s">
        <v>9</v>
      </c>
      <c r="K813" s="97" t="s">
        <v>9</v>
      </c>
      <c r="L813" s="129">
        <v>2.5</v>
      </c>
      <c r="M813" s="180">
        <f t="shared" si="509"/>
        <v>2.25</v>
      </c>
      <c r="N813" s="129">
        <v>2.0</v>
      </c>
      <c r="O813" s="129">
        <f t="shared" si="532"/>
        <v>2.25</v>
      </c>
      <c r="P813" s="159">
        <v>0.2</v>
      </c>
      <c r="Q813" s="208">
        <f t="shared" si="533"/>
        <v>2.7</v>
      </c>
      <c r="R813" s="132">
        <v>3.0</v>
      </c>
      <c r="S813" s="132">
        <v>3.0</v>
      </c>
      <c r="T813" s="65" t="s">
        <v>32</v>
      </c>
      <c r="U813" s="26"/>
      <c r="V813" s="26"/>
      <c r="W813" s="26"/>
      <c r="X813" s="26"/>
      <c r="Y813" s="26"/>
      <c r="Z813" s="26"/>
      <c r="AA813" s="26"/>
      <c r="AB813" s="26"/>
      <c r="AC813" s="26"/>
    </row>
    <row r="814" ht="33.75" customHeight="1">
      <c r="A814" s="65" t="s">
        <v>1388</v>
      </c>
      <c r="B814" s="215" t="s">
        <v>1334</v>
      </c>
      <c r="C814" s="215" t="s">
        <v>1374</v>
      </c>
      <c r="D814" s="215" t="s">
        <v>1383</v>
      </c>
      <c r="E814" s="215" t="s">
        <v>1384</v>
      </c>
      <c r="F814" s="65" t="s">
        <v>1385</v>
      </c>
      <c r="G814" s="65" t="s">
        <v>200</v>
      </c>
      <c r="H814" s="65" t="s">
        <v>200</v>
      </c>
      <c r="I814" s="65"/>
      <c r="J814" s="65" t="s">
        <v>9</v>
      </c>
      <c r="K814" s="97" t="s">
        <v>9</v>
      </c>
      <c r="L814" s="129">
        <v>0.75</v>
      </c>
      <c r="M814" s="180">
        <f t="shared" si="509"/>
        <v>0.875</v>
      </c>
      <c r="N814" s="129">
        <v>1.0</v>
      </c>
      <c r="O814" s="129">
        <f t="shared" si="532"/>
        <v>0.875</v>
      </c>
      <c r="P814" s="159">
        <v>0.1</v>
      </c>
      <c r="Q814" s="208">
        <f t="shared" si="533"/>
        <v>0.9625</v>
      </c>
      <c r="R814" s="132">
        <v>4.0</v>
      </c>
      <c r="S814" s="132">
        <v>2.0</v>
      </c>
      <c r="T814" s="65" t="s">
        <v>70</v>
      </c>
      <c r="U814" s="26"/>
      <c r="V814" s="26"/>
      <c r="W814" s="26"/>
      <c r="X814" s="26"/>
      <c r="Y814" s="26"/>
      <c r="Z814" s="26"/>
      <c r="AA814" s="26"/>
      <c r="AB814" s="26"/>
      <c r="AC814" s="26"/>
    </row>
    <row r="815" ht="33.75" customHeight="1">
      <c r="A815" s="54" t="s">
        <v>1389</v>
      </c>
      <c r="B815" s="209" t="s">
        <v>1334</v>
      </c>
      <c r="C815" s="209" t="s">
        <v>1374</v>
      </c>
      <c r="D815" s="209" t="s">
        <v>1390</v>
      </c>
      <c r="E815" s="209" t="s">
        <v>1391</v>
      </c>
      <c r="F815" s="54" t="s">
        <v>1392</v>
      </c>
      <c r="G815" s="54" t="s">
        <v>200</v>
      </c>
      <c r="H815" s="54" t="s">
        <v>200</v>
      </c>
      <c r="I815" s="54"/>
      <c r="J815" s="54" t="s">
        <v>9</v>
      </c>
      <c r="K815" s="119" t="s">
        <v>9</v>
      </c>
      <c r="L815" s="202">
        <f>IF(COUNT(L816:N818)=0,"",SUM(L816:L818))</f>
        <v>3.25</v>
      </c>
      <c r="M815" s="174">
        <f t="shared" si="509"/>
        <v>4.125</v>
      </c>
      <c r="N815" s="202">
        <f>IF(COUNT(L816:N818)=0,"",SUM(N816:N818))</f>
        <v>5</v>
      </c>
      <c r="O815" s="202">
        <f>IF(COUNT(O816:O818)=0,"",SUM(O816:O818))</f>
        <v>4.125</v>
      </c>
      <c r="P815" s="210"/>
      <c r="Q815" s="202">
        <f>IF(COUNT(Q816:Q818)=0,"",SUM(Q816:Q818))</f>
        <v>4.7875</v>
      </c>
      <c r="R815" s="163"/>
      <c r="S815" s="163"/>
      <c r="T815" s="54" t="s">
        <v>65</v>
      </c>
      <c r="U815" s="179"/>
      <c r="V815" s="179"/>
      <c r="W815" s="179"/>
      <c r="X815" s="105"/>
      <c r="Y815" s="105"/>
      <c r="Z815" s="105"/>
      <c r="AA815" s="105"/>
      <c r="AB815" s="105"/>
      <c r="AC815" s="105"/>
    </row>
    <row r="816" ht="33.75" customHeight="1">
      <c r="A816" s="65" t="s">
        <v>1393</v>
      </c>
      <c r="B816" s="215" t="s">
        <v>1334</v>
      </c>
      <c r="C816" s="215" t="s">
        <v>1374</v>
      </c>
      <c r="D816" s="215" t="s">
        <v>1390</v>
      </c>
      <c r="E816" s="215" t="s">
        <v>1391</v>
      </c>
      <c r="F816" s="65" t="s">
        <v>1392</v>
      </c>
      <c r="G816" s="65" t="s">
        <v>200</v>
      </c>
      <c r="H816" s="65" t="s">
        <v>200</v>
      </c>
      <c r="I816" s="65"/>
      <c r="J816" s="65" t="s">
        <v>9</v>
      </c>
      <c r="K816" s="97" t="s">
        <v>9</v>
      </c>
      <c r="L816" s="129">
        <v>0.75</v>
      </c>
      <c r="M816" s="180">
        <f t="shared" si="509"/>
        <v>0.875</v>
      </c>
      <c r="N816" s="129">
        <v>1.0</v>
      </c>
      <c r="O816" s="129">
        <f t="shared" ref="O816:O818" si="534">IF(COUNT(L816:N816)=0,"",(L816+4*M816+N816)/6)</f>
        <v>0.875</v>
      </c>
      <c r="P816" s="159">
        <v>0.1</v>
      </c>
      <c r="Q816" s="208">
        <f t="shared" ref="Q816:Q818" si="535">IF(O816="","",IF(P816="",O816,O816*(1+P816)))</f>
        <v>0.9625</v>
      </c>
      <c r="R816" s="132">
        <v>4.0</v>
      </c>
      <c r="S816" s="132">
        <v>2.0</v>
      </c>
      <c r="T816" s="65" t="s">
        <v>31</v>
      </c>
      <c r="U816" s="26"/>
      <c r="V816" s="26"/>
      <c r="W816" s="26"/>
      <c r="X816" s="26"/>
      <c r="Y816" s="26"/>
      <c r="Z816" s="26"/>
      <c r="AA816" s="26"/>
      <c r="AB816" s="26"/>
      <c r="AC816" s="26"/>
    </row>
    <row r="817" ht="33.75" customHeight="1">
      <c r="A817" s="65" t="s">
        <v>1394</v>
      </c>
      <c r="B817" s="215" t="s">
        <v>1334</v>
      </c>
      <c r="C817" s="215" t="s">
        <v>1374</v>
      </c>
      <c r="D817" s="215" t="s">
        <v>1390</v>
      </c>
      <c r="E817" s="215" t="s">
        <v>1391</v>
      </c>
      <c r="F817" s="65" t="s">
        <v>1392</v>
      </c>
      <c r="G817" s="65" t="s">
        <v>200</v>
      </c>
      <c r="H817" s="65" t="s">
        <v>200</v>
      </c>
      <c r="I817" s="65"/>
      <c r="J817" s="65" t="s">
        <v>9</v>
      </c>
      <c r="K817" s="97" t="s">
        <v>9</v>
      </c>
      <c r="L817" s="129">
        <v>2.0</v>
      </c>
      <c r="M817" s="180">
        <f t="shared" si="509"/>
        <v>2.5</v>
      </c>
      <c r="N817" s="129">
        <v>3.0</v>
      </c>
      <c r="O817" s="129">
        <f t="shared" si="534"/>
        <v>2.5</v>
      </c>
      <c r="P817" s="159">
        <v>0.2</v>
      </c>
      <c r="Q817" s="208">
        <f t="shared" si="535"/>
        <v>3</v>
      </c>
      <c r="R817" s="132">
        <v>3.0</v>
      </c>
      <c r="S817" s="132">
        <v>3.0</v>
      </c>
      <c r="T817" s="65" t="s">
        <v>32</v>
      </c>
      <c r="U817" s="26"/>
      <c r="V817" s="26"/>
      <c r="W817" s="26"/>
      <c r="X817" s="26"/>
      <c r="Y817" s="26"/>
      <c r="Z817" s="26"/>
      <c r="AA817" s="26"/>
      <c r="AB817" s="26"/>
      <c r="AC817" s="26"/>
    </row>
    <row r="818" ht="33.75" customHeight="1">
      <c r="A818" s="65" t="s">
        <v>1395</v>
      </c>
      <c r="B818" s="215" t="s">
        <v>1334</v>
      </c>
      <c r="C818" s="215" t="s">
        <v>1374</v>
      </c>
      <c r="D818" s="215" t="s">
        <v>1390</v>
      </c>
      <c r="E818" s="215" t="s">
        <v>1391</v>
      </c>
      <c r="F818" s="65" t="s">
        <v>1392</v>
      </c>
      <c r="G818" s="65" t="s">
        <v>200</v>
      </c>
      <c r="H818" s="65" t="s">
        <v>200</v>
      </c>
      <c r="I818" s="65"/>
      <c r="J818" s="65" t="s">
        <v>9</v>
      </c>
      <c r="K818" s="97" t="s">
        <v>9</v>
      </c>
      <c r="L818" s="129">
        <v>0.5</v>
      </c>
      <c r="M818" s="180">
        <f t="shared" si="509"/>
        <v>0.75</v>
      </c>
      <c r="N818" s="129">
        <v>1.0</v>
      </c>
      <c r="O818" s="129">
        <f t="shared" si="534"/>
        <v>0.75</v>
      </c>
      <c r="P818" s="159">
        <v>0.1</v>
      </c>
      <c r="Q818" s="208">
        <f t="shared" si="535"/>
        <v>0.825</v>
      </c>
      <c r="R818" s="132">
        <v>4.0</v>
      </c>
      <c r="S818" s="132">
        <v>2.0</v>
      </c>
      <c r="T818" s="65" t="s">
        <v>70</v>
      </c>
      <c r="U818" s="26"/>
      <c r="V818" s="26"/>
      <c r="W818" s="26"/>
      <c r="X818" s="26"/>
      <c r="Y818" s="26"/>
      <c r="Z818" s="26"/>
      <c r="AA818" s="26"/>
      <c r="AB818" s="26"/>
      <c r="AC818" s="26"/>
    </row>
    <row r="819" ht="33.75" customHeight="1">
      <c r="A819" s="54" t="s">
        <v>1396</v>
      </c>
      <c r="B819" s="209" t="s">
        <v>1334</v>
      </c>
      <c r="C819" s="209" t="s">
        <v>1374</v>
      </c>
      <c r="D819" s="209" t="s">
        <v>1397</v>
      </c>
      <c r="E819" s="209" t="s">
        <v>1398</v>
      </c>
      <c r="F819" s="54" t="s">
        <v>1399</v>
      </c>
      <c r="G819" s="54" t="s">
        <v>168</v>
      </c>
      <c r="H819" s="54" t="s">
        <v>168</v>
      </c>
      <c r="I819" s="54"/>
      <c r="J819" s="54" t="s">
        <v>9</v>
      </c>
      <c r="K819" s="119" t="s">
        <v>9</v>
      </c>
      <c r="L819" s="202">
        <f>IF(COUNT(L820:N822)=0,"",SUM(L820:L822))</f>
        <v>2.5</v>
      </c>
      <c r="M819" s="174">
        <f t="shared" si="509"/>
        <v>3.75</v>
      </c>
      <c r="N819" s="202">
        <f>IF(COUNT(L820:N822)=0,"",SUM(N820:N822))</f>
        <v>5</v>
      </c>
      <c r="O819" s="202">
        <f>IF(COUNT(O820:O822)=0,"",SUM(O820:O822))</f>
        <v>3.75</v>
      </c>
      <c r="P819" s="210"/>
      <c r="Q819" s="202">
        <f>IF(COUNT(Q820:Q822)=0,"",SUM(Q820:Q822))</f>
        <v>4.2</v>
      </c>
      <c r="R819" s="163"/>
      <c r="S819" s="163"/>
      <c r="T819" s="54" t="s">
        <v>65</v>
      </c>
      <c r="U819" s="179"/>
      <c r="V819" s="179"/>
      <c r="W819" s="179"/>
      <c r="X819" s="105"/>
      <c r="Y819" s="105"/>
      <c r="Z819" s="105"/>
      <c r="AA819" s="105"/>
      <c r="AB819" s="105"/>
      <c r="AC819" s="105"/>
    </row>
    <row r="820" ht="33.75" customHeight="1">
      <c r="A820" s="65" t="s">
        <v>1400</v>
      </c>
      <c r="B820" s="215" t="s">
        <v>1334</v>
      </c>
      <c r="C820" s="215" t="s">
        <v>1374</v>
      </c>
      <c r="D820" s="215" t="s">
        <v>1397</v>
      </c>
      <c r="E820" s="215" t="s">
        <v>1398</v>
      </c>
      <c r="F820" s="65" t="s">
        <v>1399</v>
      </c>
      <c r="G820" s="65" t="s">
        <v>168</v>
      </c>
      <c r="H820" s="65" t="s">
        <v>168</v>
      </c>
      <c r="I820" s="65"/>
      <c r="J820" s="65" t="s">
        <v>9</v>
      </c>
      <c r="K820" s="97" t="s">
        <v>9</v>
      </c>
      <c r="L820" s="129">
        <v>1.0</v>
      </c>
      <c r="M820" s="180">
        <f t="shared" si="509"/>
        <v>1.5</v>
      </c>
      <c r="N820" s="129">
        <v>2.0</v>
      </c>
      <c r="O820" s="129">
        <f t="shared" ref="O820:O822" si="536">IF(COUNT(L820:N820)=0,"",(L820+4*M820+N820)/6)</f>
        <v>1.5</v>
      </c>
      <c r="P820" s="159">
        <v>0.1</v>
      </c>
      <c r="Q820" s="208">
        <f t="shared" ref="Q820:Q822" si="537">IF(O820="","",IF(P820="",O820,O820*(1+P820)))</f>
        <v>1.65</v>
      </c>
      <c r="R820" s="132">
        <v>4.0</v>
      </c>
      <c r="S820" s="132">
        <v>2.0</v>
      </c>
      <c r="T820" s="65" t="s">
        <v>31</v>
      </c>
      <c r="U820" s="26"/>
      <c r="V820" s="26"/>
      <c r="W820" s="26"/>
      <c r="X820" s="26"/>
      <c r="Y820" s="26"/>
      <c r="Z820" s="26"/>
      <c r="AA820" s="26"/>
      <c r="AB820" s="26"/>
      <c r="AC820" s="26"/>
    </row>
    <row r="821" ht="33.75" customHeight="1">
      <c r="A821" s="65" t="s">
        <v>1401</v>
      </c>
      <c r="B821" s="215" t="s">
        <v>1334</v>
      </c>
      <c r="C821" s="215" t="s">
        <v>1374</v>
      </c>
      <c r="D821" s="215" t="s">
        <v>1397</v>
      </c>
      <c r="E821" s="215" t="s">
        <v>1398</v>
      </c>
      <c r="F821" s="65" t="s">
        <v>1399</v>
      </c>
      <c r="G821" s="65" t="s">
        <v>168</v>
      </c>
      <c r="H821" s="65" t="s">
        <v>168</v>
      </c>
      <c r="I821" s="65"/>
      <c r="J821" s="65" t="s">
        <v>9</v>
      </c>
      <c r="K821" s="97" t="s">
        <v>9</v>
      </c>
      <c r="L821" s="129">
        <v>1.0</v>
      </c>
      <c r="M821" s="180">
        <f t="shared" si="509"/>
        <v>1.5</v>
      </c>
      <c r="N821" s="129">
        <v>2.0</v>
      </c>
      <c r="O821" s="129">
        <f t="shared" si="536"/>
        <v>1.5</v>
      </c>
      <c r="P821" s="159">
        <v>0.15</v>
      </c>
      <c r="Q821" s="208">
        <f t="shared" si="537"/>
        <v>1.725</v>
      </c>
      <c r="R821" s="132">
        <v>4.0</v>
      </c>
      <c r="S821" s="132">
        <v>2.0</v>
      </c>
      <c r="T821" s="65" t="s">
        <v>32</v>
      </c>
      <c r="U821" s="26"/>
      <c r="V821" s="26"/>
      <c r="W821" s="26"/>
      <c r="X821" s="26"/>
      <c r="Y821" s="26"/>
      <c r="Z821" s="26"/>
      <c r="AA821" s="26"/>
      <c r="AB821" s="26"/>
      <c r="AC821" s="26"/>
    </row>
    <row r="822" ht="33.75" customHeight="1">
      <c r="A822" s="65" t="s">
        <v>1402</v>
      </c>
      <c r="B822" s="215" t="s">
        <v>1334</v>
      </c>
      <c r="C822" s="215" t="s">
        <v>1374</v>
      </c>
      <c r="D822" s="215" t="s">
        <v>1397</v>
      </c>
      <c r="E822" s="215" t="s">
        <v>1398</v>
      </c>
      <c r="F822" s="65" t="s">
        <v>1399</v>
      </c>
      <c r="G822" s="65" t="s">
        <v>168</v>
      </c>
      <c r="H822" s="65" t="s">
        <v>168</v>
      </c>
      <c r="I822" s="65"/>
      <c r="J822" s="65" t="s">
        <v>9</v>
      </c>
      <c r="K822" s="97" t="s">
        <v>9</v>
      </c>
      <c r="L822" s="129">
        <v>0.5</v>
      </c>
      <c r="M822" s="180">
        <f t="shared" si="509"/>
        <v>0.75</v>
      </c>
      <c r="N822" s="129">
        <v>1.0</v>
      </c>
      <c r="O822" s="129">
        <f t="shared" si="536"/>
        <v>0.75</v>
      </c>
      <c r="P822" s="159">
        <v>0.1</v>
      </c>
      <c r="Q822" s="208">
        <f t="shared" si="537"/>
        <v>0.825</v>
      </c>
      <c r="R822" s="132">
        <v>4.0</v>
      </c>
      <c r="S822" s="132">
        <v>2.0</v>
      </c>
      <c r="T822" s="65" t="s">
        <v>70</v>
      </c>
      <c r="U822" s="26"/>
      <c r="V822" s="26"/>
      <c r="W822" s="26"/>
      <c r="X822" s="26"/>
      <c r="Y822" s="26"/>
      <c r="Z822" s="26"/>
      <c r="AA822" s="26"/>
      <c r="AB822" s="26"/>
      <c r="AC822" s="26"/>
    </row>
    <row r="823" ht="33.75" customHeight="1">
      <c r="A823" s="54" t="s">
        <v>1403</v>
      </c>
      <c r="B823" s="209" t="s">
        <v>1334</v>
      </c>
      <c r="C823" s="209" t="s">
        <v>1374</v>
      </c>
      <c r="D823" s="209" t="s">
        <v>1404</v>
      </c>
      <c r="E823" s="209" t="s">
        <v>1405</v>
      </c>
      <c r="F823" s="54" t="s">
        <v>1376</v>
      </c>
      <c r="G823" s="54" t="s">
        <v>168</v>
      </c>
      <c r="H823" s="54" t="s">
        <v>168</v>
      </c>
      <c r="I823" s="54"/>
      <c r="J823" s="54" t="s">
        <v>9</v>
      </c>
      <c r="K823" s="119" t="s">
        <v>9</v>
      </c>
      <c r="L823" s="202">
        <f>IF(COUNT(L824:N826)=0,"",SUM(L824:L826))</f>
        <v>2.5</v>
      </c>
      <c r="M823" s="174">
        <f t="shared" si="509"/>
        <v>3.25</v>
      </c>
      <c r="N823" s="202">
        <f>IF(COUNT(L824:N826)=0,"",SUM(N824:N826))</f>
        <v>4</v>
      </c>
      <c r="O823" s="202">
        <f>IF(COUNT(O824:O826)=0,"",SUM(O824:O826))</f>
        <v>3.25</v>
      </c>
      <c r="P823" s="210"/>
      <c r="Q823" s="202">
        <f>IF(COUNT(Q824:Q826)=0,"",SUM(Q824:Q826))</f>
        <v>3.6625</v>
      </c>
      <c r="R823" s="163"/>
      <c r="S823" s="163"/>
      <c r="T823" s="54" t="s">
        <v>65</v>
      </c>
      <c r="U823" s="179"/>
      <c r="V823" s="179"/>
      <c r="W823" s="179"/>
      <c r="X823" s="105"/>
      <c r="Y823" s="105"/>
      <c r="Z823" s="105"/>
      <c r="AA823" s="105"/>
      <c r="AB823" s="105"/>
      <c r="AC823" s="105"/>
    </row>
    <row r="824" ht="33.75" customHeight="1">
      <c r="A824" s="65" t="s">
        <v>1406</v>
      </c>
      <c r="B824" s="215" t="s">
        <v>1334</v>
      </c>
      <c r="C824" s="215" t="s">
        <v>1374</v>
      </c>
      <c r="D824" s="215" t="s">
        <v>1404</v>
      </c>
      <c r="E824" s="215" t="s">
        <v>1405</v>
      </c>
      <c r="F824" s="65" t="s">
        <v>1376</v>
      </c>
      <c r="G824" s="65" t="s">
        <v>168</v>
      </c>
      <c r="H824" s="65" t="s">
        <v>168</v>
      </c>
      <c r="I824" s="65"/>
      <c r="J824" s="65" t="s">
        <v>9</v>
      </c>
      <c r="K824" s="97" t="s">
        <v>9</v>
      </c>
      <c r="L824" s="129">
        <v>0.5</v>
      </c>
      <c r="M824" s="180">
        <f t="shared" si="509"/>
        <v>0.75</v>
      </c>
      <c r="N824" s="129">
        <v>1.0</v>
      </c>
      <c r="O824" s="129">
        <f t="shared" ref="O824:O826" si="538">IF(COUNT(L824:N824)=0,"",(L824+4*M824+N824)/6)</f>
        <v>0.75</v>
      </c>
      <c r="P824" s="159">
        <v>0.1</v>
      </c>
      <c r="Q824" s="208">
        <f t="shared" ref="Q824:Q826" si="539">IF(O824="","",IF(P824="",O824,O824*(1+P824)))</f>
        <v>0.825</v>
      </c>
      <c r="R824" s="132">
        <v>4.0</v>
      </c>
      <c r="S824" s="132">
        <v>2.0</v>
      </c>
      <c r="T824" s="65" t="s">
        <v>31</v>
      </c>
      <c r="U824" s="26"/>
      <c r="V824" s="26"/>
      <c r="W824" s="26"/>
      <c r="X824" s="26"/>
      <c r="Y824" s="26"/>
      <c r="Z824" s="26"/>
      <c r="AA824" s="26"/>
      <c r="AB824" s="26"/>
      <c r="AC824" s="26"/>
    </row>
    <row r="825" ht="33.75" customHeight="1">
      <c r="A825" s="65" t="s">
        <v>1407</v>
      </c>
      <c r="B825" s="215" t="s">
        <v>1334</v>
      </c>
      <c r="C825" s="215" t="s">
        <v>1374</v>
      </c>
      <c r="D825" s="215" t="s">
        <v>1404</v>
      </c>
      <c r="E825" s="215" t="s">
        <v>1405</v>
      </c>
      <c r="F825" s="65" t="s">
        <v>1376</v>
      </c>
      <c r="G825" s="65" t="s">
        <v>168</v>
      </c>
      <c r="H825" s="65" t="s">
        <v>168</v>
      </c>
      <c r="I825" s="65"/>
      <c r="J825" s="65" t="s">
        <v>9</v>
      </c>
      <c r="K825" s="97" t="s">
        <v>9</v>
      </c>
      <c r="L825" s="129">
        <v>1.5</v>
      </c>
      <c r="M825" s="180">
        <f t="shared" si="509"/>
        <v>1.75</v>
      </c>
      <c r="N825" s="129">
        <v>2.0</v>
      </c>
      <c r="O825" s="129">
        <f t="shared" si="538"/>
        <v>1.75</v>
      </c>
      <c r="P825" s="159">
        <v>0.15</v>
      </c>
      <c r="Q825" s="208">
        <f t="shared" si="539"/>
        <v>2.0125</v>
      </c>
      <c r="R825" s="132">
        <v>4.0</v>
      </c>
      <c r="S825" s="132">
        <v>2.0</v>
      </c>
      <c r="T825" s="65" t="s">
        <v>32</v>
      </c>
      <c r="U825" s="26"/>
      <c r="V825" s="26"/>
      <c r="W825" s="26"/>
      <c r="X825" s="26"/>
      <c r="Y825" s="26"/>
      <c r="Z825" s="26"/>
      <c r="AA825" s="26"/>
      <c r="AB825" s="26"/>
      <c r="AC825" s="26"/>
    </row>
    <row r="826" ht="33.75" customHeight="1">
      <c r="A826" s="65" t="s">
        <v>1408</v>
      </c>
      <c r="B826" s="215" t="s">
        <v>1334</v>
      </c>
      <c r="C826" s="215" t="s">
        <v>1374</v>
      </c>
      <c r="D826" s="215" t="s">
        <v>1404</v>
      </c>
      <c r="E826" s="215" t="s">
        <v>1405</v>
      </c>
      <c r="F826" s="65" t="s">
        <v>1376</v>
      </c>
      <c r="G826" s="65" t="s">
        <v>168</v>
      </c>
      <c r="H826" s="65" t="s">
        <v>168</v>
      </c>
      <c r="I826" s="65"/>
      <c r="J826" s="65" t="s">
        <v>9</v>
      </c>
      <c r="K826" s="97" t="s">
        <v>9</v>
      </c>
      <c r="L826" s="129">
        <v>0.5</v>
      </c>
      <c r="M826" s="180">
        <f t="shared" si="509"/>
        <v>0.75</v>
      </c>
      <c r="N826" s="129">
        <v>1.0</v>
      </c>
      <c r="O826" s="129">
        <f t="shared" si="538"/>
        <v>0.75</v>
      </c>
      <c r="P826" s="159">
        <v>0.1</v>
      </c>
      <c r="Q826" s="208">
        <f t="shared" si="539"/>
        <v>0.825</v>
      </c>
      <c r="R826" s="132">
        <v>4.0</v>
      </c>
      <c r="S826" s="132">
        <v>2.0</v>
      </c>
      <c r="T826" s="65" t="s">
        <v>70</v>
      </c>
      <c r="U826" s="26"/>
      <c r="V826" s="26"/>
      <c r="W826" s="26"/>
      <c r="X826" s="26"/>
      <c r="Y826" s="26"/>
      <c r="Z826" s="26"/>
      <c r="AA826" s="26"/>
      <c r="AB826" s="26"/>
      <c r="AC826" s="26"/>
    </row>
    <row r="827" ht="33.75" customHeight="1">
      <c r="A827" s="54" t="s">
        <v>1409</v>
      </c>
      <c r="B827" s="209" t="s">
        <v>1334</v>
      </c>
      <c r="C827" s="209" t="s">
        <v>1374</v>
      </c>
      <c r="D827" s="209" t="s">
        <v>1410</v>
      </c>
      <c r="E827" s="209" t="s">
        <v>1411</v>
      </c>
      <c r="F827" s="54" t="s">
        <v>1412</v>
      </c>
      <c r="G827" s="54" t="s">
        <v>168</v>
      </c>
      <c r="H827" s="54" t="s">
        <v>168</v>
      </c>
      <c r="I827" s="54"/>
      <c r="J827" s="54" t="s">
        <v>9</v>
      </c>
      <c r="K827" s="119" t="s">
        <v>9</v>
      </c>
      <c r="L827" s="202">
        <f>IF(COUNT(L828:N830)=0,"",SUM(L828:L830))</f>
        <v>2.5</v>
      </c>
      <c r="M827" s="174">
        <f t="shared" si="509"/>
        <v>1.75</v>
      </c>
      <c r="N827" s="202">
        <v>1.0</v>
      </c>
      <c r="O827" s="202">
        <f>IF(COUNT(O828:O830)=0,"",SUM(O828:O830))</f>
        <v>2.75</v>
      </c>
      <c r="P827" s="210"/>
      <c r="Q827" s="202">
        <f>IF(COUNT(Q828:Q830)=0,"",SUM(Q828:Q830))</f>
        <v>3.1125</v>
      </c>
      <c r="R827" s="163"/>
      <c r="S827" s="163"/>
      <c r="T827" s="54" t="s">
        <v>65</v>
      </c>
      <c r="U827" s="179"/>
      <c r="V827" s="179"/>
      <c r="W827" s="179"/>
      <c r="X827" s="105"/>
      <c r="Y827" s="105"/>
      <c r="Z827" s="105"/>
      <c r="AA827" s="105"/>
      <c r="AB827" s="105"/>
      <c r="AC827" s="105"/>
    </row>
    <row r="828" ht="33.75" customHeight="1">
      <c r="A828" s="65" t="s">
        <v>1413</v>
      </c>
      <c r="B828" s="215" t="s">
        <v>1334</v>
      </c>
      <c r="C828" s="215" t="s">
        <v>1374</v>
      </c>
      <c r="D828" s="215" t="s">
        <v>1410</v>
      </c>
      <c r="E828" s="215" t="s">
        <v>1411</v>
      </c>
      <c r="F828" s="65" t="s">
        <v>1412</v>
      </c>
      <c r="G828" s="65" t="s">
        <v>168</v>
      </c>
      <c r="H828" s="65" t="s">
        <v>168</v>
      </c>
      <c r="I828" s="65"/>
      <c r="J828" s="65" t="s">
        <v>9</v>
      </c>
      <c r="K828" s="97" t="s">
        <v>9</v>
      </c>
      <c r="L828" s="129">
        <v>0.5</v>
      </c>
      <c r="M828" s="180">
        <f t="shared" si="509"/>
        <v>0.25</v>
      </c>
      <c r="N828" s="129"/>
      <c r="O828" s="129">
        <f t="shared" ref="O828:O830" si="540">IF(COUNT(L828:N828)=0,"",(L828+4*M828+N828)/6)</f>
        <v>0.25</v>
      </c>
      <c r="P828" s="159">
        <v>0.1</v>
      </c>
      <c r="Q828" s="208">
        <f t="shared" ref="Q828:Q830" si="541">IF(O828="","",IF(P828="",O828,O828*(1+P828)))</f>
        <v>0.275</v>
      </c>
      <c r="R828" s="132">
        <v>4.0</v>
      </c>
      <c r="S828" s="132">
        <v>2.0</v>
      </c>
      <c r="T828" s="65" t="s">
        <v>31</v>
      </c>
      <c r="U828" s="26"/>
      <c r="V828" s="26"/>
      <c r="W828" s="26"/>
      <c r="X828" s="26"/>
      <c r="Y828" s="26"/>
      <c r="Z828" s="26"/>
      <c r="AA828" s="26"/>
      <c r="AB828" s="26"/>
      <c r="AC828" s="26"/>
    </row>
    <row r="829" ht="33.75" customHeight="1">
      <c r="A829" s="65" t="s">
        <v>1414</v>
      </c>
      <c r="B829" s="215" t="s">
        <v>1334</v>
      </c>
      <c r="C829" s="215" t="s">
        <v>1374</v>
      </c>
      <c r="D829" s="215" t="s">
        <v>1410</v>
      </c>
      <c r="E829" s="215" t="s">
        <v>1411</v>
      </c>
      <c r="F829" s="65" t="s">
        <v>1412</v>
      </c>
      <c r="G829" s="65" t="s">
        <v>168</v>
      </c>
      <c r="H829" s="65" t="s">
        <v>168</v>
      </c>
      <c r="I829" s="65"/>
      <c r="J829" s="65" t="s">
        <v>9</v>
      </c>
      <c r="K829" s="97" t="s">
        <v>9</v>
      </c>
      <c r="L829" s="129">
        <v>1.5</v>
      </c>
      <c r="M829" s="180">
        <f t="shared" si="509"/>
        <v>1.75</v>
      </c>
      <c r="N829" s="129">
        <v>2.0</v>
      </c>
      <c r="O829" s="129">
        <f t="shared" si="540"/>
        <v>1.75</v>
      </c>
      <c r="P829" s="159">
        <v>0.15</v>
      </c>
      <c r="Q829" s="208">
        <f t="shared" si="541"/>
        <v>2.0125</v>
      </c>
      <c r="R829" s="132">
        <v>4.0</v>
      </c>
      <c r="S829" s="132">
        <v>2.0</v>
      </c>
      <c r="T829" s="65" t="s">
        <v>32</v>
      </c>
      <c r="U829" s="26"/>
      <c r="V829" s="26"/>
      <c r="W829" s="26"/>
      <c r="X829" s="26"/>
      <c r="Y829" s="26"/>
      <c r="Z829" s="26"/>
      <c r="AA829" s="26"/>
      <c r="AB829" s="26"/>
      <c r="AC829" s="26"/>
    </row>
    <row r="830" ht="33.75" customHeight="1">
      <c r="A830" s="65" t="s">
        <v>1415</v>
      </c>
      <c r="B830" s="215" t="s">
        <v>1334</v>
      </c>
      <c r="C830" s="215" t="s">
        <v>1374</v>
      </c>
      <c r="D830" s="215" t="s">
        <v>1410</v>
      </c>
      <c r="E830" s="215" t="s">
        <v>1411</v>
      </c>
      <c r="F830" s="65" t="s">
        <v>1412</v>
      </c>
      <c r="G830" s="65" t="s">
        <v>168</v>
      </c>
      <c r="H830" s="65" t="s">
        <v>168</v>
      </c>
      <c r="I830" s="65"/>
      <c r="J830" s="65" t="s">
        <v>9</v>
      </c>
      <c r="K830" s="97" t="s">
        <v>9</v>
      </c>
      <c r="L830" s="129">
        <v>0.5</v>
      </c>
      <c r="M830" s="180">
        <f t="shared" si="509"/>
        <v>0.75</v>
      </c>
      <c r="N830" s="129">
        <v>1.0</v>
      </c>
      <c r="O830" s="129">
        <f t="shared" si="540"/>
        <v>0.75</v>
      </c>
      <c r="P830" s="159">
        <v>0.1</v>
      </c>
      <c r="Q830" s="208">
        <f t="shared" si="541"/>
        <v>0.825</v>
      </c>
      <c r="R830" s="132">
        <v>4.0</v>
      </c>
      <c r="S830" s="132">
        <v>2.0</v>
      </c>
      <c r="T830" s="65" t="s">
        <v>70</v>
      </c>
      <c r="U830" s="26"/>
      <c r="V830" s="26"/>
      <c r="W830" s="26"/>
      <c r="X830" s="26"/>
      <c r="Y830" s="26"/>
      <c r="Z830" s="26"/>
      <c r="AA830" s="26"/>
      <c r="AB830" s="26"/>
      <c r="AC830" s="26"/>
    </row>
    <row r="831" ht="33.75" customHeight="1">
      <c r="A831" s="45" t="s">
        <v>1416</v>
      </c>
      <c r="B831" s="212" t="s">
        <v>1334</v>
      </c>
      <c r="C831" s="212" t="s">
        <v>1417</v>
      </c>
      <c r="D831" s="212" t="s">
        <v>1417</v>
      </c>
      <c r="E831" s="212" t="s">
        <v>1418</v>
      </c>
      <c r="F831" s="45"/>
      <c r="G831" s="45"/>
      <c r="H831" s="45"/>
      <c r="I831" s="45"/>
      <c r="J831" s="45"/>
      <c r="K831" s="123"/>
      <c r="L831" s="213">
        <f>IF(COUNT(L832,L836,L840,L844,L848,L852)=0,"",SUM(L832,L836,L840,L844,L848,L852))</f>
        <v>15.75</v>
      </c>
      <c r="M831" s="213">
        <f t="shared" si="509"/>
        <v>19.875</v>
      </c>
      <c r="N831" s="213">
        <f t="shared" ref="N831:O831" si="542">IF(COUNT(N832,N836,N840,N844,N848,N852)=0,"",SUM(N832,N836,N840,N844,N848,N852))</f>
        <v>24</v>
      </c>
      <c r="O831" s="213">
        <f t="shared" si="542"/>
        <v>19.875</v>
      </c>
      <c r="P831" s="214"/>
      <c r="Q831" s="213">
        <f>IF(COUNT(Q832,Q836,Q840,Q844,Q848,Q852)=0,"",SUM(Q832,Q836,Q840,Q844,Q848,Q852))</f>
        <v>22.5</v>
      </c>
      <c r="R831" s="126"/>
      <c r="S831" s="126"/>
      <c r="T831" s="45" t="s">
        <v>62</v>
      </c>
      <c r="U831" s="26"/>
      <c r="V831" s="26"/>
      <c r="W831" s="26"/>
      <c r="X831" s="46">
        <f t="shared" ref="X831:AA831" si="543">L831</f>
        <v>15.75</v>
      </c>
      <c r="Y831" s="46">
        <f t="shared" si="543"/>
        <v>19.875</v>
      </c>
      <c r="Z831" s="46">
        <f t="shared" si="543"/>
        <v>24</v>
      </c>
      <c r="AA831" s="46">
        <f t="shared" si="543"/>
        <v>19.875</v>
      </c>
      <c r="AB831" s="26"/>
      <c r="AC831" s="46">
        <f>Q831</f>
        <v>22.5</v>
      </c>
    </row>
    <row r="832" ht="33.75" customHeight="1">
      <c r="A832" s="54" t="s">
        <v>1419</v>
      </c>
      <c r="B832" s="209" t="s">
        <v>1334</v>
      </c>
      <c r="C832" s="209" t="s">
        <v>1417</v>
      </c>
      <c r="D832" s="209" t="s">
        <v>1420</v>
      </c>
      <c r="E832" s="209" t="s">
        <v>1421</v>
      </c>
      <c r="F832" s="54" t="s">
        <v>1422</v>
      </c>
      <c r="G832" s="54" t="s">
        <v>168</v>
      </c>
      <c r="H832" s="54" t="s">
        <v>168</v>
      </c>
      <c r="I832" s="54"/>
      <c r="J832" s="54" t="s">
        <v>9</v>
      </c>
      <c r="K832" s="119" t="s">
        <v>9</v>
      </c>
      <c r="L832" s="202">
        <f>IF(COUNT(L833:N835)=0,"",SUM(L833:L835))</f>
        <v>2.5</v>
      </c>
      <c r="M832" s="174">
        <f t="shared" si="509"/>
        <v>3.25</v>
      </c>
      <c r="N832" s="202">
        <f>IF(COUNT(L833:N835)=0,"",SUM(N833:N835))</f>
        <v>4</v>
      </c>
      <c r="O832" s="202">
        <f>IF(COUNT(O833:O835)=0,"",SUM(O833:O835))</f>
        <v>3.25</v>
      </c>
      <c r="P832" s="210"/>
      <c r="Q832" s="202">
        <f>IF(COUNT(Q833:Q835)=0,"",SUM(Q833:Q835))</f>
        <v>3.6625</v>
      </c>
      <c r="R832" s="163"/>
      <c r="S832" s="163"/>
      <c r="T832" s="54" t="s">
        <v>65</v>
      </c>
      <c r="U832" s="179"/>
      <c r="V832" s="179"/>
      <c r="W832" s="179"/>
      <c r="X832" s="105"/>
      <c r="Y832" s="105"/>
      <c r="Z832" s="105"/>
      <c r="AA832" s="105"/>
      <c r="AB832" s="105"/>
      <c r="AC832" s="105"/>
    </row>
    <row r="833" ht="33.75" customHeight="1">
      <c r="A833" s="65" t="s">
        <v>1423</v>
      </c>
      <c r="B833" s="215" t="s">
        <v>1334</v>
      </c>
      <c r="C833" s="215" t="s">
        <v>1417</v>
      </c>
      <c r="D833" s="215" t="s">
        <v>1420</v>
      </c>
      <c r="E833" s="215" t="s">
        <v>1421</v>
      </c>
      <c r="F833" s="65" t="s">
        <v>1422</v>
      </c>
      <c r="G833" s="65" t="s">
        <v>168</v>
      </c>
      <c r="H833" s="65" t="s">
        <v>168</v>
      </c>
      <c r="I833" s="65"/>
      <c r="J833" s="65" t="s">
        <v>9</v>
      </c>
      <c r="K833" s="97" t="s">
        <v>9</v>
      </c>
      <c r="L833" s="129">
        <v>0.5</v>
      </c>
      <c r="M833" s="180">
        <f t="shared" si="509"/>
        <v>0.75</v>
      </c>
      <c r="N833" s="129">
        <v>1.0</v>
      </c>
      <c r="O833" s="129">
        <f t="shared" ref="O833:O835" si="544">IF(COUNT(L833:N833)=0,"",(L833+4*M833+N833)/6)</f>
        <v>0.75</v>
      </c>
      <c r="P833" s="159">
        <v>0.1</v>
      </c>
      <c r="Q833" s="208">
        <f t="shared" ref="Q833:Q835" si="545">IF(O833="","",IF(P833="",O833,O833*(1+P833)))</f>
        <v>0.825</v>
      </c>
      <c r="R833" s="132">
        <v>4.0</v>
      </c>
      <c r="S833" s="132">
        <v>2.0</v>
      </c>
      <c r="T833" s="65" t="s">
        <v>31</v>
      </c>
      <c r="U833" s="26"/>
      <c r="V833" s="26"/>
      <c r="W833" s="26"/>
      <c r="X833" s="26"/>
      <c r="Y833" s="26"/>
      <c r="Z833" s="26"/>
      <c r="AA833" s="26"/>
      <c r="AB833" s="26"/>
      <c r="AC833" s="26"/>
    </row>
    <row r="834" ht="33.75" customHeight="1">
      <c r="A834" s="65" t="s">
        <v>1424</v>
      </c>
      <c r="B834" s="215" t="s">
        <v>1334</v>
      </c>
      <c r="C834" s="215" t="s">
        <v>1417</v>
      </c>
      <c r="D834" s="215" t="s">
        <v>1420</v>
      </c>
      <c r="E834" s="215" t="s">
        <v>1421</v>
      </c>
      <c r="F834" s="65" t="s">
        <v>1422</v>
      </c>
      <c r="G834" s="65" t="s">
        <v>168</v>
      </c>
      <c r="H834" s="65" t="s">
        <v>168</v>
      </c>
      <c r="I834" s="65"/>
      <c r="J834" s="65" t="s">
        <v>9</v>
      </c>
      <c r="K834" s="97" t="s">
        <v>9</v>
      </c>
      <c r="L834" s="129">
        <v>1.5</v>
      </c>
      <c r="M834" s="180">
        <f t="shared" si="509"/>
        <v>1.75</v>
      </c>
      <c r="N834" s="129">
        <v>2.0</v>
      </c>
      <c r="O834" s="129">
        <f t="shared" si="544"/>
        <v>1.75</v>
      </c>
      <c r="P834" s="159">
        <v>0.15</v>
      </c>
      <c r="Q834" s="208">
        <f t="shared" si="545"/>
        <v>2.0125</v>
      </c>
      <c r="R834" s="132">
        <v>4.0</v>
      </c>
      <c r="S834" s="132">
        <v>2.0</v>
      </c>
      <c r="T834" s="65" t="s">
        <v>32</v>
      </c>
      <c r="U834" s="26"/>
      <c r="V834" s="26"/>
      <c r="W834" s="26"/>
      <c r="X834" s="26"/>
      <c r="Y834" s="26"/>
      <c r="Z834" s="26"/>
      <c r="AA834" s="26"/>
      <c r="AB834" s="26"/>
      <c r="AC834" s="26"/>
    </row>
    <row r="835" ht="33.75" customHeight="1">
      <c r="A835" s="65" t="s">
        <v>1425</v>
      </c>
      <c r="B835" s="215" t="s">
        <v>1334</v>
      </c>
      <c r="C835" s="215" t="s">
        <v>1417</v>
      </c>
      <c r="D835" s="215" t="s">
        <v>1420</v>
      </c>
      <c r="E835" s="215" t="s">
        <v>1421</v>
      </c>
      <c r="F835" s="65" t="s">
        <v>1422</v>
      </c>
      <c r="G835" s="65" t="s">
        <v>168</v>
      </c>
      <c r="H835" s="65" t="s">
        <v>168</v>
      </c>
      <c r="I835" s="65"/>
      <c r="J835" s="65" t="s">
        <v>9</v>
      </c>
      <c r="K835" s="97" t="s">
        <v>9</v>
      </c>
      <c r="L835" s="129">
        <v>0.5</v>
      </c>
      <c r="M835" s="180">
        <f t="shared" si="509"/>
        <v>0.75</v>
      </c>
      <c r="N835" s="129">
        <v>1.0</v>
      </c>
      <c r="O835" s="129">
        <f t="shared" si="544"/>
        <v>0.75</v>
      </c>
      <c r="P835" s="159">
        <v>0.1</v>
      </c>
      <c r="Q835" s="208">
        <f t="shared" si="545"/>
        <v>0.825</v>
      </c>
      <c r="R835" s="132">
        <v>4.0</v>
      </c>
      <c r="S835" s="132">
        <v>2.0</v>
      </c>
      <c r="T835" s="65" t="s">
        <v>70</v>
      </c>
      <c r="U835" s="26"/>
      <c r="V835" s="26"/>
      <c r="W835" s="26"/>
      <c r="X835" s="26"/>
      <c r="Y835" s="26"/>
      <c r="Z835" s="26"/>
      <c r="AA835" s="26"/>
      <c r="AB835" s="26"/>
      <c r="AC835" s="26"/>
    </row>
    <row r="836" ht="33.75" customHeight="1">
      <c r="A836" s="54" t="s">
        <v>1426</v>
      </c>
      <c r="B836" s="209" t="s">
        <v>1334</v>
      </c>
      <c r="C836" s="209" t="s">
        <v>1417</v>
      </c>
      <c r="D836" s="209" t="s">
        <v>1427</v>
      </c>
      <c r="E836" s="209" t="s">
        <v>1428</v>
      </c>
      <c r="F836" s="54" t="s">
        <v>233</v>
      </c>
      <c r="G836" s="54" t="s">
        <v>168</v>
      </c>
      <c r="H836" s="54" t="s">
        <v>168</v>
      </c>
      <c r="I836" s="54"/>
      <c r="J836" s="54" t="s">
        <v>9</v>
      </c>
      <c r="K836" s="119" t="s">
        <v>9</v>
      </c>
      <c r="L836" s="202">
        <f>IF(COUNT(L837:N839)=0,"",SUM(L837:L839))</f>
        <v>2.5</v>
      </c>
      <c r="M836" s="174">
        <f t="shared" si="509"/>
        <v>3.25</v>
      </c>
      <c r="N836" s="202">
        <f>IF(COUNT(L837:N839)=0,"",SUM(N837:N839))</f>
        <v>4</v>
      </c>
      <c r="O836" s="202">
        <f>IF(COUNT(O837:O839)=0,"",SUM(O837:O839))</f>
        <v>3.25</v>
      </c>
      <c r="P836" s="210"/>
      <c r="Q836" s="202">
        <f>IF(COUNT(Q837:Q839)=0,"",SUM(Q837:Q839))</f>
        <v>3.6625</v>
      </c>
      <c r="R836" s="163"/>
      <c r="S836" s="163"/>
      <c r="T836" s="54" t="s">
        <v>65</v>
      </c>
      <c r="U836" s="179"/>
      <c r="V836" s="179"/>
      <c r="W836" s="179"/>
      <c r="X836" s="105"/>
      <c r="Y836" s="105"/>
      <c r="Z836" s="105"/>
      <c r="AA836" s="105"/>
      <c r="AB836" s="105"/>
      <c r="AC836" s="105"/>
    </row>
    <row r="837" ht="33.75" customHeight="1">
      <c r="A837" s="65" t="s">
        <v>1429</v>
      </c>
      <c r="B837" s="215" t="s">
        <v>1334</v>
      </c>
      <c r="C837" s="215" t="s">
        <v>1417</v>
      </c>
      <c r="D837" s="215" t="s">
        <v>1427</v>
      </c>
      <c r="E837" s="215" t="s">
        <v>1428</v>
      </c>
      <c r="F837" s="65" t="s">
        <v>233</v>
      </c>
      <c r="G837" s="65" t="s">
        <v>168</v>
      </c>
      <c r="H837" s="65" t="s">
        <v>168</v>
      </c>
      <c r="I837" s="65"/>
      <c r="J837" s="65" t="s">
        <v>9</v>
      </c>
      <c r="K837" s="97" t="s">
        <v>9</v>
      </c>
      <c r="L837" s="129">
        <v>0.5</v>
      </c>
      <c r="M837" s="180">
        <f t="shared" si="509"/>
        <v>0.75</v>
      </c>
      <c r="N837" s="129">
        <v>1.0</v>
      </c>
      <c r="O837" s="129">
        <f t="shared" ref="O837:O839" si="546">IF(COUNT(L837:N837)=0,"",(L837+4*M837+N837)/6)</f>
        <v>0.75</v>
      </c>
      <c r="P837" s="159">
        <v>0.1</v>
      </c>
      <c r="Q837" s="208">
        <f t="shared" ref="Q837:Q839" si="547">IF(O837="","",IF(P837="",O837,O837*(1+P837)))</f>
        <v>0.825</v>
      </c>
      <c r="R837" s="132">
        <v>4.0</v>
      </c>
      <c r="S837" s="132">
        <v>2.0</v>
      </c>
      <c r="T837" s="65" t="s">
        <v>31</v>
      </c>
      <c r="U837" s="26"/>
      <c r="V837" s="26"/>
      <c r="W837" s="26"/>
      <c r="X837" s="26"/>
      <c r="Y837" s="26"/>
      <c r="Z837" s="26"/>
      <c r="AA837" s="26"/>
      <c r="AB837" s="26"/>
      <c r="AC837" s="26"/>
    </row>
    <row r="838" ht="33.75" customHeight="1">
      <c r="A838" s="65" t="s">
        <v>1430</v>
      </c>
      <c r="B838" s="215" t="s">
        <v>1334</v>
      </c>
      <c r="C838" s="215" t="s">
        <v>1417</v>
      </c>
      <c r="D838" s="215" t="s">
        <v>1427</v>
      </c>
      <c r="E838" s="215" t="s">
        <v>1428</v>
      </c>
      <c r="F838" s="65" t="s">
        <v>233</v>
      </c>
      <c r="G838" s="65" t="s">
        <v>168</v>
      </c>
      <c r="H838" s="65" t="s">
        <v>168</v>
      </c>
      <c r="I838" s="65"/>
      <c r="J838" s="65" t="s">
        <v>9</v>
      </c>
      <c r="K838" s="97" t="s">
        <v>9</v>
      </c>
      <c r="L838" s="129">
        <v>1.5</v>
      </c>
      <c r="M838" s="180">
        <f t="shared" si="509"/>
        <v>1.75</v>
      </c>
      <c r="N838" s="129">
        <v>2.0</v>
      </c>
      <c r="O838" s="129">
        <f t="shared" si="546"/>
        <v>1.75</v>
      </c>
      <c r="P838" s="159">
        <v>0.15</v>
      </c>
      <c r="Q838" s="208">
        <f t="shared" si="547"/>
        <v>2.0125</v>
      </c>
      <c r="R838" s="132">
        <v>4.0</v>
      </c>
      <c r="S838" s="132">
        <v>2.0</v>
      </c>
      <c r="T838" s="65" t="s">
        <v>32</v>
      </c>
      <c r="U838" s="26"/>
      <c r="V838" s="26"/>
      <c r="W838" s="26"/>
      <c r="X838" s="26"/>
      <c r="Y838" s="26"/>
      <c r="Z838" s="26"/>
      <c r="AA838" s="26"/>
      <c r="AB838" s="26"/>
      <c r="AC838" s="26"/>
    </row>
    <row r="839" ht="33.75" customHeight="1">
      <c r="A839" s="65" t="s">
        <v>1431</v>
      </c>
      <c r="B839" s="215" t="s">
        <v>1334</v>
      </c>
      <c r="C839" s="215" t="s">
        <v>1417</v>
      </c>
      <c r="D839" s="215" t="s">
        <v>1427</v>
      </c>
      <c r="E839" s="215" t="s">
        <v>1428</v>
      </c>
      <c r="F839" s="65" t="s">
        <v>233</v>
      </c>
      <c r="G839" s="65" t="s">
        <v>168</v>
      </c>
      <c r="H839" s="65" t="s">
        <v>168</v>
      </c>
      <c r="I839" s="65"/>
      <c r="J839" s="65" t="s">
        <v>9</v>
      </c>
      <c r="K839" s="97" t="s">
        <v>9</v>
      </c>
      <c r="L839" s="129">
        <v>0.5</v>
      </c>
      <c r="M839" s="180">
        <f t="shared" si="509"/>
        <v>0.75</v>
      </c>
      <c r="N839" s="129">
        <v>1.0</v>
      </c>
      <c r="O839" s="129">
        <f t="shared" si="546"/>
        <v>0.75</v>
      </c>
      <c r="P839" s="159">
        <v>0.1</v>
      </c>
      <c r="Q839" s="208">
        <f t="shared" si="547"/>
        <v>0.825</v>
      </c>
      <c r="R839" s="132">
        <v>4.0</v>
      </c>
      <c r="S839" s="132">
        <v>2.0</v>
      </c>
      <c r="T839" s="65" t="s">
        <v>70</v>
      </c>
      <c r="U839" s="26"/>
      <c r="V839" s="26"/>
      <c r="W839" s="26"/>
      <c r="X839" s="26"/>
      <c r="Y839" s="26"/>
      <c r="Z839" s="26"/>
      <c r="AA839" s="26"/>
      <c r="AB839" s="26"/>
      <c r="AC839" s="26"/>
    </row>
    <row r="840" ht="33.75" customHeight="1">
      <c r="A840" s="54" t="s">
        <v>1432</v>
      </c>
      <c r="B840" s="209" t="s">
        <v>1334</v>
      </c>
      <c r="C840" s="209" t="s">
        <v>1417</v>
      </c>
      <c r="D840" s="209" t="s">
        <v>1433</v>
      </c>
      <c r="E840" s="209" t="s">
        <v>1434</v>
      </c>
      <c r="F840" s="54" t="s">
        <v>1422</v>
      </c>
      <c r="G840" s="54" t="s">
        <v>168</v>
      </c>
      <c r="H840" s="54" t="s">
        <v>168</v>
      </c>
      <c r="I840" s="54"/>
      <c r="J840" s="54" t="s">
        <v>9</v>
      </c>
      <c r="K840" s="119" t="s">
        <v>9</v>
      </c>
      <c r="L840" s="202">
        <f>IF(COUNT(L841:N843)=0,"",SUM(L841:L843))</f>
        <v>2.5</v>
      </c>
      <c r="M840" s="174">
        <f t="shared" si="509"/>
        <v>3.25</v>
      </c>
      <c r="N840" s="202">
        <f>IF(COUNT(L841:N843)=0,"",SUM(N841:N843))</f>
        <v>4</v>
      </c>
      <c r="O840" s="202">
        <f>IF(COUNT(O841:O843)=0,"",SUM(O841:O843))</f>
        <v>3.25</v>
      </c>
      <c r="P840" s="210"/>
      <c r="Q840" s="202">
        <f>IF(COUNT(Q841:Q843)=0,"",SUM(Q841:Q843))</f>
        <v>3.6625</v>
      </c>
      <c r="R840" s="163"/>
      <c r="S840" s="163"/>
      <c r="T840" s="54" t="s">
        <v>65</v>
      </c>
      <c r="U840" s="179"/>
      <c r="V840" s="179"/>
      <c r="W840" s="179"/>
      <c r="X840" s="105"/>
      <c r="Y840" s="105"/>
      <c r="Z840" s="105"/>
      <c r="AA840" s="105"/>
      <c r="AB840" s="105"/>
      <c r="AC840" s="105"/>
    </row>
    <row r="841" ht="33.75" customHeight="1">
      <c r="A841" s="65" t="s">
        <v>1435</v>
      </c>
      <c r="B841" s="215" t="s">
        <v>1334</v>
      </c>
      <c r="C841" s="215" t="s">
        <v>1417</v>
      </c>
      <c r="D841" s="215" t="s">
        <v>1433</v>
      </c>
      <c r="E841" s="215" t="s">
        <v>1434</v>
      </c>
      <c r="F841" s="65" t="s">
        <v>1422</v>
      </c>
      <c r="G841" s="65" t="s">
        <v>168</v>
      </c>
      <c r="H841" s="65" t="s">
        <v>168</v>
      </c>
      <c r="I841" s="65"/>
      <c r="J841" s="65" t="s">
        <v>9</v>
      </c>
      <c r="K841" s="97" t="s">
        <v>9</v>
      </c>
      <c r="L841" s="129">
        <v>0.5</v>
      </c>
      <c r="M841" s="180">
        <f t="shared" si="509"/>
        <v>0.75</v>
      </c>
      <c r="N841" s="129">
        <v>1.0</v>
      </c>
      <c r="O841" s="129">
        <f t="shared" ref="O841:O843" si="548">IF(COUNT(L841:N841)=0,"",(L841+4*M841+N841)/6)</f>
        <v>0.75</v>
      </c>
      <c r="P841" s="159">
        <v>0.1</v>
      </c>
      <c r="Q841" s="208">
        <f t="shared" ref="Q841:Q843" si="549">IF(O841="","",IF(P841="",O841,O841*(1+P841)))</f>
        <v>0.825</v>
      </c>
      <c r="R841" s="132">
        <v>4.0</v>
      </c>
      <c r="S841" s="132">
        <v>2.0</v>
      </c>
      <c r="T841" s="65" t="s">
        <v>31</v>
      </c>
      <c r="U841" s="26"/>
      <c r="V841" s="26"/>
      <c r="W841" s="26"/>
      <c r="X841" s="26"/>
      <c r="Y841" s="26"/>
      <c r="Z841" s="26"/>
      <c r="AA841" s="26"/>
      <c r="AB841" s="26"/>
      <c r="AC841" s="26"/>
    </row>
    <row r="842" ht="33.75" customHeight="1">
      <c r="A842" s="65" t="s">
        <v>1436</v>
      </c>
      <c r="B842" s="215" t="s">
        <v>1334</v>
      </c>
      <c r="C842" s="215" t="s">
        <v>1417</v>
      </c>
      <c r="D842" s="215" t="s">
        <v>1433</v>
      </c>
      <c r="E842" s="215" t="s">
        <v>1434</v>
      </c>
      <c r="F842" s="65" t="s">
        <v>1422</v>
      </c>
      <c r="G842" s="65" t="s">
        <v>168</v>
      </c>
      <c r="H842" s="65" t="s">
        <v>168</v>
      </c>
      <c r="I842" s="65"/>
      <c r="J842" s="65" t="s">
        <v>9</v>
      </c>
      <c r="K842" s="97" t="s">
        <v>9</v>
      </c>
      <c r="L842" s="129">
        <v>1.5</v>
      </c>
      <c r="M842" s="180">
        <f t="shared" si="509"/>
        <v>1.75</v>
      </c>
      <c r="N842" s="129">
        <v>2.0</v>
      </c>
      <c r="O842" s="129">
        <f t="shared" si="548"/>
        <v>1.75</v>
      </c>
      <c r="P842" s="159">
        <v>0.15</v>
      </c>
      <c r="Q842" s="208">
        <f t="shared" si="549"/>
        <v>2.0125</v>
      </c>
      <c r="R842" s="132">
        <v>4.0</v>
      </c>
      <c r="S842" s="132">
        <v>2.0</v>
      </c>
      <c r="T842" s="65" t="s">
        <v>32</v>
      </c>
      <c r="U842" s="26"/>
      <c r="V842" s="26"/>
      <c r="W842" s="26"/>
      <c r="X842" s="26"/>
      <c r="Y842" s="26"/>
      <c r="Z842" s="26"/>
      <c r="AA842" s="26"/>
      <c r="AB842" s="26"/>
      <c r="AC842" s="26"/>
    </row>
    <row r="843" ht="33.75" customHeight="1">
      <c r="A843" s="65" t="s">
        <v>1437</v>
      </c>
      <c r="B843" s="215" t="s">
        <v>1334</v>
      </c>
      <c r="C843" s="215" t="s">
        <v>1417</v>
      </c>
      <c r="D843" s="215" t="s">
        <v>1433</v>
      </c>
      <c r="E843" s="215" t="s">
        <v>1434</v>
      </c>
      <c r="F843" s="65" t="s">
        <v>1422</v>
      </c>
      <c r="G843" s="65" t="s">
        <v>168</v>
      </c>
      <c r="H843" s="65" t="s">
        <v>168</v>
      </c>
      <c r="I843" s="65"/>
      <c r="J843" s="65" t="s">
        <v>9</v>
      </c>
      <c r="K843" s="97" t="s">
        <v>9</v>
      </c>
      <c r="L843" s="129">
        <v>0.5</v>
      </c>
      <c r="M843" s="180">
        <f t="shared" si="509"/>
        <v>0.75</v>
      </c>
      <c r="N843" s="129">
        <v>1.0</v>
      </c>
      <c r="O843" s="129">
        <f t="shared" si="548"/>
        <v>0.75</v>
      </c>
      <c r="P843" s="159">
        <v>0.1</v>
      </c>
      <c r="Q843" s="208">
        <f t="shared" si="549"/>
        <v>0.825</v>
      </c>
      <c r="R843" s="132">
        <v>4.0</v>
      </c>
      <c r="S843" s="132">
        <v>2.0</v>
      </c>
      <c r="T843" s="65" t="s">
        <v>70</v>
      </c>
      <c r="U843" s="26"/>
      <c r="V843" s="26"/>
      <c r="W843" s="26"/>
      <c r="X843" s="26"/>
      <c r="Y843" s="26"/>
      <c r="Z843" s="26"/>
      <c r="AA843" s="26"/>
      <c r="AB843" s="26"/>
      <c r="AC843" s="26"/>
    </row>
    <row r="844" ht="33.75" customHeight="1">
      <c r="A844" s="54" t="s">
        <v>1438</v>
      </c>
      <c r="B844" s="209" t="s">
        <v>1334</v>
      </c>
      <c r="C844" s="209" t="s">
        <v>1417</v>
      </c>
      <c r="D844" s="209" t="s">
        <v>1439</v>
      </c>
      <c r="E844" s="209" t="s">
        <v>1440</v>
      </c>
      <c r="F844" s="54" t="s">
        <v>1441</v>
      </c>
      <c r="G844" s="54" t="s">
        <v>200</v>
      </c>
      <c r="H844" s="54" t="s">
        <v>200</v>
      </c>
      <c r="I844" s="54"/>
      <c r="J844" s="54" t="s">
        <v>9</v>
      </c>
      <c r="K844" s="119" t="s">
        <v>9</v>
      </c>
      <c r="L844" s="202">
        <f>IF(COUNT(L845:N847)=0,"",SUM(L845:L847))</f>
        <v>3.25</v>
      </c>
      <c r="M844" s="174">
        <f t="shared" si="509"/>
        <v>3.625</v>
      </c>
      <c r="N844" s="202">
        <f>IF(COUNT(L845:N847)=0,"",SUM(N845:N847))</f>
        <v>4</v>
      </c>
      <c r="O844" s="202">
        <f>IF(COUNT(O845:O847)=0,"",SUM(O845:O847))</f>
        <v>3.625</v>
      </c>
      <c r="P844" s="210"/>
      <c r="Q844" s="202">
        <f>IF(COUNT(Q845:Q847)=0,"",SUM(Q845:Q847))</f>
        <v>4.1875</v>
      </c>
      <c r="R844" s="163"/>
      <c r="S844" s="163"/>
      <c r="T844" s="54" t="s">
        <v>65</v>
      </c>
      <c r="U844" s="179"/>
      <c r="V844" s="179"/>
      <c r="W844" s="179"/>
      <c r="X844" s="105"/>
      <c r="Y844" s="105"/>
      <c r="Z844" s="105"/>
      <c r="AA844" s="105"/>
      <c r="AB844" s="105"/>
      <c r="AC844" s="105"/>
    </row>
    <row r="845" ht="33.75" customHeight="1">
      <c r="A845" s="65" t="s">
        <v>1442</v>
      </c>
      <c r="B845" s="215" t="s">
        <v>1334</v>
      </c>
      <c r="C845" s="215" t="s">
        <v>1417</v>
      </c>
      <c r="D845" s="215" t="s">
        <v>1439</v>
      </c>
      <c r="E845" s="215" t="s">
        <v>1440</v>
      </c>
      <c r="F845" s="65" t="s">
        <v>1441</v>
      </c>
      <c r="G845" s="65" t="s">
        <v>200</v>
      </c>
      <c r="H845" s="65" t="s">
        <v>200</v>
      </c>
      <c r="I845" s="65"/>
      <c r="J845" s="65" t="s">
        <v>9</v>
      </c>
      <c r="K845" s="97" t="s">
        <v>9</v>
      </c>
      <c r="L845" s="129">
        <v>0.75</v>
      </c>
      <c r="M845" s="180">
        <f t="shared" si="509"/>
        <v>0.875</v>
      </c>
      <c r="N845" s="129">
        <v>1.0</v>
      </c>
      <c r="O845" s="129">
        <f t="shared" ref="O845:O847" si="550">IF(COUNT(L845:N845)=0,"",(L845+4*M845+N845)/6)</f>
        <v>0.875</v>
      </c>
      <c r="P845" s="159">
        <v>0.1</v>
      </c>
      <c r="Q845" s="208">
        <f t="shared" ref="Q845:Q847" si="551">IF(O845="","",IF(P845="",O845,O845*(1+P845)))</f>
        <v>0.9625</v>
      </c>
      <c r="R845" s="132">
        <v>4.0</v>
      </c>
      <c r="S845" s="132">
        <v>2.0</v>
      </c>
      <c r="T845" s="65" t="s">
        <v>31</v>
      </c>
      <c r="U845" s="26"/>
      <c r="V845" s="26"/>
      <c r="W845" s="26"/>
      <c r="X845" s="26"/>
      <c r="Y845" s="26"/>
      <c r="Z845" s="26"/>
      <c r="AA845" s="26"/>
      <c r="AB845" s="26"/>
      <c r="AC845" s="26"/>
    </row>
    <row r="846" ht="33.75" customHeight="1">
      <c r="A846" s="65" t="s">
        <v>1443</v>
      </c>
      <c r="B846" s="215" t="s">
        <v>1334</v>
      </c>
      <c r="C846" s="215" t="s">
        <v>1417</v>
      </c>
      <c r="D846" s="215" t="s">
        <v>1439</v>
      </c>
      <c r="E846" s="215" t="s">
        <v>1440</v>
      </c>
      <c r="F846" s="65" t="s">
        <v>1441</v>
      </c>
      <c r="G846" s="65" t="s">
        <v>200</v>
      </c>
      <c r="H846" s="65" t="s">
        <v>200</v>
      </c>
      <c r="I846" s="65"/>
      <c r="J846" s="65" t="s">
        <v>9</v>
      </c>
      <c r="K846" s="97" t="s">
        <v>9</v>
      </c>
      <c r="L846" s="129">
        <v>2.0</v>
      </c>
      <c r="M846" s="180">
        <f t="shared" si="509"/>
        <v>2</v>
      </c>
      <c r="N846" s="129">
        <v>2.0</v>
      </c>
      <c r="O846" s="129">
        <f t="shared" si="550"/>
        <v>2</v>
      </c>
      <c r="P846" s="159">
        <v>0.2</v>
      </c>
      <c r="Q846" s="208">
        <f t="shared" si="551"/>
        <v>2.4</v>
      </c>
      <c r="R846" s="132">
        <v>3.0</v>
      </c>
      <c r="S846" s="132">
        <v>3.0</v>
      </c>
      <c r="T846" s="65" t="s">
        <v>32</v>
      </c>
      <c r="U846" s="26"/>
      <c r="V846" s="26"/>
      <c r="W846" s="26"/>
      <c r="X846" s="26"/>
      <c r="Y846" s="26"/>
      <c r="Z846" s="26"/>
      <c r="AA846" s="26"/>
      <c r="AB846" s="26"/>
      <c r="AC846" s="26"/>
    </row>
    <row r="847" ht="33.75" customHeight="1">
      <c r="A847" s="65" t="s">
        <v>1444</v>
      </c>
      <c r="B847" s="215" t="s">
        <v>1334</v>
      </c>
      <c r="C847" s="215" t="s">
        <v>1417</v>
      </c>
      <c r="D847" s="215" t="s">
        <v>1439</v>
      </c>
      <c r="E847" s="215" t="s">
        <v>1440</v>
      </c>
      <c r="F847" s="65" t="s">
        <v>1441</v>
      </c>
      <c r="G847" s="65" t="s">
        <v>200</v>
      </c>
      <c r="H847" s="65" t="s">
        <v>200</v>
      </c>
      <c r="I847" s="65"/>
      <c r="J847" s="65" t="s">
        <v>9</v>
      </c>
      <c r="K847" s="97" t="s">
        <v>9</v>
      </c>
      <c r="L847" s="129">
        <v>0.5</v>
      </c>
      <c r="M847" s="180">
        <f t="shared" si="509"/>
        <v>0.75</v>
      </c>
      <c r="N847" s="129">
        <v>1.0</v>
      </c>
      <c r="O847" s="129">
        <f t="shared" si="550"/>
        <v>0.75</v>
      </c>
      <c r="P847" s="159">
        <v>0.1</v>
      </c>
      <c r="Q847" s="208">
        <f t="shared" si="551"/>
        <v>0.825</v>
      </c>
      <c r="R847" s="132">
        <v>4.0</v>
      </c>
      <c r="S847" s="132">
        <v>2.0</v>
      </c>
      <c r="T847" s="65" t="s">
        <v>70</v>
      </c>
      <c r="U847" s="26"/>
      <c r="V847" s="26"/>
      <c r="W847" s="26"/>
      <c r="X847" s="26"/>
      <c r="Y847" s="26"/>
      <c r="Z847" s="26"/>
      <c r="AA847" s="26"/>
      <c r="AB847" s="26"/>
      <c r="AC847" s="26"/>
    </row>
    <row r="848" ht="33.75" customHeight="1">
      <c r="A848" s="54" t="s">
        <v>1445</v>
      </c>
      <c r="B848" s="209" t="s">
        <v>1334</v>
      </c>
      <c r="C848" s="209" t="s">
        <v>1417</v>
      </c>
      <c r="D848" s="209" t="s">
        <v>1446</v>
      </c>
      <c r="E848" s="209" t="s">
        <v>1447</v>
      </c>
      <c r="F848" s="54" t="s">
        <v>1448</v>
      </c>
      <c r="G848" s="54" t="s">
        <v>168</v>
      </c>
      <c r="H848" s="54" t="s">
        <v>168</v>
      </c>
      <c r="I848" s="54"/>
      <c r="J848" s="54" t="s">
        <v>9</v>
      </c>
      <c r="K848" s="119" t="s">
        <v>9</v>
      </c>
      <c r="L848" s="202">
        <f>IF(COUNT(L849:N851)=0,"",SUM(L849:L851))</f>
        <v>2.5</v>
      </c>
      <c r="M848" s="174">
        <f t="shared" si="509"/>
        <v>3.25</v>
      </c>
      <c r="N848" s="202">
        <f>IF(COUNT(L849:N851)=0,"",SUM(N849:N851))</f>
        <v>4</v>
      </c>
      <c r="O848" s="202">
        <f>IF(COUNT(O849:O851)=0,"",SUM(O849:O851))</f>
        <v>3.25</v>
      </c>
      <c r="P848" s="210"/>
      <c r="Q848" s="202">
        <f>IF(COUNT(Q849:Q851)=0,"",SUM(Q849:Q851))</f>
        <v>3.6625</v>
      </c>
      <c r="R848" s="163"/>
      <c r="S848" s="163"/>
      <c r="T848" s="54" t="s">
        <v>65</v>
      </c>
      <c r="U848" s="179"/>
      <c r="V848" s="179"/>
      <c r="W848" s="179"/>
      <c r="X848" s="105"/>
      <c r="Y848" s="105"/>
      <c r="Z848" s="105"/>
      <c r="AA848" s="105"/>
      <c r="AB848" s="105"/>
      <c r="AC848" s="105"/>
    </row>
    <row r="849" ht="33.75" customHeight="1">
      <c r="A849" s="65" t="s">
        <v>1449</v>
      </c>
      <c r="B849" s="215" t="s">
        <v>1334</v>
      </c>
      <c r="C849" s="215" t="s">
        <v>1417</v>
      </c>
      <c r="D849" s="215" t="s">
        <v>1446</v>
      </c>
      <c r="E849" s="215" t="s">
        <v>1447</v>
      </c>
      <c r="F849" s="65" t="s">
        <v>1448</v>
      </c>
      <c r="G849" s="65" t="s">
        <v>168</v>
      </c>
      <c r="H849" s="65" t="s">
        <v>168</v>
      </c>
      <c r="I849" s="65"/>
      <c r="J849" s="65" t="s">
        <v>9</v>
      </c>
      <c r="K849" s="97" t="s">
        <v>9</v>
      </c>
      <c r="L849" s="129">
        <v>0.5</v>
      </c>
      <c r="M849" s="180">
        <f t="shared" si="509"/>
        <v>0.75</v>
      </c>
      <c r="N849" s="129">
        <v>1.0</v>
      </c>
      <c r="O849" s="129">
        <f t="shared" ref="O849:O851" si="552">IF(COUNT(L849:N849)=0,"",(L849+4*M849+N849)/6)</f>
        <v>0.75</v>
      </c>
      <c r="P849" s="159">
        <v>0.1</v>
      </c>
      <c r="Q849" s="208">
        <f t="shared" ref="Q849:Q851" si="553">IF(O849="","",IF(P849="",O849,O849*(1+P849)))</f>
        <v>0.825</v>
      </c>
      <c r="R849" s="132">
        <v>4.0</v>
      </c>
      <c r="S849" s="132">
        <v>2.0</v>
      </c>
      <c r="T849" s="65" t="s">
        <v>31</v>
      </c>
      <c r="U849" s="26"/>
      <c r="V849" s="26"/>
      <c r="W849" s="26"/>
      <c r="X849" s="26"/>
      <c r="Y849" s="26"/>
      <c r="Z849" s="26"/>
      <c r="AA849" s="26"/>
      <c r="AB849" s="26"/>
      <c r="AC849" s="26"/>
    </row>
    <row r="850" ht="33.75" customHeight="1">
      <c r="A850" s="65" t="s">
        <v>1450</v>
      </c>
      <c r="B850" s="215" t="s">
        <v>1334</v>
      </c>
      <c r="C850" s="215" t="s">
        <v>1417</v>
      </c>
      <c r="D850" s="215" t="s">
        <v>1446</v>
      </c>
      <c r="E850" s="215" t="s">
        <v>1447</v>
      </c>
      <c r="F850" s="65" t="s">
        <v>1448</v>
      </c>
      <c r="G850" s="65" t="s">
        <v>168</v>
      </c>
      <c r="H850" s="65" t="s">
        <v>168</v>
      </c>
      <c r="I850" s="65"/>
      <c r="J850" s="65" t="s">
        <v>9</v>
      </c>
      <c r="K850" s="97" t="s">
        <v>9</v>
      </c>
      <c r="L850" s="129">
        <v>1.5</v>
      </c>
      <c r="M850" s="180">
        <f t="shared" si="509"/>
        <v>1.75</v>
      </c>
      <c r="N850" s="129">
        <v>2.0</v>
      </c>
      <c r="O850" s="129">
        <f t="shared" si="552"/>
        <v>1.75</v>
      </c>
      <c r="P850" s="159">
        <v>0.15</v>
      </c>
      <c r="Q850" s="208">
        <f t="shared" si="553"/>
        <v>2.0125</v>
      </c>
      <c r="R850" s="132">
        <v>4.0</v>
      </c>
      <c r="S850" s="132">
        <v>2.0</v>
      </c>
      <c r="T850" s="65" t="s">
        <v>32</v>
      </c>
      <c r="U850" s="26"/>
      <c r="V850" s="26"/>
      <c r="W850" s="26"/>
      <c r="X850" s="26"/>
      <c r="Y850" s="26"/>
      <c r="Z850" s="26"/>
      <c r="AA850" s="26"/>
      <c r="AB850" s="26"/>
      <c r="AC850" s="26"/>
    </row>
    <row r="851" ht="33.75" customHeight="1">
      <c r="A851" s="65" t="s">
        <v>1451</v>
      </c>
      <c r="B851" s="215" t="s">
        <v>1334</v>
      </c>
      <c r="C851" s="215" t="s">
        <v>1417</v>
      </c>
      <c r="D851" s="215" t="s">
        <v>1446</v>
      </c>
      <c r="E851" s="215" t="s">
        <v>1447</v>
      </c>
      <c r="F851" s="65" t="s">
        <v>1448</v>
      </c>
      <c r="G851" s="65" t="s">
        <v>168</v>
      </c>
      <c r="H851" s="65" t="s">
        <v>168</v>
      </c>
      <c r="I851" s="65"/>
      <c r="J851" s="65" t="s">
        <v>9</v>
      </c>
      <c r="K851" s="97" t="s">
        <v>9</v>
      </c>
      <c r="L851" s="129">
        <v>0.5</v>
      </c>
      <c r="M851" s="180">
        <f t="shared" si="509"/>
        <v>0.75</v>
      </c>
      <c r="N851" s="129">
        <v>1.0</v>
      </c>
      <c r="O851" s="129">
        <f t="shared" si="552"/>
        <v>0.75</v>
      </c>
      <c r="P851" s="159">
        <v>0.1</v>
      </c>
      <c r="Q851" s="208">
        <f t="shared" si="553"/>
        <v>0.825</v>
      </c>
      <c r="R851" s="132">
        <v>4.0</v>
      </c>
      <c r="S851" s="132">
        <v>2.0</v>
      </c>
      <c r="T851" s="65" t="s">
        <v>70</v>
      </c>
      <c r="U851" s="26"/>
      <c r="V851" s="26"/>
      <c r="W851" s="26"/>
      <c r="X851" s="26"/>
      <c r="Y851" s="26"/>
      <c r="Z851" s="26"/>
      <c r="AA851" s="26"/>
      <c r="AB851" s="26"/>
      <c r="AC851" s="26"/>
    </row>
    <row r="852" ht="33.75" customHeight="1">
      <c r="A852" s="54" t="s">
        <v>1452</v>
      </c>
      <c r="B852" s="209" t="s">
        <v>1334</v>
      </c>
      <c r="C852" s="209" t="s">
        <v>1417</v>
      </c>
      <c r="D852" s="209" t="s">
        <v>1453</v>
      </c>
      <c r="E852" s="209" t="s">
        <v>1454</v>
      </c>
      <c r="F852" s="54" t="s">
        <v>987</v>
      </c>
      <c r="G852" s="54" t="s">
        <v>168</v>
      </c>
      <c r="H852" s="54" t="s">
        <v>168</v>
      </c>
      <c r="I852" s="54"/>
      <c r="J852" s="54" t="s">
        <v>9</v>
      </c>
      <c r="K852" s="119" t="s">
        <v>9</v>
      </c>
      <c r="L852" s="202">
        <f>IF(COUNT(L853:N855)=0,"",SUM(L853:L855))</f>
        <v>2.5</v>
      </c>
      <c r="M852" s="174">
        <f t="shared" si="509"/>
        <v>3.25</v>
      </c>
      <c r="N852" s="202">
        <f>IF(COUNT(L853:N855)=0,"",SUM(N853:N855))</f>
        <v>4</v>
      </c>
      <c r="O852" s="202">
        <f>IF(COUNT(O853:O855)=0,"",SUM(O853:O855))</f>
        <v>3.25</v>
      </c>
      <c r="P852" s="210"/>
      <c r="Q852" s="202">
        <f>IF(COUNT(Q853:Q855)=0,"",SUM(Q853:Q855))</f>
        <v>3.6625</v>
      </c>
      <c r="R852" s="163"/>
      <c r="S852" s="163"/>
      <c r="T852" s="54" t="s">
        <v>65</v>
      </c>
      <c r="U852" s="179"/>
      <c r="V852" s="179"/>
      <c r="W852" s="179"/>
      <c r="X852" s="105"/>
      <c r="Y852" s="105"/>
      <c r="Z852" s="105"/>
      <c r="AA852" s="105"/>
      <c r="AB852" s="105"/>
      <c r="AC852" s="105"/>
    </row>
    <row r="853" ht="33.75" customHeight="1">
      <c r="A853" s="65" t="s">
        <v>1455</v>
      </c>
      <c r="B853" s="215" t="s">
        <v>1334</v>
      </c>
      <c r="C853" s="215" t="s">
        <v>1417</v>
      </c>
      <c r="D853" s="215" t="s">
        <v>1453</v>
      </c>
      <c r="E853" s="215" t="s">
        <v>1454</v>
      </c>
      <c r="F853" s="65" t="s">
        <v>987</v>
      </c>
      <c r="G853" s="65" t="s">
        <v>168</v>
      </c>
      <c r="H853" s="65" t="s">
        <v>168</v>
      </c>
      <c r="I853" s="65"/>
      <c r="J853" s="65" t="s">
        <v>9</v>
      </c>
      <c r="K853" s="97" t="s">
        <v>9</v>
      </c>
      <c r="L853" s="129">
        <v>0.5</v>
      </c>
      <c r="M853" s="180">
        <f t="shared" si="509"/>
        <v>0.75</v>
      </c>
      <c r="N853" s="129">
        <v>1.0</v>
      </c>
      <c r="O853" s="129">
        <f t="shared" ref="O853:O855" si="554">IF(COUNT(L853:N853)=0,"",(L853+4*M853+N853)/6)</f>
        <v>0.75</v>
      </c>
      <c r="P853" s="159">
        <v>0.1</v>
      </c>
      <c r="Q853" s="208">
        <f t="shared" ref="Q853:Q855" si="555">IF(O853="","",IF(P853="",O853,O853*(1+P853)))</f>
        <v>0.825</v>
      </c>
      <c r="R853" s="132">
        <v>4.0</v>
      </c>
      <c r="S853" s="132">
        <v>2.0</v>
      </c>
      <c r="T853" s="65" t="s">
        <v>31</v>
      </c>
      <c r="U853" s="26"/>
      <c r="V853" s="26"/>
      <c r="W853" s="26"/>
      <c r="X853" s="26"/>
      <c r="Y853" s="26"/>
      <c r="Z853" s="26"/>
      <c r="AA853" s="26"/>
      <c r="AB853" s="26"/>
      <c r="AC853" s="26"/>
    </row>
    <row r="854" ht="33.75" customHeight="1">
      <c r="A854" s="65" t="s">
        <v>1456</v>
      </c>
      <c r="B854" s="215" t="s">
        <v>1334</v>
      </c>
      <c r="C854" s="215" t="s">
        <v>1417</v>
      </c>
      <c r="D854" s="215" t="s">
        <v>1453</v>
      </c>
      <c r="E854" s="215" t="s">
        <v>1454</v>
      </c>
      <c r="F854" s="65" t="s">
        <v>987</v>
      </c>
      <c r="G854" s="65" t="s">
        <v>168</v>
      </c>
      <c r="H854" s="65" t="s">
        <v>168</v>
      </c>
      <c r="I854" s="65"/>
      <c r="J854" s="65" t="s">
        <v>9</v>
      </c>
      <c r="K854" s="97" t="s">
        <v>9</v>
      </c>
      <c r="L854" s="129">
        <v>1.5</v>
      </c>
      <c r="M854" s="180">
        <f t="shared" si="509"/>
        <v>1.75</v>
      </c>
      <c r="N854" s="129">
        <v>2.0</v>
      </c>
      <c r="O854" s="129">
        <f t="shared" si="554"/>
        <v>1.75</v>
      </c>
      <c r="P854" s="159">
        <v>0.15</v>
      </c>
      <c r="Q854" s="208">
        <f t="shared" si="555"/>
        <v>2.0125</v>
      </c>
      <c r="R854" s="132">
        <v>4.0</v>
      </c>
      <c r="S854" s="132">
        <v>2.0</v>
      </c>
      <c r="T854" s="65" t="s">
        <v>32</v>
      </c>
      <c r="U854" s="26"/>
      <c r="V854" s="26"/>
      <c r="W854" s="26"/>
      <c r="X854" s="26"/>
      <c r="Y854" s="26"/>
      <c r="Z854" s="26"/>
      <c r="AA854" s="26"/>
      <c r="AB854" s="26"/>
      <c r="AC854" s="26"/>
    </row>
    <row r="855" ht="33.75" customHeight="1">
      <c r="A855" s="65" t="s">
        <v>1457</v>
      </c>
      <c r="B855" s="215" t="s">
        <v>1334</v>
      </c>
      <c r="C855" s="215" t="s">
        <v>1417</v>
      </c>
      <c r="D855" s="215" t="s">
        <v>1453</v>
      </c>
      <c r="E855" s="215" t="s">
        <v>1454</v>
      </c>
      <c r="F855" s="65" t="s">
        <v>987</v>
      </c>
      <c r="G855" s="65" t="s">
        <v>168</v>
      </c>
      <c r="H855" s="65" t="s">
        <v>168</v>
      </c>
      <c r="I855" s="65"/>
      <c r="J855" s="65" t="s">
        <v>9</v>
      </c>
      <c r="K855" s="97" t="s">
        <v>9</v>
      </c>
      <c r="L855" s="129">
        <v>0.5</v>
      </c>
      <c r="M855" s="180">
        <f t="shared" si="509"/>
        <v>0.75</v>
      </c>
      <c r="N855" s="129">
        <v>1.0</v>
      </c>
      <c r="O855" s="129">
        <f t="shared" si="554"/>
        <v>0.75</v>
      </c>
      <c r="P855" s="159">
        <v>0.1</v>
      </c>
      <c r="Q855" s="208">
        <f t="shared" si="555"/>
        <v>0.825</v>
      </c>
      <c r="R855" s="132">
        <v>4.0</v>
      </c>
      <c r="S855" s="132">
        <v>2.0</v>
      </c>
      <c r="T855" s="65" t="s">
        <v>70</v>
      </c>
      <c r="U855" s="26"/>
      <c r="V855" s="26"/>
      <c r="W855" s="26"/>
      <c r="X855" s="26"/>
      <c r="Y855" s="26"/>
      <c r="Z855" s="26"/>
      <c r="AA855" s="26"/>
      <c r="AB855" s="26"/>
      <c r="AC855" s="26"/>
    </row>
    <row r="856" ht="33.75" customHeight="1">
      <c r="A856" s="45" t="s">
        <v>1458</v>
      </c>
      <c r="B856" s="212" t="s">
        <v>1334</v>
      </c>
      <c r="C856" s="212" t="s">
        <v>1459</v>
      </c>
      <c r="D856" s="212" t="s">
        <v>1459</v>
      </c>
      <c r="E856" s="212" t="s">
        <v>1460</v>
      </c>
      <c r="F856" s="45"/>
      <c r="G856" s="45"/>
      <c r="H856" s="45"/>
      <c r="I856" s="45"/>
      <c r="J856" s="45"/>
      <c r="K856" s="123"/>
      <c r="L856" s="213">
        <f>IF(COUNT(L857,L861,L865,L869)=0,"",SUM(L857,L861,L865,L869))</f>
        <v>0</v>
      </c>
      <c r="M856" s="213">
        <f t="shared" si="509"/>
        <v>0</v>
      </c>
      <c r="N856" s="213">
        <f t="shared" ref="N856:O856" si="556">IF(COUNT(N857,N861,N865,N869)=0,"",SUM(N857,N861,N865,N869))</f>
        <v>0</v>
      </c>
      <c r="O856" s="213">
        <f t="shared" si="556"/>
        <v>0</v>
      </c>
      <c r="P856" s="214"/>
      <c r="Q856" s="213">
        <f>IF(COUNT(Q857,Q861,Q865,Q869)=0,"",SUM(Q857,Q861,Q865,Q869))</f>
        <v>0</v>
      </c>
      <c r="R856" s="126"/>
      <c r="S856" s="126"/>
      <c r="T856" s="45" t="s">
        <v>62</v>
      </c>
      <c r="U856" s="26"/>
      <c r="V856" s="26"/>
      <c r="W856" s="26"/>
      <c r="X856" s="46">
        <f t="shared" ref="X856:AA856" si="557">L856</f>
        <v>0</v>
      </c>
      <c r="Y856" s="46">
        <f t="shared" si="557"/>
        <v>0</v>
      </c>
      <c r="Z856" s="46">
        <f t="shared" si="557"/>
        <v>0</v>
      </c>
      <c r="AA856" s="46">
        <f t="shared" si="557"/>
        <v>0</v>
      </c>
      <c r="AB856" s="26"/>
      <c r="AC856" s="46">
        <f>Q856</f>
        <v>0</v>
      </c>
    </row>
    <row r="857" ht="33.75" customHeight="1">
      <c r="A857" s="222" t="s">
        <v>1461</v>
      </c>
      <c r="B857" s="223" t="s">
        <v>1334</v>
      </c>
      <c r="C857" s="223" t="s">
        <v>1459</v>
      </c>
      <c r="D857" s="223" t="s">
        <v>1462</v>
      </c>
      <c r="E857" s="99"/>
      <c r="F857" s="98"/>
      <c r="G857" s="98"/>
      <c r="H857" s="98"/>
      <c r="I857" s="98"/>
      <c r="J857" s="98" t="s">
        <v>12</v>
      </c>
      <c r="K857" s="100" t="s">
        <v>12</v>
      </c>
      <c r="L857" s="101">
        <v>0.0</v>
      </c>
      <c r="M857" s="102">
        <v>0.0</v>
      </c>
      <c r="N857" s="101">
        <v>0.0</v>
      </c>
      <c r="O857" s="101">
        <v>0.0</v>
      </c>
      <c r="P857" s="103"/>
      <c r="Q857" s="101">
        <v>0.0</v>
      </c>
      <c r="R857" s="104"/>
      <c r="S857" s="104"/>
      <c r="T857" s="98" t="s">
        <v>65</v>
      </c>
      <c r="U857" s="179"/>
      <c r="V857" s="179"/>
      <c r="W857" s="179"/>
      <c r="X857" s="105"/>
      <c r="Y857" s="105"/>
      <c r="Z857" s="105"/>
      <c r="AA857" s="105"/>
      <c r="AB857" s="105"/>
      <c r="AC857" s="105"/>
    </row>
    <row r="858" ht="33.75" customHeight="1">
      <c r="A858" s="224" t="s">
        <v>1463</v>
      </c>
      <c r="B858" s="225" t="s">
        <v>1334</v>
      </c>
      <c r="C858" s="225" t="s">
        <v>1459</v>
      </c>
      <c r="D858" s="225" t="s">
        <v>1462</v>
      </c>
      <c r="E858" s="107"/>
      <c r="F858" s="106"/>
      <c r="G858" s="106"/>
      <c r="H858" s="106"/>
      <c r="I858" s="106"/>
      <c r="J858" s="106" t="s">
        <v>12</v>
      </c>
      <c r="K858" s="108" t="s">
        <v>12</v>
      </c>
      <c r="L858" s="109"/>
      <c r="M858" s="109">
        <v>0.0</v>
      </c>
      <c r="N858" s="109"/>
      <c r="O858" s="109">
        <v>0.0</v>
      </c>
      <c r="P858" s="110"/>
      <c r="Q858" s="109">
        <v>0.0</v>
      </c>
      <c r="R858" s="111"/>
      <c r="S858" s="111"/>
      <c r="T858" s="106" t="s">
        <v>31</v>
      </c>
      <c r="U858" s="26"/>
      <c r="V858" s="26"/>
      <c r="W858" s="26"/>
      <c r="X858" s="26"/>
      <c r="Y858" s="26"/>
      <c r="Z858" s="26"/>
      <c r="AA858" s="26"/>
      <c r="AB858" s="26"/>
      <c r="AC858" s="26"/>
    </row>
    <row r="859" ht="33.75" customHeight="1">
      <c r="A859" s="226" t="s">
        <v>1464</v>
      </c>
      <c r="B859" s="225" t="s">
        <v>1334</v>
      </c>
      <c r="C859" s="225" t="s">
        <v>1459</v>
      </c>
      <c r="D859" s="225" t="s">
        <v>1462</v>
      </c>
      <c r="E859" s="107"/>
      <c r="F859" s="106"/>
      <c r="G859" s="106"/>
      <c r="H859" s="106"/>
      <c r="I859" s="106"/>
      <c r="J859" s="106" t="s">
        <v>12</v>
      </c>
      <c r="K859" s="108" t="s">
        <v>12</v>
      </c>
      <c r="L859" s="109"/>
      <c r="M859" s="109">
        <v>0.0</v>
      </c>
      <c r="N859" s="109"/>
      <c r="O859" s="109">
        <v>0.0</v>
      </c>
      <c r="P859" s="110"/>
      <c r="Q859" s="109">
        <v>0.0</v>
      </c>
      <c r="R859" s="111"/>
      <c r="S859" s="111"/>
      <c r="T859" s="106" t="s">
        <v>32</v>
      </c>
      <c r="U859" s="26"/>
      <c r="V859" s="26"/>
      <c r="W859" s="26"/>
      <c r="X859" s="26"/>
      <c r="Y859" s="26"/>
      <c r="Z859" s="26"/>
      <c r="AA859" s="26"/>
      <c r="AB859" s="26"/>
      <c r="AC859" s="26"/>
    </row>
    <row r="860" ht="33.75" customHeight="1">
      <c r="A860" s="226" t="s">
        <v>1465</v>
      </c>
      <c r="B860" s="225" t="s">
        <v>1334</v>
      </c>
      <c r="C860" s="225" t="s">
        <v>1459</v>
      </c>
      <c r="D860" s="225" t="s">
        <v>1462</v>
      </c>
      <c r="E860" s="107"/>
      <c r="F860" s="106"/>
      <c r="G860" s="106"/>
      <c r="H860" s="106"/>
      <c r="I860" s="106"/>
      <c r="J860" s="106" t="s">
        <v>12</v>
      </c>
      <c r="K860" s="108" t="s">
        <v>12</v>
      </c>
      <c r="L860" s="109"/>
      <c r="M860" s="109">
        <v>0.0</v>
      </c>
      <c r="N860" s="109"/>
      <c r="O860" s="109">
        <v>0.0</v>
      </c>
      <c r="P860" s="110"/>
      <c r="Q860" s="109">
        <v>0.0</v>
      </c>
      <c r="R860" s="111"/>
      <c r="S860" s="111"/>
      <c r="T860" s="106" t="s">
        <v>70</v>
      </c>
      <c r="U860" s="26"/>
      <c r="V860" s="26"/>
      <c r="W860" s="26"/>
      <c r="X860" s="26"/>
      <c r="Y860" s="26"/>
      <c r="Z860" s="26"/>
      <c r="AA860" s="26"/>
      <c r="AB860" s="26"/>
      <c r="AC860" s="26"/>
    </row>
    <row r="861" ht="33.75" customHeight="1">
      <c r="A861" s="98" t="s">
        <v>1466</v>
      </c>
      <c r="B861" s="99" t="s">
        <v>1334</v>
      </c>
      <c r="C861" s="99" t="s">
        <v>1459</v>
      </c>
      <c r="D861" s="99" t="s">
        <v>1467</v>
      </c>
      <c r="E861" s="99" t="s">
        <v>1468</v>
      </c>
      <c r="F861" s="98" t="s">
        <v>1469</v>
      </c>
      <c r="G861" s="98" t="s">
        <v>534</v>
      </c>
      <c r="H861" s="98" t="s">
        <v>534</v>
      </c>
      <c r="I861" s="98"/>
      <c r="J861" s="98" t="s">
        <v>12</v>
      </c>
      <c r="K861" s="100" t="s">
        <v>12</v>
      </c>
      <c r="L861" s="101">
        <f>IF(COUNT(L862:N864)=0,"",SUM(L862:L864))</f>
        <v>0</v>
      </c>
      <c r="M861" s="102">
        <f t="shared" ref="M861:M902" si="558">(N861+L861)/2</f>
        <v>0</v>
      </c>
      <c r="N861" s="101">
        <f>IF(COUNT(L862:N864)=0,"",SUM(N862:N864))</f>
        <v>0</v>
      </c>
      <c r="O861" s="101">
        <f>IF(COUNT(O862:O864)=0,"",SUM(O862:O864))</f>
        <v>0</v>
      </c>
      <c r="P861" s="103"/>
      <c r="Q861" s="101">
        <f>IF(COUNT(Q862:Q864)=0,"",SUM(Q862:Q864))</f>
        <v>0</v>
      </c>
      <c r="R861" s="104"/>
      <c r="S861" s="104"/>
      <c r="T861" s="98" t="s">
        <v>65</v>
      </c>
      <c r="U861" s="179"/>
      <c r="V861" s="179"/>
      <c r="W861" s="179"/>
      <c r="X861" s="105"/>
      <c r="Y861" s="105"/>
      <c r="Z861" s="105"/>
      <c r="AA861" s="105"/>
      <c r="AB861" s="105"/>
      <c r="AC861" s="105"/>
    </row>
    <row r="862" ht="33.75" customHeight="1">
      <c r="A862" s="106" t="s">
        <v>1470</v>
      </c>
      <c r="B862" s="107" t="s">
        <v>1334</v>
      </c>
      <c r="C862" s="107" t="s">
        <v>1459</v>
      </c>
      <c r="D862" s="107" t="s">
        <v>1467</v>
      </c>
      <c r="E862" s="107" t="s">
        <v>1468</v>
      </c>
      <c r="F862" s="106" t="s">
        <v>1469</v>
      </c>
      <c r="G862" s="106" t="s">
        <v>534</v>
      </c>
      <c r="H862" s="106" t="s">
        <v>534</v>
      </c>
      <c r="I862" s="106"/>
      <c r="J862" s="106" t="s">
        <v>12</v>
      </c>
      <c r="K862" s="108" t="s">
        <v>12</v>
      </c>
      <c r="L862" s="109"/>
      <c r="M862" s="109">
        <f t="shared" si="558"/>
        <v>0</v>
      </c>
      <c r="N862" s="109"/>
      <c r="O862" s="109">
        <f t="shared" ref="O862:O864" si="559">IF(COUNT(L862:N862)=0,"",(L862+4*M862+N862)/6)</f>
        <v>0</v>
      </c>
      <c r="P862" s="110"/>
      <c r="Q862" s="109">
        <f t="shared" ref="Q862:Q864" si="560">IF(O862="","",IF(P862="",O862,O862*(1+P862)))</f>
        <v>0</v>
      </c>
      <c r="R862" s="111"/>
      <c r="S862" s="111"/>
      <c r="T862" s="106" t="s">
        <v>31</v>
      </c>
      <c r="U862" s="26"/>
      <c r="V862" s="26"/>
      <c r="W862" s="26"/>
      <c r="X862" s="26"/>
      <c r="Y862" s="26"/>
      <c r="Z862" s="26"/>
      <c r="AA862" s="26"/>
      <c r="AB862" s="26"/>
      <c r="AC862" s="26"/>
    </row>
    <row r="863" ht="33.75" customHeight="1">
      <c r="A863" s="106" t="s">
        <v>1471</v>
      </c>
      <c r="B863" s="107" t="s">
        <v>1334</v>
      </c>
      <c r="C863" s="107" t="s">
        <v>1459</v>
      </c>
      <c r="D863" s="107" t="s">
        <v>1467</v>
      </c>
      <c r="E863" s="107" t="s">
        <v>1468</v>
      </c>
      <c r="F863" s="106" t="s">
        <v>1469</v>
      </c>
      <c r="G863" s="106" t="s">
        <v>534</v>
      </c>
      <c r="H863" s="106" t="s">
        <v>534</v>
      </c>
      <c r="I863" s="106"/>
      <c r="J863" s="106" t="s">
        <v>12</v>
      </c>
      <c r="K863" s="108" t="s">
        <v>12</v>
      </c>
      <c r="L863" s="109"/>
      <c r="M863" s="109">
        <f t="shared" si="558"/>
        <v>0</v>
      </c>
      <c r="N863" s="109"/>
      <c r="O863" s="109">
        <f t="shared" si="559"/>
        <v>0</v>
      </c>
      <c r="P863" s="110"/>
      <c r="Q863" s="109">
        <f t="shared" si="560"/>
        <v>0</v>
      </c>
      <c r="R863" s="111"/>
      <c r="S863" s="111"/>
      <c r="T863" s="106" t="s">
        <v>32</v>
      </c>
      <c r="U863" s="26"/>
      <c r="V863" s="26"/>
      <c r="W863" s="26"/>
      <c r="X863" s="26"/>
      <c r="Y863" s="26"/>
      <c r="Z863" s="26"/>
      <c r="AA863" s="26"/>
      <c r="AB863" s="26"/>
      <c r="AC863" s="26"/>
    </row>
    <row r="864" ht="33.75" customHeight="1">
      <c r="A864" s="106" t="s">
        <v>1472</v>
      </c>
      <c r="B864" s="107" t="s">
        <v>1334</v>
      </c>
      <c r="C864" s="107" t="s">
        <v>1459</v>
      </c>
      <c r="D864" s="107" t="s">
        <v>1467</v>
      </c>
      <c r="E864" s="107" t="s">
        <v>1468</v>
      </c>
      <c r="F864" s="106" t="s">
        <v>1469</v>
      </c>
      <c r="G864" s="106" t="s">
        <v>534</v>
      </c>
      <c r="H864" s="106" t="s">
        <v>534</v>
      </c>
      <c r="I864" s="106"/>
      <c r="J864" s="106" t="s">
        <v>12</v>
      </c>
      <c r="K864" s="108" t="s">
        <v>12</v>
      </c>
      <c r="L864" s="109"/>
      <c r="M864" s="109">
        <f t="shared" si="558"/>
        <v>0</v>
      </c>
      <c r="N864" s="109"/>
      <c r="O864" s="109">
        <f t="shared" si="559"/>
        <v>0</v>
      </c>
      <c r="P864" s="110"/>
      <c r="Q864" s="109">
        <f t="shared" si="560"/>
        <v>0</v>
      </c>
      <c r="R864" s="111"/>
      <c r="S864" s="111"/>
      <c r="T864" s="106" t="s">
        <v>70</v>
      </c>
      <c r="U864" s="26"/>
      <c r="V864" s="26"/>
      <c r="W864" s="26"/>
      <c r="X864" s="26"/>
      <c r="Y864" s="26"/>
      <c r="Z864" s="26"/>
      <c r="AA864" s="26"/>
      <c r="AB864" s="26"/>
      <c r="AC864" s="26"/>
    </row>
    <row r="865" ht="33.75" customHeight="1">
      <c r="A865" s="98" t="s">
        <v>1473</v>
      </c>
      <c r="B865" s="99" t="s">
        <v>1334</v>
      </c>
      <c r="C865" s="99" t="s">
        <v>1459</v>
      </c>
      <c r="D865" s="99" t="s">
        <v>1474</v>
      </c>
      <c r="E865" s="99" t="s">
        <v>1475</v>
      </c>
      <c r="F865" s="98" t="s">
        <v>1461</v>
      </c>
      <c r="G865" s="98" t="s">
        <v>200</v>
      </c>
      <c r="H865" s="98" t="s">
        <v>200</v>
      </c>
      <c r="I865" s="98"/>
      <c r="J865" s="98" t="s">
        <v>14</v>
      </c>
      <c r="K865" s="100" t="s">
        <v>14</v>
      </c>
      <c r="L865" s="101">
        <f>IF(COUNT(L866:N868)=0,"",SUM(L866:L868))</f>
        <v>0</v>
      </c>
      <c r="M865" s="102">
        <f t="shared" si="558"/>
        <v>0</v>
      </c>
      <c r="N865" s="101">
        <f>IF(COUNT(L866:N868)=0,"",SUM(N866:N868))</f>
        <v>0</v>
      </c>
      <c r="O865" s="101">
        <f>IF(COUNT(O866:O868)=0,"",SUM(O866:O868))</f>
        <v>0</v>
      </c>
      <c r="P865" s="103"/>
      <c r="Q865" s="101">
        <f>IF(COUNT(Q866:Q868)=0,"",SUM(Q866:Q868))</f>
        <v>0</v>
      </c>
      <c r="R865" s="104"/>
      <c r="S865" s="104"/>
      <c r="T865" s="98" t="s">
        <v>65</v>
      </c>
      <c r="U865" s="179"/>
      <c r="V865" s="179"/>
      <c r="W865" s="179"/>
      <c r="X865" s="105"/>
      <c r="Y865" s="105"/>
      <c r="Z865" s="105"/>
      <c r="AA865" s="105"/>
      <c r="AB865" s="105"/>
      <c r="AC865" s="105"/>
    </row>
    <row r="866" ht="33.75" customHeight="1">
      <c r="A866" s="106" t="s">
        <v>1476</v>
      </c>
      <c r="B866" s="107" t="s">
        <v>1334</v>
      </c>
      <c r="C866" s="107" t="s">
        <v>1459</v>
      </c>
      <c r="D866" s="107" t="s">
        <v>1474</v>
      </c>
      <c r="E866" s="107" t="s">
        <v>1475</v>
      </c>
      <c r="F866" s="106" t="s">
        <v>1461</v>
      </c>
      <c r="G866" s="106" t="s">
        <v>200</v>
      </c>
      <c r="H866" s="106" t="s">
        <v>200</v>
      </c>
      <c r="I866" s="106"/>
      <c r="J866" s="106" t="s">
        <v>14</v>
      </c>
      <c r="K866" s="108" t="s">
        <v>14</v>
      </c>
      <c r="L866" s="109"/>
      <c r="M866" s="109">
        <f t="shared" si="558"/>
        <v>0</v>
      </c>
      <c r="N866" s="109"/>
      <c r="O866" s="109">
        <f t="shared" ref="O866:O868" si="561">IF(COUNT(L866:N866)=0,"",(L866+4*M866+N866)/6)</f>
        <v>0</v>
      </c>
      <c r="P866" s="110"/>
      <c r="Q866" s="109">
        <f t="shared" ref="Q866:Q868" si="562">IF(O866="","",IF(P866="",O866,O866*(1+P866)))</f>
        <v>0</v>
      </c>
      <c r="R866" s="111"/>
      <c r="S866" s="111"/>
      <c r="T866" s="106" t="s">
        <v>31</v>
      </c>
      <c r="U866" s="26"/>
      <c r="V866" s="26"/>
      <c r="W866" s="26"/>
      <c r="X866" s="26"/>
      <c r="Y866" s="26"/>
      <c r="Z866" s="26"/>
      <c r="AA866" s="26"/>
      <c r="AB866" s="26"/>
      <c r="AC866" s="26"/>
    </row>
    <row r="867" ht="33.75" customHeight="1">
      <c r="A867" s="106" t="s">
        <v>1477</v>
      </c>
      <c r="B867" s="107" t="s">
        <v>1334</v>
      </c>
      <c r="C867" s="107" t="s">
        <v>1459</v>
      </c>
      <c r="D867" s="107" t="s">
        <v>1474</v>
      </c>
      <c r="E867" s="107" t="s">
        <v>1475</v>
      </c>
      <c r="F867" s="106" t="s">
        <v>1461</v>
      </c>
      <c r="G867" s="106" t="s">
        <v>200</v>
      </c>
      <c r="H867" s="106" t="s">
        <v>200</v>
      </c>
      <c r="I867" s="106"/>
      <c r="J867" s="106" t="s">
        <v>14</v>
      </c>
      <c r="K867" s="108" t="s">
        <v>14</v>
      </c>
      <c r="L867" s="109"/>
      <c r="M867" s="109">
        <f t="shared" si="558"/>
        <v>0</v>
      </c>
      <c r="N867" s="109"/>
      <c r="O867" s="109">
        <f t="shared" si="561"/>
        <v>0</v>
      </c>
      <c r="P867" s="110"/>
      <c r="Q867" s="109">
        <f t="shared" si="562"/>
        <v>0</v>
      </c>
      <c r="R867" s="111"/>
      <c r="S867" s="111"/>
      <c r="T867" s="106" t="s">
        <v>32</v>
      </c>
      <c r="U867" s="26"/>
      <c r="V867" s="26"/>
      <c r="W867" s="26"/>
      <c r="X867" s="26"/>
      <c r="Y867" s="26"/>
      <c r="Z867" s="26"/>
      <c r="AA867" s="26"/>
      <c r="AB867" s="26"/>
      <c r="AC867" s="26"/>
    </row>
    <row r="868" ht="33.75" customHeight="1">
      <c r="A868" s="106" t="s">
        <v>1478</v>
      </c>
      <c r="B868" s="107" t="s">
        <v>1334</v>
      </c>
      <c r="C868" s="107" t="s">
        <v>1459</v>
      </c>
      <c r="D868" s="107" t="s">
        <v>1474</v>
      </c>
      <c r="E868" s="107" t="s">
        <v>1475</v>
      </c>
      <c r="F868" s="106" t="s">
        <v>1461</v>
      </c>
      <c r="G868" s="106" t="s">
        <v>200</v>
      </c>
      <c r="H868" s="106" t="s">
        <v>200</v>
      </c>
      <c r="I868" s="106"/>
      <c r="J868" s="106" t="s">
        <v>14</v>
      </c>
      <c r="K868" s="108" t="s">
        <v>14</v>
      </c>
      <c r="L868" s="109"/>
      <c r="M868" s="109">
        <f t="shared" si="558"/>
        <v>0</v>
      </c>
      <c r="N868" s="109"/>
      <c r="O868" s="109">
        <f t="shared" si="561"/>
        <v>0</v>
      </c>
      <c r="P868" s="110"/>
      <c r="Q868" s="109">
        <f t="shared" si="562"/>
        <v>0</v>
      </c>
      <c r="R868" s="111"/>
      <c r="S868" s="111"/>
      <c r="T868" s="106" t="s">
        <v>70</v>
      </c>
      <c r="U868" s="26"/>
      <c r="V868" s="26"/>
      <c r="W868" s="26"/>
      <c r="X868" s="26"/>
      <c r="Y868" s="26"/>
      <c r="Z868" s="26"/>
      <c r="AA868" s="26"/>
      <c r="AB868" s="26"/>
      <c r="AC868" s="26"/>
    </row>
    <row r="869" ht="33.75" customHeight="1">
      <c r="A869" s="98" t="s">
        <v>1479</v>
      </c>
      <c r="B869" s="99" t="s">
        <v>1334</v>
      </c>
      <c r="C869" s="99" t="s">
        <v>1459</v>
      </c>
      <c r="D869" s="99" t="s">
        <v>1480</v>
      </c>
      <c r="E869" s="99" t="s">
        <v>1481</v>
      </c>
      <c r="F869" s="98" t="s">
        <v>1461</v>
      </c>
      <c r="G869" s="98" t="s">
        <v>168</v>
      </c>
      <c r="H869" s="98" t="s">
        <v>168</v>
      </c>
      <c r="I869" s="98"/>
      <c r="J869" s="98" t="s">
        <v>14</v>
      </c>
      <c r="K869" s="100" t="s">
        <v>14</v>
      </c>
      <c r="L869" s="101">
        <f>IF(COUNT(L870:N872)=0,"",SUM(L870:L872))</f>
        <v>0</v>
      </c>
      <c r="M869" s="102">
        <f t="shared" si="558"/>
        <v>0</v>
      </c>
      <c r="N869" s="101">
        <f>IF(COUNT(L870:N872)=0,"",SUM(N870:N872))</f>
        <v>0</v>
      </c>
      <c r="O869" s="101">
        <f>IF(COUNT(O870:O872)=0,"",SUM(O870:O872))</f>
        <v>0</v>
      </c>
      <c r="P869" s="103"/>
      <c r="Q869" s="101">
        <f>IF(COUNT(Q870:Q872)=0,"",SUM(Q870:Q872))</f>
        <v>0</v>
      </c>
      <c r="R869" s="104"/>
      <c r="S869" s="104"/>
      <c r="T869" s="98" t="s">
        <v>65</v>
      </c>
      <c r="U869" s="179"/>
      <c r="V869" s="179"/>
      <c r="W869" s="179"/>
      <c r="X869" s="105"/>
      <c r="Y869" s="105"/>
      <c r="Z869" s="105"/>
      <c r="AA869" s="105"/>
      <c r="AB869" s="105"/>
      <c r="AC869" s="105"/>
    </row>
    <row r="870" ht="33.75" customHeight="1">
      <c r="A870" s="106" t="s">
        <v>1482</v>
      </c>
      <c r="B870" s="107" t="s">
        <v>1334</v>
      </c>
      <c r="C870" s="107" t="s">
        <v>1459</v>
      </c>
      <c r="D870" s="107" t="s">
        <v>1480</v>
      </c>
      <c r="E870" s="107" t="s">
        <v>1481</v>
      </c>
      <c r="F870" s="106" t="s">
        <v>1461</v>
      </c>
      <c r="G870" s="106" t="s">
        <v>168</v>
      </c>
      <c r="H870" s="106" t="s">
        <v>168</v>
      </c>
      <c r="I870" s="106"/>
      <c r="J870" s="106" t="s">
        <v>14</v>
      </c>
      <c r="K870" s="108" t="s">
        <v>14</v>
      </c>
      <c r="L870" s="109"/>
      <c r="M870" s="109">
        <f t="shared" si="558"/>
        <v>0</v>
      </c>
      <c r="N870" s="109"/>
      <c r="O870" s="109">
        <f t="shared" ref="O870:O872" si="563">IF(COUNT(L870:N870)=0,"",(L870+4*M870+N870)/6)</f>
        <v>0</v>
      </c>
      <c r="P870" s="110"/>
      <c r="Q870" s="109">
        <f t="shared" ref="Q870:Q872" si="564">IF(O870="","",IF(P870="",O870,O870*(1+P870)))</f>
        <v>0</v>
      </c>
      <c r="R870" s="111"/>
      <c r="S870" s="111"/>
      <c r="T870" s="106" t="s">
        <v>31</v>
      </c>
      <c r="U870" s="26"/>
      <c r="V870" s="26"/>
      <c r="W870" s="26"/>
      <c r="X870" s="26"/>
      <c r="Y870" s="26"/>
      <c r="Z870" s="26"/>
      <c r="AA870" s="26"/>
      <c r="AB870" s="26"/>
      <c r="AC870" s="26"/>
    </row>
    <row r="871" ht="33.75" customHeight="1">
      <c r="A871" s="106" t="s">
        <v>1483</v>
      </c>
      <c r="B871" s="107" t="s">
        <v>1334</v>
      </c>
      <c r="C871" s="107" t="s">
        <v>1459</v>
      </c>
      <c r="D871" s="107" t="s">
        <v>1480</v>
      </c>
      <c r="E871" s="107" t="s">
        <v>1481</v>
      </c>
      <c r="F871" s="106" t="s">
        <v>1461</v>
      </c>
      <c r="G871" s="106" t="s">
        <v>168</v>
      </c>
      <c r="H871" s="106" t="s">
        <v>168</v>
      </c>
      <c r="I871" s="106"/>
      <c r="J871" s="106" t="s">
        <v>14</v>
      </c>
      <c r="K871" s="108" t="s">
        <v>14</v>
      </c>
      <c r="L871" s="109"/>
      <c r="M871" s="109">
        <f t="shared" si="558"/>
        <v>0</v>
      </c>
      <c r="N871" s="109"/>
      <c r="O871" s="109">
        <f t="shared" si="563"/>
        <v>0</v>
      </c>
      <c r="P871" s="110"/>
      <c r="Q871" s="109">
        <f t="shared" si="564"/>
        <v>0</v>
      </c>
      <c r="R871" s="111"/>
      <c r="S871" s="111"/>
      <c r="T871" s="106" t="s">
        <v>32</v>
      </c>
      <c r="U871" s="26"/>
      <c r="V871" s="26"/>
      <c r="W871" s="26"/>
      <c r="X871" s="26"/>
      <c r="Y871" s="26"/>
      <c r="Z871" s="26"/>
      <c r="AA871" s="26"/>
      <c r="AB871" s="26"/>
      <c r="AC871" s="26"/>
    </row>
    <row r="872" ht="33.75" customHeight="1">
      <c r="A872" s="106" t="s">
        <v>1484</v>
      </c>
      <c r="B872" s="107" t="s">
        <v>1334</v>
      </c>
      <c r="C872" s="107" t="s">
        <v>1459</v>
      </c>
      <c r="D872" s="107" t="s">
        <v>1480</v>
      </c>
      <c r="E872" s="107" t="s">
        <v>1481</v>
      </c>
      <c r="F872" s="106" t="s">
        <v>1461</v>
      </c>
      <c r="G872" s="106" t="s">
        <v>168</v>
      </c>
      <c r="H872" s="106" t="s">
        <v>168</v>
      </c>
      <c r="I872" s="106"/>
      <c r="J872" s="106" t="s">
        <v>14</v>
      </c>
      <c r="K872" s="108" t="s">
        <v>14</v>
      </c>
      <c r="L872" s="109"/>
      <c r="M872" s="109">
        <f t="shared" si="558"/>
        <v>0</v>
      </c>
      <c r="N872" s="109"/>
      <c r="O872" s="109">
        <f t="shared" si="563"/>
        <v>0</v>
      </c>
      <c r="P872" s="110"/>
      <c r="Q872" s="109">
        <f t="shared" si="564"/>
        <v>0</v>
      </c>
      <c r="R872" s="111"/>
      <c r="S872" s="111"/>
      <c r="T872" s="106" t="s">
        <v>70</v>
      </c>
      <c r="U872" s="26"/>
      <c r="V872" s="26"/>
      <c r="W872" s="26"/>
      <c r="X872" s="26"/>
      <c r="Y872" s="26"/>
      <c r="Z872" s="26"/>
      <c r="AA872" s="26"/>
      <c r="AB872" s="26"/>
      <c r="AC872" s="26"/>
    </row>
    <row r="873" ht="33.75" customHeight="1">
      <c r="A873" s="45" t="s">
        <v>1485</v>
      </c>
      <c r="B873" s="212" t="s">
        <v>1334</v>
      </c>
      <c r="C873" s="212" t="s">
        <v>1486</v>
      </c>
      <c r="D873" s="212" t="s">
        <v>1486</v>
      </c>
      <c r="E873" s="212" t="s">
        <v>1487</v>
      </c>
      <c r="F873" s="45"/>
      <c r="G873" s="45"/>
      <c r="H873" s="45"/>
      <c r="I873" s="45"/>
      <c r="J873" s="45"/>
      <c r="K873" s="123"/>
      <c r="L873" s="213">
        <f>IF(COUNT(L874,L878,L882,L886)=0,"",SUM(L874,L878,L882,L886))</f>
        <v>4.25</v>
      </c>
      <c r="M873" s="213">
        <f t="shared" si="558"/>
        <v>7</v>
      </c>
      <c r="N873" s="213">
        <f t="shared" ref="N873:O873" si="565">IF(COUNT(N874,N878,N882,N886)=0,"",SUM(N874,N878,N882,N886))</f>
        <v>9.75</v>
      </c>
      <c r="O873" s="213">
        <f t="shared" si="565"/>
        <v>7</v>
      </c>
      <c r="P873" s="214"/>
      <c r="Q873" s="213">
        <f>IF(COUNT(Q874,Q878,Q882,Q886)=0,"",SUM(Q874,Q878,Q882,Q886))</f>
        <v>7.6875</v>
      </c>
      <c r="R873" s="126"/>
      <c r="S873" s="126"/>
      <c r="T873" s="45" t="s">
        <v>62</v>
      </c>
      <c r="U873" s="26"/>
      <c r="V873" s="26"/>
      <c r="W873" s="26"/>
      <c r="X873" s="46">
        <f t="shared" ref="X873:AA873" si="566">L873</f>
        <v>4.25</v>
      </c>
      <c r="Y873" s="46">
        <f t="shared" si="566"/>
        <v>7</v>
      </c>
      <c r="Z873" s="46">
        <f t="shared" si="566"/>
        <v>9.75</v>
      </c>
      <c r="AA873" s="46">
        <f t="shared" si="566"/>
        <v>7</v>
      </c>
      <c r="AB873" s="26"/>
      <c r="AC873" s="46">
        <f>Q873</f>
        <v>7.6875</v>
      </c>
    </row>
    <row r="874" ht="33.75" customHeight="1">
      <c r="A874" s="54" t="s">
        <v>1488</v>
      </c>
      <c r="B874" s="209" t="s">
        <v>1334</v>
      </c>
      <c r="C874" s="209" t="s">
        <v>1486</v>
      </c>
      <c r="D874" s="209" t="s">
        <v>1489</v>
      </c>
      <c r="E874" s="209" t="s">
        <v>1490</v>
      </c>
      <c r="F874" s="54" t="s">
        <v>1389</v>
      </c>
      <c r="G874" s="54" t="s">
        <v>168</v>
      </c>
      <c r="H874" s="54" t="s">
        <v>168</v>
      </c>
      <c r="I874" s="54"/>
      <c r="J874" s="54" t="s">
        <v>9</v>
      </c>
      <c r="K874" s="119" t="s">
        <v>9</v>
      </c>
      <c r="L874" s="202">
        <f>IF(COUNT(L875:N877)=0,"",SUM(L875:L877))</f>
        <v>1.75</v>
      </c>
      <c r="M874" s="174">
        <f t="shared" si="558"/>
        <v>2.875</v>
      </c>
      <c r="N874" s="202">
        <f>IF(COUNT(L875:N877)=0,"",SUM(N875:N877))</f>
        <v>4</v>
      </c>
      <c r="O874" s="202">
        <f>IF(COUNT(O875:O877)=0,"",SUM(O875:O877))</f>
        <v>2.875</v>
      </c>
      <c r="P874" s="210"/>
      <c r="Q874" s="202">
        <f>IF(COUNT(Q875:Q877)=0,"",SUM(Q875:Q877))</f>
        <v>3.2375</v>
      </c>
      <c r="R874" s="163"/>
      <c r="S874" s="163"/>
      <c r="T874" s="54" t="s">
        <v>65</v>
      </c>
      <c r="U874" s="179"/>
      <c r="V874" s="179"/>
      <c r="W874" s="179"/>
      <c r="X874" s="105"/>
      <c r="Y874" s="105"/>
      <c r="Z874" s="105"/>
      <c r="AA874" s="105"/>
      <c r="AB874" s="105"/>
      <c r="AC874" s="105"/>
    </row>
    <row r="875" ht="33.75" customHeight="1">
      <c r="A875" s="65" t="s">
        <v>1491</v>
      </c>
      <c r="B875" s="215" t="s">
        <v>1334</v>
      </c>
      <c r="C875" s="215" t="s">
        <v>1486</v>
      </c>
      <c r="D875" s="215" t="s">
        <v>1489</v>
      </c>
      <c r="E875" s="215" t="s">
        <v>1490</v>
      </c>
      <c r="F875" s="65" t="s">
        <v>1389</v>
      </c>
      <c r="G875" s="65" t="s">
        <v>168</v>
      </c>
      <c r="H875" s="65" t="s">
        <v>168</v>
      </c>
      <c r="I875" s="65"/>
      <c r="J875" s="65" t="s">
        <v>9</v>
      </c>
      <c r="K875" s="97" t="s">
        <v>9</v>
      </c>
      <c r="L875" s="129">
        <v>0.5</v>
      </c>
      <c r="M875" s="180">
        <f t="shared" si="558"/>
        <v>0.75</v>
      </c>
      <c r="N875" s="129">
        <v>1.0</v>
      </c>
      <c r="O875" s="129">
        <f t="shared" ref="O875:O877" si="567">IF(COUNT(L875:N875)=0,"",(L875+4*M875+N875)/6)</f>
        <v>0.75</v>
      </c>
      <c r="P875" s="159">
        <v>0.1</v>
      </c>
      <c r="Q875" s="208">
        <f t="shared" ref="Q875:Q877" si="568">IF(O875="","",IF(P875="",O875,O875*(1+P875)))</f>
        <v>0.825</v>
      </c>
      <c r="R875" s="132">
        <v>4.0</v>
      </c>
      <c r="S875" s="132">
        <v>2.0</v>
      </c>
      <c r="T875" s="65" t="s">
        <v>31</v>
      </c>
      <c r="U875" s="26"/>
      <c r="V875" s="26"/>
      <c r="W875" s="26"/>
      <c r="X875" s="26"/>
      <c r="Y875" s="26"/>
      <c r="Z875" s="26"/>
      <c r="AA875" s="26"/>
      <c r="AB875" s="26"/>
      <c r="AC875" s="26"/>
    </row>
    <row r="876" ht="33.75" customHeight="1">
      <c r="A876" s="65" t="s">
        <v>1492</v>
      </c>
      <c r="B876" s="215" t="s">
        <v>1334</v>
      </c>
      <c r="C876" s="215" t="s">
        <v>1486</v>
      </c>
      <c r="D876" s="215" t="s">
        <v>1489</v>
      </c>
      <c r="E876" s="215" t="s">
        <v>1490</v>
      </c>
      <c r="F876" s="65" t="s">
        <v>1389</v>
      </c>
      <c r="G876" s="65" t="s">
        <v>168</v>
      </c>
      <c r="H876" s="65" t="s">
        <v>168</v>
      </c>
      <c r="I876" s="65"/>
      <c r="J876" s="65" t="s">
        <v>9</v>
      </c>
      <c r="K876" s="97" t="s">
        <v>9</v>
      </c>
      <c r="L876" s="129">
        <v>1.0</v>
      </c>
      <c r="M876" s="180">
        <f t="shared" si="558"/>
        <v>1.5</v>
      </c>
      <c r="N876" s="129">
        <v>2.0</v>
      </c>
      <c r="O876" s="129">
        <f t="shared" si="567"/>
        <v>1.5</v>
      </c>
      <c r="P876" s="159">
        <v>0.15</v>
      </c>
      <c r="Q876" s="208">
        <f t="shared" si="568"/>
        <v>1.725</v>
      </c>
      <c r="R876" s="132">
        <v>4.0</v>
      </c>
      <c r="S876" s="132">
        <v>2.0</v>
      </c>
      <c r="T876" s="65" t="s">
        <v>32</v>
      </c>
      <c r="U876" s="26"/>
      <c r="V876" s="26"/>
      <c r="W876" s="26"/>
      <c r="X876" s="26"/>
      <c r="Y876" s="26"/>
      <c r="Z876" s="26"/>
      <c r="AA876" s="26"/>
      <c r="AB876" s="26"/>
      <c r="AC876" s="26"/>
    </row>
    <row r="877" ht="33.75" customHeight="1">
      <c r="A877" s="65" t="s">
        <v>1493</v>
      </c>
      <c r="B877" s="215" t="s">
        <v>1334</v>
      </c>
      <c r="C877" s="215" t="s">
        <v>1486</v>
      </c>
      <c r="D877" s="215" t="s">
        <v>1489</v>
      </c>
      <c r="E877" s="215" t="s">
        <v>1490</v>
      </c>
      <c r="F877" s="65" t="s">
        <v>1389</v>
      </c>
      <c r="G877" s="65" t="s">
        <v>168</v>
      </c>
      <c r="H877" s="65" t="s">
        <v>168</v>
      </c>
      <c r="I877" s="65"/>
      <c r="J877" s="65" t="s">
        <v>9</v>
      </c>
      <c r="K877" s="97" t="s">
        <v>9</v>
      </c>
      <c r="L877" s="129">
        <v>0.25</v>
      </c>
      <c r="M877" s="180">
        <f t="shared" si="558"/>
        <v>0.625</v>
      </c>
      <c r="N877" s="129">
        <v>1.0</v>
      </c>
      <c r="O877" s="129">
        <f t="shared" si="567"/>
        <v>0.625</v>
      </c>
      <c r="P877" s="159">
        <v>0.1</v>
      </c>
      <c r="Q877" s="208">
        <f t="shared" si="568"/>
        <v>0.6875</v>
      </c>
      <c r="R877" s="132">
        <v>4.0</v>
      </c>
      <c r="S877" s="132">
        <v>2.0</v>
      </c>
      <c r="T877" s="65" t="s">
        <v>70</v>
      </c>
      <c r="U877" s="26"/>
      <c r="V877" s="26"/>
      <c r="W877" s="26"/>
      <c r="X877" s="26"/>
      <c r="Y877" s="26"/>
      <c r="Z877" s="26"/>
      <c r="AA877" s="26"/>
      <c r="AB877" s="26"/>
      <c r="AC877" s="26"/>
    </row>
    <row r="878" ht="33.75" customHeight="1">
      <c r="A878" s="54" t="s">
        <v>1494</v>
      </c>
      <c r="B878" s="209" t="s">
        <v>1334</v>
      </c>
      <c r="C878" s="209" t="s">
        <v>1486</v>
      </c>
      <c r="D878" s="209" t="s">
        <v>1495</v>
      </c>
      <c r="E878" s="209" t="s">
        <v>1496</v>
      </c>
      <c r="F878" s="54" t="s">
        <v>1488</v>
      </c>
      <c r="G878" s="54" t="s">
        <v>154</v>
      </c>
      <c r="H878" s="54" t="s">
        <v>154</v>
      </c>
      <c r="I878" s="54"/>
      <c r="J878" s="54" t="s">
        <v>9</v>
      </c>
      <c r="K878" s="119" t="s">
        <v>9</v>
      </c>
      <c r="L878" s="202">
        <f>IF(COUNT(L879:N881)=0,"",SUM(L879:L881))</f>
        <v>1.25</v>
      </c>
      <c r="M878" s="174">
        <f t="shared" si="558"/>
        <v>2.125</v>
      </c>
      <c r="N878" s="202">
        <f>IF(COUNT(L879:N881)=0,"",SUM(N879:N881))</f>
        <v>3</v>
      </c>
      <c r="O878" s="202">
        <f>IF(COUNT(O879:O881)=0,"",SUM(O879:O881))</f>
        <v>2.125</v>
      </c>
      <c r="P878" s="210"/>
      <c r="Q878" s="202">
        <f>IF(COUNT(Q879:Q881)=0,"",SUM(Q879:Q881))</f>
        <v>2.275</v>
      </c>
      <c r="R878" s="163"/>
      <c r="S878" s="163"/>
      <c r="T878" s="54" t="s">
        <v>65</v>
      </c>
      <c r="U878" s="179"/>
      <c r="V878" s="179"/>
      <c r="W878" s="179"/>
      <c r="X878" s="105"/>
      <c r="Y878" s="105"/>
      <c r="Z878" s="105"/>
      <c r="AA878" s="105"/>
      <c r="AB878" s="105"/>
      <c r="AC878" s="105"/>
    </row>
    <row r="879" ht="33.75" customHeight="1">
      <c r="A879" s="65" t="s">
        <v>1497</v>
      </c>
      <c r="B879" s="215" t="s">
        <v>1334</v>
      </c>
      <c r="C879" s="215" t="s">
        <v>1486</v>
      </c>
      <c r="D879" s="215" t="s">
        <v>1495</v>
      </c>
      <c r="E879" s="215" t="s">
        <v>1496</v>
      </c>
      <c r="F879" s="65" t="s">
        <v>1488</v>
      </c>
      <c r="G879" s="65" t="s">
        <v>154</v>
      </c>
      <c r="H879" s="65" t="s">
        <v>154</v>
      </c>
      <c r="I879" s="65"/>
      <c r="J879" s="65" t="s">
        <v>9</v>
      </c>
      <c r="K879" s="97" t="s">
        <v>9</v>
      </c>
      <c r="L879" s="129">
        <v>0.25</v>
      </c>
      <c r="M879" s="180">
        <f t="shared" si="558"/>
        <v>0.625</v>
      </c>
      <c r="N879" s="129">
        <v>1.0</v>
      </c>
      <c r="O879" s="129">
        <f t="shared" ref="O879:O881" si="569">IF(COUNT(L879:N879)=0,"",(L879+4*M879+N879)/6)</f>
        <v>0.625</v>
      </c>
      <c r="P879" s="159">
        <v>0.05</v>
      </c>
      <c r="Q879" s="208">
        <f t="shared" ref="Q879:Q881" si="570">IF(O879="","",IF(P879="",O879,O879*(1+P879)))</f>
        <v>0.65625</v>
      </c>
      <c r="R879" s="132">
        <v>5.0</v>
      </c>
      <c r="S879" s="132">
        <v>1.0</v>
      </c>
      <c r="T879" s="65" t="s">
        <v>31</v>
      </c>
      <c r="U879" s="26"/>
      <c r="V879" s="26"/>
      <c r="W879" s="26"/>
      <c r="X879" s="26"/>
      <c r="Y879" s="26"/>
      <c r="Z879" s="26"/>
      <c r="AA879" s="26"/>
      <c r="AB879" s="26"/>
      <c r="AC879" s="26"/>
    </row>
    <row r="880" ht="33.75" customHeight="1">
      <c r="A880" s="65" t="s">
        <v>1498</v>
      </c>
      <c r="B880" s="215" t="s">
        <v>1334</v>
      </c>
      <c r="C880" s="215" t="s">
        <v>1486</v>
      </c>
      <c r="D880" s="215" t="s">
        <v>1495</v>
      </c>
      <c r="E880" s="215" t="s">
        <v>1496</v>
      </c>
      <c r="F880" s="65" t="s">
        <v>1488</v>
      </c>
      <c r="G880" s="65" t="s">
        <v>154</v>
      </c>
      <c r="H880" s="65" t="s">
        <v>154</v>
      </c>
      <c r="I880" s="65"/>
      <c r="J880" s="65" t="s">
        <v>9</v>
      </c>
      <c r="K880" s="97" t="s">
        <v>9</v>
      </c>
      <c r="L880" s="129">
        <v>0.75</v>
      </c>
      <c r="M880" s="180">
        <f t="shared" si="558"/>
        <v>0.875</v>
      </c>
      <c r="N880" s="129">
        <v>1.0</v>
      </c>
      <c r="O880" s="129">
        <f t="shared" si="569"/>
        <v>0.875</v>
      </c>
      <c r="P880" s="159">
        <v>0.1</v>
      </c>
      <c r="Q880" s="208">
        <f t="shared" si="570"/>
        <v>0.9625</v>
      </c>
      <c r="R880" s="132">
        <v>5.0</v>
      </c>
      <c r="S880" s="132">
        <v>1.0</v>
      </c>
      <c r="T880" s="65" t="s">
        <v>32</v>
      </c>
      <c r="U880" s="26"/>
      <c r="V880" s="26"/>
      <c r="W880" s="26"/>
      <c r="X880" s="26"/>
      <c r="Y880" s="26"/>
      <c r="Z880" s="26"/>
      <c r="AA880" s="26"/>
      <c r="AB880" s="26"/>
      <c r="AC880" s="26"/>
    </row>
    <row r="881" ht="33.75" customHeight="1">
      <c r="A881" s="65" t="s">
        <v>1499</v>
      </c>
      <c r="B881" s="215" t="s">
        <v>1334</v>
      </c>
      <c r="C881" s="215" t="s">
        <v>1486</v>
      </c>
      <c r="D881" s="215" t="s">
        <v>1495</v>
      </c>
      <c r="E881" s="215" t="s">
        <v>1496</v>
      </c>
      <c r="F881" s="65" t="s">
        <v>1488</v>
      </c>
      <c r="G881" s="65" t="s">
        <v>154</v>
      </c>
      <c r="H881" s="65" t="s">
        <v>154</v>
      </c>
      <c r="I881" s="65"/>
      <c r="J881" s="65" t="s">
        <v>9</v>
      </c>
      <c r="K881" s="97" t="s">
        <v>9</v>
      </c>
      <c r="L881" s="129">
        <v>0.25</v>
      </c>
      <c r="M881" s="180">
        <f t="shared" si="558"/>
        <v>0.625</v>
      </c>
      <c r="N881" s="129">
        <v>1.0</v>
      </c>
      <c r="O881" s="129">
        <f t="shared" si="569"/>
        <v>0.625</v>
      </c>
      <c r="P881" s="159">
        <v>0.05</v>
      </c>
      <c r="Q881" s="208">
        <f t="shared" si="570"/>
        <v>0.65625</v>
      </c>
      <c r="R881" s="132">
        <v>5.0</v>
      </c>
      <c r="S881" s="132">
        <v>1.0</v>
      </c>
      <c r="T881" s="65" t="s">
        <v>70</v>
      </c>
      <c r="U881" s="26"/>
      <c r="V881" s="26"/>
      <c r="W881" s="26"/>
      <c r="X881" s="26"/>
      <c r="Y881" s="26"/>
      <c r="Z881" s="26"/>
      <c r="AA881" s="26"/>
      <c r="AB881" s="26"/>
      <c r="AC881" s="26"/>
    </row>
    <row r="882" ht="33.75" customHeight="1">
      <c r="A882" s="54" t="s">
        <v>1500</v>
      </c>
      <c r="B882" s="209" t="s">
        <v>1334</v>
      </c>
      <c r="C882" s="209" t="s">
        <v>1486</v>
      </c>
      <c r="D882" s="209" t="s">
        <v>1501</v>
      </c>
      <c r="E882" s="209" t="s">
        <v>1502</v>
      </c>
      <c r="F882" s="54" t="s">
        <v>1389</v>
      </c>
      <c r="G882" s="54" t="s">
        <v>154</v>
      </c>
      <c r="H882" s="54" t="s">
        <v>154</v>
      </c>
      <c r="I882" s="54"/>
      <c r="J882" s="54" t="s">
        <v>9</v>
      </c>
      <c r="K882" s="119" t="s">
        <v>9</v>
      </c>
      <c r="L882" s="202">
        <f>IF(COUNT(L883:N885)=0,"",SUM(L883:L885))</f>
        <v>1.25</v>
      </c>
      <c r="M882" s="174">
        <f t="shared" si="558"/>
        <v>2</v>
      </c>
      <c r="N882" s="202">
        <f>IF(COUNT(L883:N885)=0,"",SUM(N883:N885))</f>
        <v>2.75</v>
      </c>
      <c r="O882" s="202">
        <f>IF(COUNT(O883:O885)=0,"",SUM(O883:O885))</f>
        <v>2</v>
      </c>
      <c r="P882" s="210"/>
      <c r="Q882" s="202">
        <f>IF(COUNT(Q883:Q885)=0,"",SUM(Q883:Q885))</f>
        <v>2.175</v>
      </c>
      <c r="R882" s="163"/>
      <c r="S882" s="163"/>
      <c r="T882" s="54" t="s">
        <v>65</v>
      </c>
      <c r="U882" s="179"/>
      <c r="V882" s="179"/>
      <c r="W882" s="179"/>
      <c r="X882" s="105"/>
      <c r="Y882" s="105"/>
      <c r="Z882" s="105"/>
      <c r="AA882" s="105"/>
      <c r="AB882" s="105"/>
      <c r="AC882" s="105"/>
    </row>
    <row r="883" ht="33.75" customHeight="1">
      <c r="A883" s="65" t="s">
        <v>1503</v>
      </c>
      <c r="B883" s="215" t="s">
        <v>1334</v>
      </c>
      <c r="C883" s="215" t="s">
        <v>1486</v>
      </c>
      <c r="D883" s="215" t="s">
        <v>1501</v>
      </c>
      <c r="E883" s="215" t="s">
        <v>1502</v>
      </c>
      <c r="F883" s="65" t="s">
        <v>1389</v>
      </c>
      <c r="G883" s="65" t="s">
        <v>154</v>
      </c>
      <c r="H883" s="65" t="s">
        <v>154</v>
      </c>
      <c r="I883" s="65"/>
      <c r="J883" s="65" t="s">
        <v>9</v>
      </c>
      <c r="K883" s="97" t="s">
        <v>9</v>
      </c>
      <c r="L883" s="129">
        <v>0.5</v>
      </c>
      <c r="M883" s="180">
        <f t="shared" si="558"/>
        <v>0.75</v>
      </c>
      <c r="N883" s="129">
        <v>1.0</v>
      </c>
      <c r="O883" s="129">
        <f t="shared" ref="O883:O885" si="571">IF(COUNT(L883:N883)=0,"",(L883+4*M883+N883)/6)</f>
        <v>0.75</v>
      </c>
      <c r="P883" s="159">
        <v>0.1</v>
      </c>
      <c r="Q883" s="208">
        <f t="shared" ref="Q883:Q885" si="572">IF(O883="","",IF(P883="",O883,O883*(1+P883)))</f>
        <v>0.825</v>
      </c>
      <c r="R883" s="132">
        <v>4.0</v>
      </c>
      <c r="S883" s="132">
        <v>2.0</v>
      </c>
      <c r="T883" s="65" t="s">
        <v>31</v>
      </c>
      <c r="U883" s="26"/>
      <c r="V883" s="26"/>
      <c r="W883" s="26"/>
      <c r="X883" s="26"/>
      <c r="Y883" s="26"/>
      <c r="Z883" s="26"/>
      <c r="AA883" s="26"/>
      <c r="AB883" s="26"/>
      <c r="AC883" s="26"/>
    </row>
    <row r="884" ht="33.75" customHeight="1">
      <c r="A884" s="65" t="s">
        <v>1504</v>
      </c>
      <c r="B884" s="215" t="s">
        <v>1334</v>
      </c>
      <c r="C884" s="215" t="s">
        <v>1486</v>
      </c>
      <c r="D884" s="215" t="s">
        <v>1501</v>
      </c>
      <c r="E884" s="215" t="s">
        <v>1502</v>
      </c>
      <c r="F884" s="65" t="s">
        <v>1389</v>
      </c>
      <c r="G884" s="65" t="s">
        <v>154</v>
      </c>
      <c r="H884" s="65" t="s">
        <v>154</v>
      </c>
      <c r="I884" s="65"/>
      <c r="J884" s="65" t="s">
        <v>9</v>
      </c>
      <c r="K884" s="97" t="s">
        <v>9</v>
      </c>
      <c r="L884" s="129">
        <v>0.5</v>
      </c>
      <c r="M884" s="180">
        <f t="shared" si="558"/>
        <v>0.75</v>
      </c>
      <c r="N884" s="129">
        <v>1.0</v>
      </c>
      <c r="O884" s="129">
        <f t="shared" si="571"/>
        <v>0.75</v>
      </c>
      <c r="P884" s="159">
        <v>0.1</v>
      </c>
      <c r="Q884" s="208">
        <f t="shared" si="572"/>
        <v>0.825</v>
      </c>
      <c r="R884" s="132">
        <v>4.0</v>
      </c>
      <c r="S884" s="132">
        <v>2.0</v>
      </c>
      <c r="T884" s="65" t="s">
        <v>32</v>
      </c>
      <c r="U884" s="26"/>
      <c r="V884" s="26"/>
      <c r="W884" s="26"/>
      <c r="X884" s="26"/>
      <c r="Y884" s="26"/>
      <c r="Z884" s="26"/>
      <c r="AA884" s="26"/>
      <c r="AB884" s="26"/>
      <c r="AC884" s="26"/>
    </row>
    <row r="885" ht="33.75" customHeight="1">
      <c r="A885" s="65" t="s">
        <v>1505</v>
      </c>
      <c r="B885" s="215" t="s">
        <v>1334</v>
      </c>
      <c r="C885" s="215" t="s">
        <v>1486</v>
      </c>
      <c r="D885" s="215" t="s">
        <v>1501</v>
      </c>
      <c r="E885" s="215" t="s">
        <v>1502</v>
      </c>
      <c r="F885" s="65" t="s">
        <v>1389</v>
      </c>
      <c r="G885" s="65" t="s">
        <v>154</v>
      </c>
      <c r="H885" s="65" t="s">
        <v>154</v>
      </c>
      <c r="I885" s="65"/>
      <c r="J885" s="65" t="s">
        <v>9</v>
      </c>
      <c r="K885" s="97" t="s">
        <v>9</v>
      </c>
      <c r="L885" s="129">
        <v>0.25</v>
      </c>
      <c r="M885" s="180">
        <f t="shared" si="558"/>
        <v>0.5</v>
      </c>
      <c r="N885" s="129">
        <v>0.75</v>
      </c>
      <c r="O885" s="129">
        <f t="shared" si="571"/>
        <v>0.5</v>
      </c>
      <c r="P885" s="159">
        <v>0.05</v>
      </c>
      <c r="Q885" s="208">
        <f t="shared" si="572"/>
        <v>0.525</v>
      </c>
      <c r="R885" s="132">
        <v>5.0</v>
      </c>
      <c r="S885" s="132">
        <v>1.0</v>
      </c>
      <c r="T885" s="65" t="s">
        <v>70</v>
      </c>
      <c r="U885" s="26"/>
      <c r="V885" s="26"/>
      <c r="W885" s="26"/>
      <c r="X885" s="26"/>
      <c r="Y885" s="26"/>
      <c r="Z885" s="26"/>
      <c r="AA885" s="26"/>
      <c r="AB885" s="26"/>
      <c r="AC885" s="26"/>
    </row>
    <row r="886" ht="33.75" customHeight="1">
      <c r="A886" s="98" t="s">
        <v>1506</v>
      </c>
      <c r="B886" s="99" t="s">
        <v>1334</v>
      </c>
      <c r="C886" s="99" t="s">
        <v>1486</v>
      </c>
      <c r="D886" s="99" t="s">
        <v>1507</v>
      </c>
      <c r="E886" s="99" t="s">
        <v>1508</v>
      </c>
      <c r="F886" s="98" t="s">
        <v>1409</v>
      </c>
      <c r="G886" s="98" t="s">
        <v>168</v>
      </c>
      <c r="H886" s="98" t="s">
        <v>168</v>
      </c>
      <c r="I886" s="98"/>
      <c r="J886" s="98" t="s">
        <v>12</v>
      </c>
      <c r="K886" s="100" t="s">
        <v>12</v>
      </c>
      <c r="L886" s="101">
        <f>IF(COUNT(L887:N889)=0,"",SUM(L887:L889))</f>
        <v>0</v>
      </c>
      <c r="M886" s="102">
        <f t="shared" si="558"/>
        <v>0</v>
      </c>
      <c r="N886" s="101">
        <f>IF(COUNT(L887:N889)=0,"",SUM(N887:N889))</f>
        <v>0</v>
      </c>
      <c r="O886" s="101">
        <f>IF(COUNT(O887:O889)=0,"",SUM(O887:O889))</f>
        <v>0</v>
      </c>
      <c r="P886" s="103"/>
      <c r="Q886" s="101">
        <f>IF(COUNT(Q887:Q889)=0,"",SUM(Q887:Q889))</f>
        <v>0</v>
      </c>
      <c r="R886" s="104"/>
      <c r="S886" s="104"/>
      <c r="T886" s="98" t="s">
        <v>65</v>
      </c>
      <c r="U886" s="179"/>
      <c r="V886" s="179"/>
      <c r="W886" s="179"/>
      <c r="X886" s="105"/>
      <c r="Y886" s="105"/>
      <c r="Z886" s="105"/>
      <c r="AA886" s="105"/>
      <c r="AB886" s="105"/>
      <c r="AC886" s="105"/>
    </row>
    <row r="887" ht="33.75" customHeight="1">
      <c r="A887" s="106" t="s">
        <v>1509</v>
      </c>
      <c r="B887" s="107" t="s">
        <v>1334</v>
      </c>
      <c r="C887" s="107" t="s">
        <v>1486</v>
      </c>
      <c r="D887" s="107" t="s">
        <v>1507</v>
      </c>
      <c r="E887" s="107" t="s">
        <v>1508</v>
      </c>
      <c r="F887" s="106" t="s">
        <v>1409</v>
      </c>
      <c r="G887" s="106" t="s">
        <v>168</v>
      </c>
      <c r="H887" s="106" t="s">
        <v>168</v>
      </c>
      <c r="I887" s="106"/>
      <c r="J887" s="106" t="s">
        <v>12</v>
      </c>
      <c r="K887" s="108" t="s">
        <v>12</v>
      </c>
      <c r="L887" s="109"/>
      <c r="M887" s="109">
        <f t="shared" si="558"/>
        <v>0</v>
      </c>
      <c r="N887" s="109"/>
      <c r="O887" s="109">
        <f t="shared" ref="O887:O889" si="573">IF(COUNT(L887:N887)=0,"",(L887+4*M887+N887)/6)</f>
        <v>0</v>
      </c>
      <c r="P887" s="110"/>
      <c r="Q887" s="109">
        <f t="shared" ref="Q887:Q889" si="574">IF(O887="","",IF(P887="",O887,O887*(1+P887)))</f>
        <v>0</v>
      </c>
      <c r="R887" s="111"/>
      <c r="S887" s="111"/>
      <c r="T887" s="106" t="s">
        <v>31</v>
      </c>
      <c r="U887" s="26"/>
      <c r="V887" s="26"/>
      <c r="W887" s="26"/>
      <c r="X887" s="26"/>
      <c r="Y887" s="26"/>
      <c r="Z887" s="26"/>
      <c r="AA887" s="26"/>
      <c r="AB887" s="26"/>
      <c r="AC887" s="26"/>
    </row>
    <row r="888" ht="33.75" customHeight="1">
      <c r="A888" s="106" t="s">
        <v>1510</v>
      </c>
      <c r="B888" s="107" t="s">
        <v>1334</v>
      </c>
      <c r="C888" s="107" t="s">
        <v>1486</v>
      </c>
      <c r="D888" s="107" t="s">
        <v>1507</v>
      </c>
      <c r="E888" s="107" t="s">
        <v>1508</v>
      </c>
      <c r="F888" s="106" t="s">
        <v>1409</v>
      </c>
      <c r="G888" s="106" t="s">
        <v>168</v>
      </c>
      <c r="H888" s="106" t="s">
        <v>168</v>
      </c>
      <c r="I888" s="106"/>
      <c r="J888" s="106" t="s">
        <v>12</v>
      </c>
      <c r="K888" s="108" t="s">
        <v>12</v>
      </c>
      <c r="L888" s="109"/>
      <c r="M888" s="109">
        <f t="shared" si="558"/>
        <v>0</v>
      </c>
      <c r="N888" s="109"/>
      <c r="O888" s="109">
        <f t="shared" si="573"/>
        <v>0</v>
      </c>
      <c r="P888" s="110"/>
      <c r="Q888" s="109">
        <f t="shared" si="574"/>
        <v>0</v>
      </c>
      <c r="R888" s="111"/>
      <c r="S888" s="111"/>
      <c r="T888" s="106" t="s">
        <v>32</v>
      </c>
      <c r="U888" s="26"/>
      <c r="V888" s="26"/>
      <c r="W888" s="26"/>
      <c r="X888" s="26"/>
      <c r="Y888" s="26"/>
      <c r="Z888" s="26"/>
      <c r="AA888" s="26"/>
      <c r="AB888" s="26"/>
      <c r="AC888" s="26"/>
    </row>
    <row r="889" ht="33.75" customHeight="1">
      <c r="A889" s="106" t="s">
        <v>1511</v>
      </c>
      <c r="B889" s="107" t="s">
        <v>1334</v>
      </c>
      <c r="C889" s="107" t="s">
        <v>1486</v>
      </c>
      <c r="D889" s="107" t="s">
        <v>1507</v>
      </c>
      <c r="E889" s="107" t="s">
        <v>1508</v>
      </c>
      <c r="F889" s="106" t="s">
        <v>1409</v>
      </c>
      <c r="G889" s="106" t="s">
        <v>168</v>
      </c>
      <c r="H889" s="106" t="s">
        <v>168</v>
      </c>
      <c r="I889" s="106"/>
      <c r="J889" s="106" t="s">
        <v>12</v>
      </c>
      <c r="K889" s="108" t="s">
        <v>12</v>
      </c>
      <c r="L889" s="109"/>
      <c r="M889" s="109">
        <f t="shared" si="558"/>
        <v>0</v>
      </c>
      <c r="N889" s="109"/>
      <c r="O889" s="109">
        <f t="shared" si="573"/>
        <v>0</v>
      </c>
      <c r="P889" s="110"/>
      <c r="Q889" s="109">
        <f t="shared" si="574"/>
        <v>0</v>
      </c>
      <c r="R889" s="111"/>
      <c r="S889" s="111"/>
      <c r="T889" s="106" t="s">
        <v>70</v>
      </c>
      <c r="U889" s="26"/>
      <c r="V889" s="26"/>
      <c r="W889" s="26"/>
      <c r="X889" s="26"/>
      <c r="Y889" s="26"/>
      <c r="Z889" s="26"/>
      <c r="AA889" s="26"/>
      <c r="AB889" s="26"/>
      <c r="AC889" s="26"/>
    </row>
    <row r="890" ht="33.75" customHeight="1">
      <c r="A890" s="45" t="s">
        <v>1512</v>
      </c>
      <c r="B890" s="212" t="s">
        <v>1334</v>
      </c>
      <c r="C890" s="212" t="s">
        <v>1513</v>
      </c>
      <c r="D890" s="212" t="s">
        <v>1513</v>
      </c>
      <c r="E890" s="212" t="s">
        <v>1514</v>
      </c>
      <c r="F890" s="45"/>
      <c r="G890" s="45"/>
      <c r="H890" s="45"/>
      <c r="I890" s="45"/>
      <c r="J890" s="45"/>
      <c r="K890" s="123"/>
      <c r="L890" s="213">
        <f>IF(COUNT(L891,L895,L899)=0,"",SUM(L891,L895,L899))</f>
        <v>3</v>
      </c>
      <c r="M890" s="213">
        <f t="shared" si="558"/>
        <v>4.625</v>
      </c>
      <c r="N890" s="213">
        <f t="shared" ref="N890:O890" si="575">IF(COUNT(N891,N895,N899)=0,"",SUM(N891,N895,N899))</f>
        <v>6.25</v>
      </c>
      <c r="O890" s="213">
        <f t="shared" si="575"/>
        <v>4.625</v>
      </c>
      <c r="P890" s="214"/>
      <c r="Q890" s="213">
        <f>IF(COUNT(Q891,Q895,Q899)=0,"",SUM(Q891,Q895,Q899))</f>
        <v>5.16875</v>
      </c>
      <c r="R890" s="126"/>
      <c r="S890" s="126"/>
      <c r="T890" s="45" t="s">
        <v>62</v>
      </c>
      <c r="U890" s="26"/>
      <c r="V890" s="26"/>
      <c r="W890" s="26"/>
      <c r="X890" s="46">
        <f t="shared" ref="X890:AA890" si="576">L890</f>
        <v>3</v>
      </c>
      <c r="Y890" s="46">
        <f t="shared" si="576"/>
        <v>4.625</v>
      </c>
      <c r="Z890" s="46">
        <f t="shared" si="576"/>
        <v>6.25</v>
      </c>
      <c r="AA890" s="46">
        <f t="shared" si="576"/>
        <v>4.625</v>
      </c>
      <c r="AB890" s="26"/>
      <c r="AC890" s="46">
        <f>Q890</f>
        <v>5.16875</v>
      </c>
    </row>
    <row r="891" ht="33.75" customHeight="1">
      <c r="A891" s="54" t="s">
        <v>1515</v>
      </c>
      <c r="B891" s="209" t="s">
        <v>1334</v>
      </c>
      <c r="C891" s="209" t="s">
        <v>1513</v>
      </c>
      <c r="D891" s="209" t="s">
        <v>1516</v>
      </c>
      <c r="E891" s="209" t="s">
        <v>1517</v>
      </c>
      <c r="F891" s="54" t="s">
        <v>1518</v>
      </c>
      <c r="G891" s="54" t="s">
        <v>168</v>
      </c>
      <c r="H891" s="54" t="s">
        <v>168</v>
      </c>
      <c r="I891" s="54"/>
      <c r="J891" s="54" t="s">
        <v>9</v>
      </c>
      <c r="K891" s="119" t="s">
        <v>9</v>
      </c>
      <c r="L891" s="202">
        <f>IF(COUNT(L892:N894)=0,"",SUM(L892:L894))</f>
        <v>1.5</v>
      </c>
      <c r="M891" s="174">
        <f t="shared" si="558"/>
        <v>2.25</v>
      </c>
      <c r="N891" s="202">
        <f>IF(COUNT(L892:N894)=0,"",SUM(N892:N894))</f>
        <v>3</v>
      </c>
      <c r="O891" s="202">
        <f>IF(COUNT(O892:O894)=0,"",SUM(O892:O894))</f>
        <v>2.25</v>
      </c>
      <c r="P891" s="210"/>
      <c r="Q891" s="202">
        <f>IF(COUNT(Q892:Q894)=0,"",SUM(Q892:Q894))</f>
        <v>2.51875</v>
      </c>
      <c r="R891" s="163"/>
      <c r="S891" s="163"/>
      <c r="T891" s="54" t="s">
        <v>65</v>
      </c>
      <c r="U891" s="179"/>
      <c r="V891" s="179"/>
      <c r="W891" s="179"/>
      <c r="X891" s="105"/>
      <c r="Y891" s="105"/>
      <c r="Z891" s="105"/>
      <c r="AA891" s="105"/>
      <c r="AB891" s="105"/>
      <c r="AC891" s="105"/>
    </row>
    <row r="892" ht="33.75" customHeight="1">
      <c r="A892" s="65" t="s">
        <v>1519</v>
      </c>
      <c r="B892" s="215" t="s">
        <v>1334</v>
      </c>
      <c r="C892" s="215" t="s">
        <v>1513</v>
      </c>
      <c r="D892" s="215" t="s">
        <v>1516</v>
      </c>
      <c r="E892" s="215" t="s">
        <v>1517</v>
      </c>
      <c r="F892" s="65" t="s">
        <v>1518</v>
      </c>
      <c r="G892" s="65" t="s">
        <v>168</v>
      </c>
      <c r="H892" s="65" t="s">
        <v>168</v>
      </c>
      <c r="I892" s="65"/>
      <c r="J892" s="65" t="s">
        <v>9</v>
      </c>
      <c r="K892" s="97" t="s">
        <v>9</v>
      </c>
      <c r="L892" s="129">
        <v>0.25</v>
      </c>
      <c r="M892" s="180">
        <f t="shared" si="558"/>
        <v>0.375</v>
      </c>
      <c r="N892" s="129">
        <v>0.5</v>
      </c>
      <c r="O892" s="129">
        <f t="shared" ref="O892:O894" si="577">IF(COUNT(L892:N892)=0,"",(L892+4*M892+N892)/6)</f>
        <v>0.375</v>
      </c>
      <c r="P892" s="159">
        <v>0.05</v>
      </c>
      <c r="Q892" s="208">
        <f t="shared" ref="Q892:Q894" si="578">IF(O892="","",IF(P892="",O892,O892*(1+P892)))</f>
        <v>0.39375</v>
      </c>
      <c r="R892" s="132">
        <v>5.0</v>
      </c>
      <c r="S892" s="132">
        <v>1.0</v>
      </c>
      <c r="T892" s="65" t="s">
        <v>31</v>
      </c>
      <c r="U892" s="26"/>
      <c r="V892" s="26"/>
      <c r="W892" s="26"/>
      <c r="X892" s="26"/>
      <c r="Y892" s="26"/>
      <c r="Z892" s="26"/>
      <c r="AA892" s="26"/>
      <c r="AB892" s="26"/>
      <c r="AC892" s="26"/>
    </row>
    <row r="893" ht="33.75" customHeight="1">
      <c r="A893" s="65" t="s">
        <v>1520</v>
      </c>
      <c r="B893" s="215" t="s">
        <v>1334</v>
      </c>
      <c r="C893" s="215" t="s">
        <v>1513</v>
      </c>
      <c r="D893" s="215" t="s">
        <v>1516</v>
      </c>
      <c r="E893" s="215" t="s">
        <v>1517</v>
      </c>
      <c r="F893" s="65" t="s">
        <v>1518</v>
      </c>
      <c r="G893" s="65" t="s">
        <v>168</v>
      </c>
      <c r="H893" s="65" t="s">
        <v>168</v>
      </c>
      <c r="I893" s="65"/>
      <c r="J893" s="65" t="s">
        <v>9</v>
      </c>
      <c r="K893" s="97" t="s">
        <v>9</v>
      </c>
      <c r="L893" s="129">
        <v>1.0</v>
      </c>
      <c r="M893" s="180">
        <f t="shared" si="558"/>
        <v>1.25</v>
      </c>
      <c r="N893" s="129">
        <v>1.5</v>
      </c>
      <c r="O893" s="129">
        <f t="shared" si="577"/>
        <v>1.25</v>
      </c>
      <c r="P893" s="159">
        <v>0.15</v>
      </c>
      <c r="Q893" s="208">
        <f t="shared" si="578"/>
        <v>1.4375</v>
      </c>
      <c r="R893" s="132">
        <v>4.0</v>
      </c>
      <c r="S893" s="132">
        <v>2.0</v>
      </c>
      <c r="T893" s="65" t="s">
        <v>32</v>
      </c>
      <c r="U893" s="26"/>
      <c r="V893" s="26"/>
      <c r="W893" s="26"/>
      <c r="X893" s="26"/>
      <c r="Y893" s="26"/>
      <c r="Z893" s="26"/>
      <c r="AA893" s="26"/>
      <c r="AB893" s="26"/>
      <c r="AC893" s="26"/>
    </row>
    <row r="894" ht="33.75" customHeight="1">
      <c r="A894" s="65" t="s">
        <v>1521</v>
      </c>
      <c r="B894" s="215" t="s">
        <v>1334</v>
      </c>
      <c r="C894" s="215" t="s">
        <v>1513</v>
      </c>
      <c r="D894" s="215" t="s">
        <v>1516</v>
      </c>
      <c r="E894" s="215" t="s">
        <v>1517</v>
      </c>
      <c r="F894" s="65" t="s">
        <v>1518</v>
      </c>
      <c r="G894" s="65" t="s">
        <v>168</v>
      </c>
      <c r="H894" s="65" t="s">
        <v>168</v>
      </c>
      <c r="I894" s="65"/>
      <c r="J894" s="65" t="s">
        <v>9</v>
      </c>
      <c r="K894" s="97" t="s">
        <v>9</v>
      </c>
      <c r="L894" s="129">
        <v>0.25</v>
      </c>
      <c r="M894" s="180">
        <f t="shared" si="558"/>
        <v>0.625</v>
      </c>
      <c r="N894" s="129">
        <v>1.0</v>
      </c>
      <c r="O894" s="129">
        <f t="shared" si="577"/>
        <v>0.625</v>
      </c>
      <c r="P894" s="159">
        <v>0.1</v>
      </c>
      <c r="Q894" s="208">
        <f t="shared" si="578"/>
        <v>0.6875</v>
      </c>
      <c r="R894" s="132">
        <v>4.0</v>
      </c>
      <c r="S894" s="132">
        <v>2.0</v>
      </c>
      <c r="T894" s="65" t="s">
        <v>70</v>
      </c>
      <c r="U894" s="26"/>
      <c r="V894" s="26"/>
      <c r="W894" s="26"/>
      <c r="X894" s="26"/>
      <c r="Y894" s="26"/>
      <c r="Z894" s="26"/>
      <c r="AA894" s="26"/>
      <c r="AB894" s="26"/>
      <c r="AC894" s="26"/>
    </row>
    <row r="895" ht="33.75" customHeight="1">
      <c r="A895" s="54" t="s">
        <v>1522</v>
      </c>
      <c r="B895" s="209" t="s">
        <v>1334</v>
      </c>
      <c r="C895" s="209" t="s">
        <v>1513</v>
      </c>
      <c r="D895" s="209" t="s">
        <v>1523</v>
      </c>
      <c r="E895" s="209" t="s">
        <v>1524</v>
      </c>
      <c r="F895" s="54" t="s">
        <v>1525</v>
      </c>
      <c r="G895" s="54" t="s">
        <v>168</v>
      </c>
      <c r="H895" s="54" t="s">
        <v>168</v>
      </c>
      <c r="I895" s="54"/>
      <c r="J895" s="54" t="s">
        <v>9</v>
      </c>
      <c r="K895" s="119" t="s">
        <v>9</v>
      </c>
      <c r="L895" s="202">
        <f>IF(COUNT(L896:N898)=0,"",SUM(L896:L898))</f>
        <v>1.5</v>
      </c>
      <c r="M895" s="174">
        <f t="shared" si="558"/>
        <v>2.375</v>
      </c>
      <c r="N895" s="202">
        <f>IF(COUNT(L896:N898)=0,"",SUM(N896:N898))</f>
        <v>3.25</v>
      </c>
      <c r="O895" s="202">
        <f>IF(COUNT(O896:O898)=0,"",SUM(O896:O898))</f>
        <v>2.375</v>
      </c>
      <c r="P895" s="210"/>
      <c r="Q895" s="202">
        <f>IF(COUNT(Q896:Q898)=0,"",SUM(Q896:Q898))</f>
        <v>2.65</v>
      </c>
      <c r="R895" s="163"/>
      <c r="S895" s="163"/>
      <c r="T895" s="54" t="s">
        <v>65</v>
      </c>
      <c r="U895" s="179"/>
      <c r="V895" s="179"/>
      <c r="W895" s="179"/>
      <c r="X895" s="105"/>
      <c r="Y895" s="105"/>
      <c r="Z895" s="105"/>
      <c r="AA895" s="105"/>
      <c r="AB895" s="105"/>
      <c r="AC895" s="105"/>
    </row>
    <row r="896" ht="33.75" customHeight="1">
      <c r="A896" s="65" t="s">
        <v>1526</v>
      </c>
      <c r="B896" s="215" t="s">
        <v>1334</v>
      </c>
      <c r="C896" s="215" t="s">
        <v>1513</v>
      </c>
      <c r="D896" s="215" t="s">
        <v>1523</v>
      </c>
      <c r="E896" s="215" t="s">
        <v>1524</v>
      </c>
      <c r="F896" s="65" t="s">
        <v>1525</v>
      </c>
      <c r="G896" s="65" t="s">
        <v>168</v>
      </c>
      <c r="H896" s="65" t="s">
        <v>168</v>
      </c>
      <c r="I896" s="65"/>
      <c r="J896" s="65" t="s">
        <v>9</v>
      </c>
      <c r="K896" s="97" t="s">
        <v>9</v>
      </c>
      <c r="L896" s="129">
        <v>0.25</v>
      </c>
      <c r="M896" s="180">
        <f t="shared" si="558"/>
        <v>0.5</v>
      </c>
      <c r="N896" s="129">
        <v>0.75</v>
      </c>
      <c r="O896" s="129">
        <f t="shared" ref="O896:O898" si="579">IF(COUNT(L896:N896)=0,"",(L896+4*M896+N896)/6)</f>
        <v>0.5</v>
      </c>
      <c r="P896" s="159">
        <v>0.05</v>
      </c>
      <c r="Q896" s="208">
        <f t="shared" ref="Q896:Q898" si="580">IF(O896="","",IF(P896="",O896,O896*(1+P896)))</f>
        <v>0.525</v>
      </c>
      <c r="R896" s="132">
        <v>5.0</v>
      </c>
      <c r="S896" s="132">
        <v>1.0</v>
      </c>
      <c r="T896" s="65" t="s">
        <v>31</v>
      </c>
      <c r="U896" s="26"/>
      <c r="V896" s="26"/>
      <c r="W896" s="26"/>
      <c r="X896" s="26"/>
      <c r="Y896" s="26"/>
      <c r="Z896" s="26"/>
      <c r="AA896" s="26"/>
      <c r="AB896" s="26"/>
      <c r="AC896" s="26"/>
    </row>
    <row r="897" ht="33.75" customHeight="1">
      <c r="A897" s="65" t="s">
        <v>1527</v>
      </c>
      <c r="B897" s="215" t="s">
        <v>1334</v>
      </c>
      <c r="C897" s="215" t="s">
        <v>1513</v>
      </c>
      <c r="D897" s="215" t="s">
        <v>1523</v>
      </c>
      <c r="E897" s="215" t="s">
        <v>1524</v>
      </c>
      <c r="F897" s="65" t="s">
        <v>1525</v>
      </c>
      <c r="G897" s="65" t="s">
        <v>168</v>
      </c>
      <c r="H897" s="65" t="s">
        <v>168</v>
      </c>
      <c r="I897" s="65"/>
      <c r="J897" s="65" t="s">
        <v>9</v>
      </c>
      <c r="K897" s="97" t="s">
        <v>9</v>
      </c>
      <c r="L897" s="129">
        <v>1.0</v>
      </c>
      <c r="M897" s="180">
        <f t="shared" si="558"/>
        <v>1.25</v>
      </c>
      <c r="N897" s="129">
        <v>1.5</v>
      </c>
      <c r="O897" s="129">
        <f t="shared" si="579"/>
        <v>1.25</v>
      </c>
      <c r="P897" s="159">
        <v>0.15</v>
      </c>
      <c r="Q897" s="208">
        <f t="shared" si="580"/>
        <v>1.4375</v>
      </c>
      <c r="R897" s="132">
        <v>4.0</v>
      </c>
      <c r="S897" s="132">
        <v>2.0</v>
      </c>
      <c r="T897" s="65" t="s">
        <v>32</v>
      </c>
      <c r="U897" s="26"/>
      <c r="V897" s="26"/>
      <c r="W897" s="26"/>
      <c r="X897" s="26"/>
      <c r="Y897" s="26"/>
      <c r="Z897" s="26"/>
      <c r="AA897" s="26"/>
      <c r="AB897" s="26"/>
      <c r="AC897" s="26"/>
    </row>
    <row r="898" ht="33.75" customHeight="1">
      <c r="A898" s="65" t="s">
        <v>1528</v>
      </c>
      <c r="B898" s="215" t="s">
        <v>1334</v>
      </c>
      <c r="C898" s="215" t="s">
        <v>1513</v>
      </c>
      <c r="D898" s="215" t="s">
        <v>1523</v>
      </c>
      <c r="E898" s="215" t="s">
        <v>1524</v>
      </c>
      <c r="F898" s="65" t="s">
        <v>1525</v>
      </c>
      <c r="G898" s="65" t="s">
        <v>168</v>
      </c>
      <c r="H898" s="65" t="s">
        <v>168</v>
      </c>
      <c r="I898" s="65"/>
      <c r="J898" s="65" t="s">
        <v>9</v>
      </c>
      <c r="K898" s="97" t="s">
        <v>9</v>
      </c>
      <c r="L898" s="129">
        <v>0.25</v>
      </c>
      <c r="M898" s="180">
        <f t="shared" si="558"/>
        <v>0.625</v>
      </c>
      <c r="N898" s="129">
        <v>1.0</v>
      </c>
      <c r="O898" s="129">
        <f t="shared" si="579"/>
        <v>0.625</v>
      </c>
      <c r="P898" s="159">
        <v>0.1</v>
      </c>
      <c r="Q898" s="208">
        <f t="shared" si="580"/>
        <v>0.6875</v>
      </c>
      <c r="R898" s="132">
        <v>4.0</v>
      </c>
      <c r="S898" s="132">
        <v>2.0</v>
      </c>
      <c r="T898" s="65" t="s">
        <v>70</v>
      </c>
      <c r="U898" s="26"/>
      <c r="V898" s="26"/>
      <c r="W898" s="26"/>
      <c r="X898" s="26"/>
      <c r="Y898" s="26"/>
      <c r="Z898" s="26"/>
      <c r="AA898" s="26"/>
      <c r="AB898" s="26"/>
      <c r="AC898" s="26"/>
    </row>
    <row r="899" ht="33.75" customHeight="1">
      <c r="A899" s="98" t="s">
        <v>1529</v>
      </c>
      <c r="B899" s="99" t="s">
        <v>1334</v>
      </c>
      <c r="C899" s="99" t="s">
        <v>1513</v>
      </c>
      <c r="D899" s="99" t="s">
        <v>1530</v>
      </c>
      <c r="E899" s="99" t="s">
        <v>1531</v>
      </c>
      <c r="F899" s="98" t="s">
        <v>1389</v>
      </c>
      <c r="G899" s="98" t="s">
        <v>200</v>
      </c>
      <c r="H899" s="98" t="s">
        <v>200</v>
      </c>
      <c r="I899" s="98"/>
      <c r="J899" s="98" t="s">
        <v>12</v>
      </c>
      <c r="K899" s="100" t="s">
        <v>12</v>
      </c>
      <c r="L899" s="101">
        <f>IF(COUNT(L900:N902)=0,"",SUM(L900:L902))</f>
        <v>0</v>
      </c>
      <c r="M899" s="102">
        <f t="shared" si="558"/>
        <v>0</v>
      </c>
      <c r="N899" s="101">
        <f>IF(COUNT(L900:N902)=0,"",SUM(N900:N902))</f>
        <v>0</v>
      </c>
      <c r="O899" s="101">
        <f>IF(COUNT(O900:O902)=0,"",SUM(O900:O902))</f>
        <v>0</v>
      </c>
      <c r="P899" s="103"/>
      <c r="Q899" s="101">
        <f>IF(COUNT(Q900:Q902)=0,"",SUM(Q900:Q902))</f>
        <v>0</v>
      </c>
      <c r="R899" s="104"/>
      <c r="S899" s="104"/>
      <c r="T899" s="98" t="s">
        <v>65</v>
      </c>
      <c r="U899" s="179"/>
      <c r="V899" s="179"/>
      <c r="W899" s="179"/>
      <c r="X899" s="105"/>
      <c r="Y899" s="105"/>
      <c r="Z899" s="105"/>
      <c r="AA899" s="105"/>
      <c r="AB899" s="105"/>
      <c r="AC899" s="105"/>
    </row>
    <row r="900" ht="33.75" customHeight="1">
      <c r="A900" s="106" t="s">
        <v>1532</v>
      </c>
      <c r="B900" s="107" t="s">
        <v>1334</v>
      </c>
      <c r="C900" s="107" t="s">
        <v>1513</v>
      </c>
      <c r="D900" s="107" t="s">
        <v>1530</v>
      </c>
      <c r="E900" s="107" t="s">
        <v>1531</v>
      </c>
      <c r="F900" s="106" t="s">
        <v>1389</v>
      </c>
      <c r="G900" s="106" t="s">
        <v>200</v>
      </c>
      <c r="H900" s="106" t="s">
        <v>200</v>
      </c>
      <c r="I900" s="106"/>
      <c r="J900" s="106" t="s">
        <v>12</v>
      </c>
      <c r="K900" s="108" t="s">
        <v>12</v>
      </c>
      <c r="L900" s="109"/>
      <c r="M900" s="109">
        <f t="shared" si="558"/>
        <v>0</v>
      </c>
      <c r="N900" s="109"/>
      <c r="O900" s="109">
        <f t="shared" ref="O900:O902" si="581">IF(COUNT(L900:N900)=0,"",(L900+4*M900+N900)/6)</f>
        <v>0</v>
      </c>
      <c r="P900" s="110"/>
      <c r="Q900" s="109">
        <f t="shared" ref="Q900:Q902" si="582">IF(O900="","",IF(P900="",O900,O900*(1+P900)))</f>
        <v>0</v>
      </c>
      <c r="R900" s="111"/>
      <c r="S900" s="111"/>
      <c r="T900" s="106" t="s">
        <v>31</v>
      </c>
      <c r="U900" s="26"/>
      <c r="V900" s="26"/>
      <c r="W900" s="26"/>
      <c r="X900" s="26"/>
      <c r="Y900" s="26"/>
      <c r="Z900" s="26"/>
      <c r="AA900" s="26"/>
      <c r="AB900" s="26"/>
      <c r="AC900" s="26"/>
    </row>
    <row r="901" ht="33.75" customHeight="1">
      <c r="A901" s="106" t="s">
        <v>1533</v>
      </c>
      <c r="B901" s="107" t="s">
        <v>1334</v>
      </c>
      <c r="C901" s="107" t="s">
        <v>1513</v>
      </c>
      <c r="D901" s="107" t="s">
        <v>1530</v>
      </c>
      <c r="E901" s="107" t="s">
        <v>1531</v>
      </c>
      <c r="F901" s="106" t="s">
        <v>1389</v>
      </c>
      <c r="G901" s="106" t="s">
        <v>200</v>
      </c>
      <c r="H901" s="106" t="s">
        <v>200</v>
      </c>
      <c r="I901" s="106"/>
      <c r="J901" s="106" t="s">
        <v>12</v>
      </c>
      <c r="K901" s="108" t="s">
        <v>12</v>
      </c>
      <c r="L901" s="109"/>
      <c r="M901" s="109">
        <f t="shared" si="558"/>
        <v>0</v>
      </c>
      <c r="N901" s="109"/>
      <c r="O901" s="109">
        <f t="shared" si="581"/>
        <v>0</v>
      </c>
      <c r="P901" s="110"/>
      <c r="Q901" s="109">
        <f t="shared" si="582"/>
        <v>0</v>
      </c>
      <c r="R901" s="111"/>
      <c r="S901" s="111"/>
      <c r="T901" s="106" t="s">
        <v>32</v>
      </c>
      <c r="U901" s="26"/>
      <c r="V901" s="26"/>
      <c r="W901" s="26"/>
      <c r="X901" s="26"/>
      <c r="Y901" s="26"/>
      <c r="Z901" s="26"/>
      <c r="AA901" s="26"/>
      <c r="AB901" s="26"/>
      <c r="AC901" s="26"/>
    </row>
    <row r="902" ht="33.75" customHeight="1">
      <c r="A902" s="106" t="s">
        <v>1534</v>
      </c>
      <c r="B902" s="107" t="s">
        <v>1334</v>
      </c>
      <c r="C902" s="107" t="s">
        <v>1513</v>
      </c>
      <c r="D902" s="107" t="s">
        <v>1530</v>
      </c>
      <c r="E902" s="107" t="s">
        <v>1531</v>
      </c>
      <c r="F902" s="106" t="s">
        <v>1389</v>
      </c>
      <c r="G902" s="106" t="s">
        <v>200</v>
      </c>
      <c r="H902" s="106" t="s">
        <v>200</v>
      </c>
      <c r="I902" s="106"/>
      <c r="J902" s="106" t="s">
        <v>12</v>
      </c>
      <c r="K902" s="108" t="s">
        <v>12</v>
      </c>
      <c r="L902" s="109"/>
      <c r="M902" s="109">
        <f t="shared" si="558"/>
        <v>0</v>
      </c>
      <c r="N902" s="109"/>
      <c r="O902" s="109">
        <f t="shared" si="581"/>
        <v>0</v>
      </c>
      <c r="P902" s="110"/>
      <c r="Q902" s="109">
        <f t="shared" si="582"/>
        <v>0</v>
      </c>
      <c r="R902" s="111"/>
      <c r="S902" s="111"/>
      <c r="T902" s="106" t="s">
        <v>70</v>
      </c>
      <c r="U902" s="26"/>
      <c r="V902" s="26"/>
      <c r="W902" s="26"/>
      <c r="X902" s="26"/>
      <c r="Y902" s="26"/>
      <c r="Z902" s="26"/>
      <c r="AA902" s="26"/>
      <c r="AB902" s="26"/>
      <c r="AC902" s="26"/>
    </row>
    <row r="903" ht="33.75" customHeight="1">
      <c r="A903" s="27" t="s">
        <v>1535</v>
      </c>
      <c r="B903" s="28"/>
      <c r="C903" s="28"/>
      <c r="D903" s="28"/>
      <c r="E903" s="29"/>
      <c r="F903" s="30"/>
      <c r="G903" s="30"/>
      <c r="H903" s="30"/>
      <c r="I903" s="30"/>
      <c r="J903" s="30"/>
      <c r="K903" s="31"/>
      <c r="L903" s="32">
        <f t="shared" ref="L903:O903" si="583">SUM(X904:X1012)</f>
        <v>52</v>
      </c>
      <c r="M903" s="32">
        <f t="shared" si="583"/>
        <v>99.875</v>
      </c>
      <c r="N903" s="32">
        <f t="shared" si="583"/>
        <v>147.75</v>
      </c>
      <c r="O903" s="32">
        <f t="shared" si="583"/>
        <v>99.875</v>
      </c>
      <c r="P903" s="33"/>
      <c r="Q903" s="32">
        <f>SUM(AC904:AC1012)</f>
        <v>112.2375</v>
      </c>
      <c r="R903" s="34"/>
      <c r="S903" s="34"/>
      <c r="T903" s="35" t="s">
        <v>59</v>
      </c>
      <c r="U903" s="26"/>
      <c r="V903" s="26"/>
      <c r="W903" s="26"/>
      <c r="X903" s="26"/>
      <c r="Y903" s="26"/>
      <c r="Z903" s="26"/>
      <c r="AA903" s="26"/>
      <c r="AB903" s="26"/>
      <c r="AC903" s="26"/>
    </row>
    <row r="904" ht="33.75" customHeight="1">
      <c r="A904" s="45" t="s">
        <v>1536</v>
      </c>
      <c r="B904" s="212" t="s">
        <v>1537</v>
      </c>
      <c r="C904" s="212" t="s">
        <v>1538</v>
      </c>
      <c r="D904" s="212" t="s">
        <v>1538</v>
      </c>
      <c r="E904" s="212" t="s">
        <v>1539</v>
      </c>
      <c r="F904" s="45"/>
      <c r="G904" s="45"/>
      <c r="H904" s="45"/>
      <c r="I904" s="45"/>
      <c r="J904" s="45"/>
      <c r="K904" s="123"/>
      <c r="L904" s="213">
        <f>IF(COUNT(L905,L909,L913,L917,L921)=0,"",SUM(L905,L909,L913,L917,L921))</f>
        <v>14.25</v>
      </c>
      <c r="M904" s="213">
        <f t="shared" ref="M904:M1012" si="586">(N904+L904)/2</f>
        <v>26.625</v>
      </c>
      <c r="N904" s="213">
        <f t="shared" ref="N904:O904" si="584">IF(COUNT(N905,N909,N913,N917,N921)=0,"",SUM(N905,N909,N913,N917,N921))</f>
        <v>39</v>
      </c>
      <c r="O904" s="213">
        <f t="shared" si="584"/>
        <v>26.625</v>
      </c>
      <c r="P904" s="214"/>
      <c r="Q904" s="213">
        <f>IF(COUNT(Q905,Q909,Q913,Q917,Q921)=0,"",SUM(Q905,Q909,Q913,Q917,Q921))</f>
        <v>30.075</v>
      </c>
      <c r="R904" s="126"/>
      <c r="S904" s="126"/>
      <c r="T904" s="45" t="s">
        <v>62</v>
      </c>
      <c r="U904" s="26"/>
      <c r="V904" s="26"/>
      <c r="W904" s="26"/>
      <c r="X904" s="46">
        <f t="shared" ref="X904:AA904" si="585">L904</f>
        <v>14.25</v>
      </c>
      <c r="Y904" s="46">
        <f t="shared" si="585"/>
        <v>26.625</v>
      </c>
      <c r="Z904" s="46">
        <f t="shared" si="585"/>
        <v>39</v>
      </c>
      <c r="AA904" s="46">
        <f t="shared" si="585"/>
        <v>26.625</v>
      </c>
      <c r="AB904" s="26"/>
      <c r="AC904" s="46">
        <f>Q904</f>
        <v>30.075</v>
      </c>
    </row>
    <row r="905" ht="33.75" customHeight="1">
      <c r="A905" s="54" t="s">
        <v>1540</v>
      </c>
      <c r="B905" s="209" t="s">
        <v>1537</v>
      </c>
      <c r="C905" s="209" t="s">
        <v>1538</v>
      </c>
      <c r="D905" s="209" t="s">
        <v>1541</v>
      </c>
      <c r="E905" s="209" t="s">
        <v>1542</v>
      </c>
      <c r="F905" s="54"/>
      <c r="G905" s="54" t="s">
        <v>168</v>
      </c>
      <c r="H905" s="54" t="s">
        <v>168</v>
      </c>
      <c r="I905" s="54"/>
      <c r="J905" s="54" t="s">
        <v>9</v>
      </c>
      <c r="K905" s="119" t="s">
        <v>9</v>
      </c>
      <c r="L905" s="202">
        <f>IF(COUNT(L906:N908)=0,"",SUM(L906:L908))</f>
        <v>2.5</v>
      </c>
      <c r="M905" s="174">
        <f t="shared" si="586"/>
        <v>4.75</v>
      </c>
      <c r="N905" s="202">
        <f>IF(COUNT(L906:N908)=0,"",SUM(N906:N908))</f>
        <v>7</v>
      </c>
      <c r="O905" s="202">
        <f>IF(COUNT(O906:O908)=0,"",SUM(O906:O908))</f>
        <v>4.75</v>
      </c>
      <c r="P905" s="210"/>
      <c r="Q905" s="202">
        <f>IF(COUNT(Q906:Q908)=0,"",SUM(Q906:Q908))</f>
        <v>5.3625</v>
      </c>
      <c r="R905" s="163"/>
      <c r="S905" s="163"/>
      <c r="T905" s="54" t="s">
        <v>65</v>
      </c>
      <c r="U905" s="179"/>
      <c r="V905" s="179"/>
      <c r="W905" s="179"/>
      <c r="X905" s="105"/>
      <c r="Y905" s="105"/>
      <c r="Z905" s="105"/>
      <c r="AA905" s="105"/>
      <c r="AB905" s="105"/>
      <c r="AC905" s="105"/>
    </row>
    <row r="906" ht="33.75" customHeight="1">
      <c r="A906" s="65" t="s">
        <v>1543</v>
      </c>
      <c r="B906" s="215" t="s">
        <v>1537</v>
      </c>
      <c r="C906" s="215" t="s">
        <v>1538</v>
      </c>
      <c r="D906" s="215" t="s">
        <v>1541</v>
      </c>
      <c r="E906" s="215" t="s">
        <v>1542</v>
      </c>
      <c r="F906" s="65"/>
      <c r="G906" s="65" t="s">
        <v>168</v>
      </c>
      <c r="H906" s="65" t="s">
        <v>168</v>
      </c>
      <c r="I906" s="65"/>
      <c r="J906" s="65" t="s">
        <v>9</v>
      </c>
      <c r="K906" s="97" t="s">
        <v>9</v>
      </c>
      <c r="L906" s="129">
        <v>0.5</v>
      </c>
      <c r="M906" s="180">
        <f t="shared" si="586"/>
        <v>1</v>
      </c>
      <c r="N906" s="129">
        <v>1.5</v>
      </c>
      <c r="O906" s="129">
        <f t="shared" ref="O906:O908" si="587">IF(COUNT(L906:N906)=0,"",(L906+4*M906+N906)/6)</f>
        <v>1</v>
      </c>
      <c r="P906" s="159">
        <v>0.1</v>
      </c>
      <c r="Q906" s="208">
        <f t="shared" ref="Q906:Q908" si="588">IF(O906="","",IF(P906="",O906,O906*(1+P906)))</f>
        <v>1.1</v>
      </c>
      <c r="R906" s="132">
        <v>4.0</v>
      </c>
      <c r="S906" s="132">
        <v>2.0</v>
      </c>
      <c r="T906" s="65" t="s">
        <v>31</v>
      </c>
      <c r="U906" s="26"/>
      <c r="V906" s="26"/>
      <c r="W906" s="26"/>
      <c r="X906" s="26"/>
      <c r="Y906" s="26"/>
      <c r="Z906" s="26"/>
      <c r="AA906" s="26"/>
      <c r="AB906" s="26"/>
      <c r="AC906" s="26"/>
    </row>
    <row r="907" ht="33.75" customHeight="1">
      <c r="A907" s="65" t="s">
        <v>1544</v>
      </c>
      <c r="B907" s="215" t="s">
        <v>1537</v>
      </c>
      <c r="C907" s="215" t="s">
        <v>1538</v>
      </c>
      <c r="D907" s="215" t="s">
        <v>1541</v>
      </c>
      <c r="E907" s="215" t="s">
        <v>1542</v>
      </c>
      <c r="F907" s="65"/>
      <c r="G907" s="65" t="s">
        <v>168</v>
      </c>
      <c r="H907" s="65" t="s">
        <v>168</v>
      </c>
      <c r="I907" s="65"/>
      <c r="J907" s="65" t="s">
        <v>9</v>
      </c>
      <c r="K907" s="97" t="s">
        <v>9</v>
      </c>
      <c r="L907" s="129">
        <v>1.5</v>
      </c>
      <c r="M907" s="180">
        <f t="shared" si="586"/>
        <v>2.75</v>
      </c>
      <c r="N907" s="129">
        <v>4.0</v>
      </c>
      <c r="O907" s="129">
        <f t="shared" si="587"/>
        <v>2.75</v>
      </c>
      <c r="P907" s="159">
        <v>0.15</v>
      </c>
      <c r="Q907" s="208">
        <f t="shared" si="588"/>
        <v>3.1625</v>
      </c>
      <c r="R907" s="132">
        <v>4.0</v>
      </c>
      <c r="S907" s="132">
        <v>2.0</v>
      </c>
      <c r="T907" s="65" t="s">
        <v>32</v>
      </c>
      <c r="U907" s="26"/>
      <c r="V907" s="26"/>
      <c r="W907" s="26"/>
      <c r="X907" s="26"/>
      <c r="Y907" s="26"/>
      <c r="Z907" s="26"/>
      <c r="AA907" s="26"/>
      <c r="AB907" s="26"/>
      <c r="AC907" s="26"/>
    </row>
    <row r="908" ht="33.75" customHeight="1">
      <c r="A908" s="65" t="s">
        <v>1545</v>
      </c>
      <c r="B908" s="215" t="s">
        <v>1537</v>
      </c>
      <c r="C908" s="215" t="s">
        <v>1538</v>
      </c>
      <c r="D908" s="215" t="s">
        <v>1541</v>
      </c>
      <c r="E908" s="215" t="s">
        <v>1542</v>
      </c>
      <c r="F908" s="65"/>
      <c r="G908" s="65" t="s">
        <v>168</v>
      </c>
      <c r="H908" s="65" t="s">
        <v>168</v>
      </c>
      <c r="I908" s="65"/>
      <c r="J908" s="65" t="s">
        <v>9</v>
      </c>
      <c r="K908" s="97" t="s">
        <v>9</v>
      </c>
      <c r="L908" s="129">
        <v>0.5</v>
      </c>
      <c r="M908" s="180">
        <f t="shared" si="586"/>
        <v>1</v>
      </c>
      <c r="N908" s="129">
        <v>1.5</v>
      </c>
      <c r="O908" s="129">
        <f t="shared" si="587"/>
        <v>1</v>
      </c>
      <c r="P908" s="159">
        <v>0.1</v>
      </c>
      <c r="Q908" s="208">
        <f t="shared" si="588"/>
        <v>1.1</v>
      </c>
      <c r="R908" s="132">
        <v>4.0</v>
      </c>
      <c r="S908" s="132">
        <v>2.0</v>
      </c>
      <c r="T908" s="65" t="s">
        <v>70</v>
      </c>
      <c r="U908" s="26"/>
      <c r="V908" s="26"/>
      <c r="W908" s="26"/>
      <c r="X908" s="26"/>
      <c r="Y908" s="26"/>
      <c r="Z908" s="26"/>
      <c r="AA908" s="26"/>
      <c r="AB908" s="26"/>
      <c r="AC908" s="26"/>
    </row>
    <row r="909" ht="33.75" customHeight="1">
      <c r="A909" s="54" t="s">
        <v>1546</v>
      </c>
      <c r="B909" s="209" t="s">
        <v>1537</v>
      </c>
      <c r="C909" s="209" t="s">
        <v>1538</v>
      </c>
      <c r="D909" s="209" t="s">
        <v>1547</v>
      </c>
      <c r="E909" s="209" t="s">
        <v>1548</v>
      </c>
      <c r="F909" s="54" t="s">
        <v>1540</v>
      </c>
      <c r="G909" s="54" t="s">
        <v>168</v>
      </c>
      <c r="H909" s="54" t="s">
        <v>168</v>
      </c>
      <c r="I909" s="54"/>
      <c r="J909" s="54" t="s">
        <v>9</v>
      </c>
      <c r="K909" s="119" t="s">
        <v>9</v>
      </c>
      <c r="L909" s="202">
        <f>IF(COUNT(L910:N912)=0,"",SUM(L910:L912))</f>
        <v>3</v>
      </c>
      <c r="M909" s="174">
        <f t="shared" si="586"/>
        <v>5.5</v>
      </c>
      <c r="N909" s="202">
        <f>IF(COUNT(L910:N912)=0,"",SUM(N910:N912))</f>
        <v>8</v>
      </c>
      <c r="O909" s="202">
        <f>IF(COUNT(O910:O912)=0,"",SUM(O910:O912))</f>
        <v>5.5</v>
      </c>
      <c r="P909" s="210"/>
      <c r="Q909" s="202">
        <f>IF(COUNT(Q910:Q912)=0,"",SUM(Q910:Q912))</f>
        <v>6.1875</v>
      </c>
      <c r="R909" s="163"/>
      <c r="S909" s="163"/>
      <c r="T909" s="54" t="s">
        <v>65</v>
      </c>
      <c r="U909" s="179"/>
      <c r="V909" s="179"/>
      <c r="W909" s="179"/>
      <c r="X909" s="105"/>
      <c r="Y909" s="105"/>
      <c r="Z909" s="105"/>
      <c r="AA909" s="105"/>
      <c r="AB909" s="105"/>
      <c r="AC909" s="105"/>
    </row>
    <row r="910" ht="33.75" customHeight="1">
      <c r="A910" s="65" t="s">
        <v>1549</v>
      </c>
      <c r="B910" s="215" t="s">
        <v>1537</v>
      </c>
      <c r="C910" s="215" t="s">
        <v>1538</v>
      </c>
      <c r="D910" s="215" t="s">
        <v>1547</v>
      </c>
      <c r="E910" s="215" t="s">
        <v>1548</v>
      </c>
      <c r="F910" s="65" t="s">
        <v>1540</v>
      </c>
      <c r="G910" s="65" t="s">
        <v>168</v>
      </c>
      <c r="H910" s="65" t="s">
        <v>168</v>
      </c>
      <c r="I910" s="65"/>
      <c r="J910" s="65" t="s">
        <v>9</v>
      </c>
      <c r="K910" s="97" t="s">
        <v>9</v>
      </c>
      <c r="L910" s="129">
        <v>1.0</v>
      </c>
      <c r="M910" s="180">
        <f t="shared" si="586"/>
        <v>1.75</v>
      </c>
      <c r="N910" s="129">
        <v>2.5</v>
      </c>
      <c r="O910" s="129">
        <f t="shared" ref="O910:O912" si="589">IF(COUNT(L910:N910)=0,"",(L910+4*M910+N910)/6)</f>
        <v>1.75</v>
      </c>
      <c r="P910" s="159">
        <v>0.1</v>
      </c>
      <c r="Q910" s="208">
        <f t="shared" ref="Q910:Q912" si="590">IF(O910="","",IF(P910="",O910,O910*(1+P910)))</f>
        <v>1.925</v>
      </c>
      <c r="R910" s="132">
        <v>4.0</v>
      </c>
      <c r="S910" s="132">
        <v>2.0</v>
      </c>
      <c r="T910" s="65" t="s">
        <v>31</v>
      </c>
      <c r="U910" s="26"/>
      <c r="V910" s="26"/>
      <c r="W910" s="26"/>
      <c r="X910" s="26"/>
      <c r="Y910" s="26"/>
      <c r="Z910" s="26"/>
      <c r="AA910" s="26"/>
      <c r="AB910" s="26"/>
      <c r="AC910" s="26"/>
    </row>
    <row r="911" ht="33.75" customHeight="1">
      <c r="A911" s="65" t="s">
        <v>1550</v>
      </c>
      <c r="B911" s="215" t="s">
        <v>1537</v>
      </c>
      <c r="C911" s="215" t="s">
        <v>1538</v>
      </c>
      <c r="D911" s="215" t="s">
        <v>1547</v>
      </c>
      <c r="E911" s="215" t="s">
        <v>1548</v>
      </c>
      <c r="F911" s="65" t="s">
        <v>1540</v>
      </c>
      <c r="G911" s="65" t="s">
        <v>168</v>
      </c>
      <c r="H911" s="65" t="s">
        <v>168</v>
      </c>
      <c r="I911" s="65"/>
      <c r="J911" s="65" t="s">
        <v>9</v>
      </c>
      <c r="K911" s="97" t="s">
        <v>9</v>
      </c>
      <c r="L911" s="129">
        <v>1.5</v>
      </c>
      <c r="M911" s="180">
        <f t="shared" si="586"/>
        <v>2.75</v>
      </c>
      <c r="N911" s="129">
        <v>4.0</v>
      </c>
      <c r="O911" s="129">
        <f t="shared" si="589"/>
        <v>2.75</v>
      </c>
      <c r="P911" s="159">
        <v>0.15</v>
      </c>
      <c r="Q911" s="208">
        <f t="shared" si="590"/>
        <v>3.1625</v>
      </c>
      <c r="R911" s="132">
        <v>4.0</v>
      </c>
      <c r="S911" s="132">
        <v>2.0</v>
      </c>
      <c r="T911" s="65" t="s">
        <v>32</v>
      </c>
      <c r="U911" s="26"/>
      <c r="V911" s="26"/>
      <c r="W911" s="26"/>
      <c r="X911" s="26"/>
      <c r="Y911" s="26"/>
      <c r="Z911" s="26"/>
      <c r="AA911" s="26"/>
      <c r="AB911" s="26"/>
      <c r="AC911" s="26"/>
    </row>
    <row r="912" ht="33.75" customHeight="1">
      <c r="A912" s="65" t="s">
        <v>1551</v>
      </c>
      <c r="B912" s="215" t="s">
        <v>1537</v>
      </c>
      <c r="C912" s="215" t="s">
        <v>1538</v>
      </c>
      <c r="D912" s="215" t="s">
        <v>1547</v>
      </c>
      <c r="E912" s="215" t="s">
        <v>1548</v>
      </c>
      <c r="F912" s="65" t="s">
        <v>1540</v>
      </c>
      <c r="G912" s="65" t="s">
        <v>168</v>
      </c>
      <c r="H912" s="65" t="s">
        <v>168</v>
      </c>
      <c r="I912" s="65"/>
      <c r="J912" s="65" t="s">
        <v>9</v>
      </c>
      <c r="K912" s="97" t="s">
        <v>9</v>
      </c>
      <c r="L912" s="129">
        <v>0.5</v>
      </c>
      <c r="M912" s="180">
        <f t="shared" si="586"/>
        <v>1</v>
      </c>
      <c r="N912" s="129">
        <v>1.5</v>
      </c>
      <c r="O912" s="129">
        <f t="shared" si="589"/>
        <v>1</v>
      </c>
      <c r="P912" s="159">
        <v>0.1</v>
      </c>
      <c r="Q912" s="208">
        <f t="shared" si="590"/>
        <v>1.1</v>
      </c>
      <c r="R912" s="132">
        <v>4.0</v>
      </c>
      <c r="S912" s="132">
        <v>2.0</v>
      </c>
      <c r="T912" s="65" t="s">
        <v>70</v>
      </c>
      <c r="U912" s="26"/>
      <c r="V912" s="26"/>
      <c r="W912" s="26"/>
      <c r="X912" s="26"/>
      <c r="Y912" s="26"/>
      <c r="Z912" s="26"/>
      <c r="AA912" s="26"/>
      <c r="AB912" s="26"/>
      <c r="AC912" s="26"/>
    </row>
    <row r="913" ht="33.75" customHeight="1">
      <c r="A913" s="54" t="s">
        <v>1552</v>
      </c>
      <c r="B913" s="209" t="s">
        <v>1537</v>
      </c>
      <c r="C913" s="209" t="s">
        <v>1538</v>
      </c>
      <c r="D913" s="209" t="s">
        <v>1553</v>
      </c>
      <c r="E913" s="209" t="s">
        <v>1554</v>
      </c>
      <c r="F913" s="54" t="s">
        <v>1540</v>
      </c>
      <c r="G913" s="54" t="s">
        <v>168</v>
      </c>
      <c r="H913" s="54" t="s">
        <v>168</v>
      </c>
      <c r="I913" s="54"/>
      <c r="J913" s="54" t="s">
        <v>9</v>
      </c>
      <c r="K913" s="119" t="s">
        <v>9</v>
      </c>
      <c r="L913" s="202">
        <f>IF(COUNT(L914:N916)=0,"",SUM(L914:L916))</f>
        <v>2.5</v>
      </c>
      <c r="M913" s="174">
        <f t="shared" si="586"/>
        <v>4.75</v>
      </c>
      <c r="N913" s="202">
        <f>IF(COUNT(L914:N916)=0,"",SUM(N914:N916))</f>
        <v>7</v>
      </c>
      <c r="O913" s="202">
        <f>IF(COUNT(O914:O916)=0,"",SUM(O914:O916))</f>
        <v>4.75</v>
      </c>
      <c r="P913" s="210"/>
      <c r="Q913" s="202">
        <f>IF(COUNT(Q914:Q916)=0,"",SUM(Q914:Q916))</f>
        <v>5.325</v>
      </c>
      <c r="R913" s="163"/>
      <c r="S913" s="163"/>
      <c r="T913" s="54" t="s">
        <v>65</v>
      </c>
      <c r="U913" s="179"/>
      <c r="V913" s="179"/>
      <c r="W913" s="179"/>
      <c r="X913" s="105"/>
      <c r="Y913" s="105"/>
      <c r="Z913" s="105"/>
      <c r="AA913" s="105"/>
      <c r="AB913" s="105"/>
      <c r="AC913" s="105"/>
    </row>
    <row r="914" ht="33.75" customHeight="1">
      <c r="A914" s="65" t="s">
        <v>1555</v>
      </c>
      <c r="B914" s="215" t="s">
        <v>1537</v>
      </c>
      <c r="C914" s="215" t="s">
        <v>1538</v>
      </c>
      <c r="D914" s="215" t="s">
        <v>1553</v>
      </c>
      <c r="E914" s="215" t="s">
        <v>1554</v>
      </c>
      <c r="F914" s="65" t="s">
        <v>1540</v>
      </c>
      <c r="G914" s="65" t="s">
        <v>168</v>
      </c>
      <c r="H914" s="65" t="s">
        <v>168</v>
      </c>
      <c r="I914" s="65"/>
      <c r="J914" s="65" t="s">
        <v>9</v>
      </c>
      <c r="K914" s="97" t="s">
        <v>9</v>
      </c>
      <c r="L914" s="129">
        <v>1.0</v>
      </c>
      <c r="M914" s="180">
        <f t="shared" si="586"/>
        <v>1.75</v>
      </c>
      <c r="N914" s="129">
        <v>2.5</v>
      </c>
      <c r="O914" s="129">
        <f t="shared" ref="O914:O916" si="591">IF(COUNT(L914:N914)=0,"",(L914+4*M914+N914)/6)</f>
        <v>1.75</v>
      </c>
      <c r="P914" s="159">
        <v>0.1</v>
      </c>
      <c r="Q914" s="208">
        <f t="shared" ref="Q914:Q916" si="592">IF(O914="","",IF(P914="",O914,O914*(1+P914)))</f>
        <v>1.925</v>
      </c>
      <c r="R914" s="132">
        <v>4.0</v>
      </c>
      <c r="S914" s="132">
        <v>2.0</v>
      </c>
      <c r="T914" s="65" t="s">
        <v>31</v>
      </c>
      <c r="U914" s="26"/>
      <c r="V914" s="26"/>
      <c r="W914" s="26"/>
      <c r="X914" s="26"/>
      <c r="Y914" s="26"/>
      <c r="Z914" s="26"/>
      <c r="AA914" s="26"/>
      <c r="AB914" s="26"/>
      <c r="AC914" s="26"/>
    </row>
    <row r="915" ht="33.75" customHeight="1">
      <c r="A915" s="65" t="s">
        <v>1556</v>
      </c>
      <c r="B915" s="215" t="s">
        <v>1537</v>
      </c>
      <c r="C915" s="215" t="s">
        <v>1538</v>
      </c>
      <c r="D915" s="215" t="s">
        <v>1553</v>
      </c>
      <c r="E915" s="215" t="s">
        <v>1554</v>
      </c>
      <c r="F915" s="65" t="s">
        <v>1540</v>
      </c>
      <c r="G915" s="65" t="s">
        <v>168</v>
      </c>
      <c r="H915" s="65" t="s">
        <v>168</v>
      </c>
      <c r="I915" s="65"/>
      <c r="J915" s="65" t="s">
        <v>9</v>
      </c>
      <c r="K915" s="97" t="s">
        <v>9</v>
      </c>
      <c r="L915" s="129">
        <v>1.0</v>
      </c>
      <c r="M915" s="180">
        <f t="shared" si="586"/>
        <v>2</v>
      </c>
      <c r="N915" s="129">
        <v>3.0</v>
      </c>
      <c r="O915" s="129">
        <f t="shared" si="591"/>
        <v>2</v>
      </c>
      <c r="P915" s="159">
        <v>0.15</v>
      </c>
      <c r="Q915" s="208">
        <f t="shared" si="592"/>
        <v>2.3</v>
      </c>
      <c r="R915" s="132">
        <v>4.0</v>
      </c>
      <c r="S915" s="132">
        <v>2.0</v>
      </c>
      <c r="T915" s="65" t="s">
        <v>32</v>
      </c>
      <c r="U915" s="26"/>
      <c r="V915" s="26"/>
      <c r="W915" s="26"/>
      <c r="X915" s="26"/>
      <c r="Y915" s="26"/>
      <c r="Z915" s="26"/>
      <c r="AA915" s="26"/>
      <c r="AB915" s="26"/>
      <c r="AC915" s="26"/>
    </row>
    <row r="916" ht="33.75" customHeight="1">
      <c r="A916" s="65" t="s">
        <v>1557</v>
      </c>
      <c r="B916" s="215" t="s">
        <v>1537</v>
      </c>
      <c r="C916" s="215" t="s">
        <v>1538</v>
      </c>
      <c r="D916" s="215" t="s">
        <v>1553</v>
      </c>
      <c r="E916" s="215" t="s">
        <v>1554</v>
      </c>
      <c r="F916" s="65" t="s">
        <v>1540</v>
      </c>
      <c r="G916" s="65" t="s">
        <v>168</v>
      </c>
      <c r="H916" s="65" t="s">
        <v>168</v>
      </c>
      <c r="I916" s="65"/>
      <c r="J916" s="65" t="s">
        <v>9</v>
      </c>
      <c r="K916" s="97" t="s">
        <v>9</v>
      </c>
      <c r="L916" s="129">
        <v>0.5</v>
      </c>
      <c r="M916" s="180">
        <f t="shared" si="586"/>
        <v>1</v>
      </c>
      <c r="N916" s="129">
        <v>1.5</v>
      </c>
      <c r="O916" s="129">
        <f t="shared" si="591"/>
        <v>1</v>
      </c>
      <c r="P916" s="159">
        <v>0.1</v>
      </c>
      <c r="Q916" s="208">
        <f t="shared" si="592"/>
        <v>1.1</v>
      </c>
      <c r="R916" s="132">
        <v>4.0</v>
      </c>
      <c r="S916" s="132">
        <v>2.0</v>
      </c>
      <c r="T916" s="65" t="s">
        <v>70</v>
      </c>
      <c r="U916" s="26"/>
      <c r="V916" s="26"/>
      <c r="W916" s="26"/>
      <c r="X916" s="26"/>
      <c r="Y916" s="26"/>
      <c r="Z916" s="26"/>
      <c r="AA916" s="26"/>
      <c r="AB916" s="26"/>
      <c r="AC916" s="26"/>
    </row>
    <row r="917" ht="33.75" customHeight="1">
      <c r="A917" s="54" t="s">
        <v>1558</v>
      </c>
      <c r="B917" s="209" t="s">
        <v>1537</v>
      </c>
      <c r="C917" s="209" t="s">
        <v>1538</v>
      </c>
      <c r="D917" s="209" t="s">
        <v>1559</v>
      </c>
      <c r="E917" s="209" t="s">
        <v>1560</v>
      </c>
      <c r="F917" s="54" t="s">
        <v>1561</v>
      </c>
      <c r="G917" s="54" t="s">
        <v>168</v>
      </c>
      <c r="H917" s="54" t="s">
        <v>168</v>
      </c>
      <c r="I917" s="54"/>
      <c r="J917" s="54" t="s">
        <v>9</v>
      </c>
      <c r="K917" s="119" t="s">
        <v>9</v>
      </c>
      <c r="L917" s="202">
        <f>IF(COUNT(L918:N920)=0,"",SUM(L918:L920))</f>
        <v>2.5</v>
      </c>
      <c r="M917" s="174">
        <f t="shared" si="586"/>
        <v>4.75</v>
      </c>
      <c r="N917" s="202">
        <f>IF(COUNT(L918:N920)=0,"",SUM(N918:N920))</f>
        <v>7</v>
      </c>
      <c r="O917" s="202">
        <f>IF(COUNT(O918:O920)=0,"",SUM(O918:O920))</f>
        <v>4.75</v>
      </c>
      <c r="P917" s="210"/>
      <c r="Q917" s="202">
        <f>IF(COUNT(Q918:Q920)=0,"",SUM(Q918:Q920))</f>
        <v>5.3625</v>
      </c>
      <c r="R917" s="163"/>
      <c r="S917" s="163"/>
      <c r="T917" s="54" t="s">
        <v>65</v>
      </c>
      <c r="U917" s="179"/>
      <c r="V917" s="179"/>
      <c r="W917" s="179"/>
      <c r="X917" s="105"/>
      <c r="Y917" s="105"/>
      <c r="Z917" s="105"/>
      <c r="AA917" s="105"/>
      <c r="AB917" s="105"/>
      <c r="AC917" s="105"/>
    </row>
    <row r="918" ht="33.75" customHeight="1">
      <c r="A918" s="65" t="s">
        <v>1562</v>
      </c>
      <c r="B918" s="215" t="s">
        <v>1537</v>
      </c>
      <c r="C918" s="215" t="s">
        <v>1538</v>
      </c>
      <c r="D918" s="215" t="s">
        <v>1559</v>
      </c>
      <c r="E918" s="215" t="s">
        <v>1560</v>
      </c>
      <c r="F918" s="65" t="s">
        <v>1561</v>
      </c>
      <c r="G918" s="65" t="s">
        <v>168</v>
      </c>
      <c r="H918" s="65" t="s">
        <v>168</v>
      </c>
      <c r="I918" s="65"/>
      <c r="J918" s="65" t="s">
        <v>9</v>
      </c>
      <c r="K918" s="97" t="s">
        <v>9</v>
      </c>
      <c r="L918" s="129">
        <v>0.5</v>
      </c>
      <c r="M918" s="180">
        <f t="shared" si="586"/>
        <v>1</v>
      </c>
      <c r="N918" s="129">
        <v>1.5</v>
      </c>
      <c r="O918" s="129">
        <f t="shared" ref="O918:O920" si="593">IF(COUNT(L918:N918)=0,"",(L918+4*M918+N918)/6)</f>
        <v>1</v>
      </c>
      <c r="P918" s="159">
        <v>0.1</v>
      </c>
      <c r="Q918" s="208">
        <f t="shared" ref="Q918:Q920" si="594">IF(O918="","",IF(P918="",O918,O918*(1+P918)))</f>
        <v>1.1</v>
      </c>
      <c r="R918" s="132">
        <v>4.0</v>
      </c>
      <c r="S918" s="132">
        <v>2.0</v>
      </c>
      <c r="T918" s="65" t="s">
        <v>31</v>
      </c>
      <c r="U918" s="26"/>
      <c r="V918" s="26"/>
      <c r="W918" s="26"/>
      <c r="X918" s="26"/>
      <c r="Y918" s="26"/>
      <c r="Z918" s="26"/>
      <c r="AA918" s="26"/>
      <c r="AB918" s="26"/>
      <c r="AC918" s="26"/>
    </row>
    <row r="919" ht="33.75" customHeight="1">
      <c r="A919" s="65" t="s">
        <v>1563</v>
      </c>
      <c r="B919" s="215" t="s">
        <v>1537</v>
      </c>
      <c r="C919" s="215" t="s">
        <v>1538</v>
      </c>
      <c r="D919" s="215" t="s">
        <v>1559</v>
      </c>
      <c r="E919" s="215" t="s">
        <v>1560</v>
      </c>
      <c r="F919" s="65" t="s">
        <v>1561</v>
      </c>
      <c r="G919" s="65" t="s">
        <v>168</v>
      </c>
      <c r="H919" s="65" t="s">
        <v>168</v>
      </c>
      <c r="I919" s="65"/>
      <c r="J919" s="65" t="s">
        <v>9</v>
      </c>
      <c r="K919" s="97" t="s">
        <v>9</v>
      </c>
      <c r="L919" s="129">
        <v>1.5</v>
      </c>
      <c r="M919" s="180">
        <f t="shared" si="586"/>
        <v>2.75</v>
      </c>
      <c r="N919" s="129">
        <v>4.0</v>
      </c>
      <c r="O919" s="129">
        <f t="shared" si="593"/>
        <v>2.75</v>
      </c>
      <c r="P919" s="159">
        <v>0.15</v>
      </c>
      <c r="Q919" s="208">
        <f t="shared" si="594"/>
        <v>3.1625</v>
      </c>
      <c r="R919" s="132">
        <v>4.0</v>
      </c>
      <c r="S919" s="132">
        <v>2.0</v>
      </c>
      <c r="T919" s="65" t="s">
        <v>32</v>
      </c>
      <c r="U919" s="26"/>
      <c r="V919" s="26"/>
      <c r="W919" s="26"/>
      <c r="X919" s="26"/>
      <c r="Y919" s="26"/>
      <c r="Z919" s="26"/>
      <c r="AA919" s="26"/>
      <c r="AB919" s="26"/>
      <c r="AC919" s="26"/>
    </row>
    <row r="920" ht="33.75" customHeight="1">
      <c r="A920" s="65" t="s">
        <v>1564</v>
      </c>
      <c r="B920" s="215" t="s">
        <v>1537</v>
      </c>
      <c r="C920" s="215" t="s">
        <v>1538</v>
      </c>
      <c r="D920" s="215" t="s">
        <v>1559</v>
      </c>
      <c r="E920" s="215" t="s">
        <v>1560</v>
      </c>
      <c r="F920" s="65" t="s">
        <v>1561</v>
      </c>
      <c r="G920" s="65" t="s">
        <v>168</v>
      </c>
      <c r="H920" s="65" t="s">
        <v>168</v>
      </c>
      <c r="I920" s="65"/>
      <c r="J920" s="65" t="s">
        <v>9</v>
      </c>
      <c r="K920" s="97" t="s">
        <v>9</v>
      </c>
      <c r="L920" s="129">
        <v>0.5</v>
      </c>
      <c r="M920" s="180">
        <f t="shared" si="586"/>
        <v>1</v>
      </c>
      <c r="N920" s="129">
        <v>1.5</v>
      </c>
      <c r="O920" s="129">
        <f t="shared" si="593"/>
        <v>1</v>
      </c>
      <c r="P920" s="159">
        <v>0.1</v>
      </c>
      <c r="Q920" s="208">
        <f t="shared" si="594"/>
        <v>1.1</v>
      </c>
      <c r="R920" s="132">
        <v>4.0</v>
      </c>
      <c r="S920" s="132">
        <v>2.0</v>
      </c>
      <c r="T920" s="65" t="s">
        <v>70</v>
      </c>
      <c r="U920" s="26"/>
      <c r="V920" s="26"/>
      <c r="W920" s="26"/>
      <c r="X920" s="26"/>
      <c r="Y920" s="26"/>
      <c r="Z920" s="26"/>
      <c r="AA920" s="26"/>
      <c r="AB920" s="26"/>
      <c r="AC920" s="26"/>
    </row>
    <row r="921" ht="33.75" customHeight="1">
      <c r="A921" s="54" t="s">
        <v>1565</v>
      </c>
      <c r="B921" s="209" t="s">
        <v>1537</v>
      </c>
      <c r="C921" s="209" t="s">
        <v>1538</v>
      </c>
      <c r="D921" s="209" t="s">
        <v>1566</v>
      </c>
      <c r="E921" s="209" t="s">
        <v>1567</v>
      </c>
      <c r="F921" s="54" t="s">
        <v>1568</v>
      </c>
      <c r="G921" s="54" t="s">
        <v>200</v>
      </c>
      <c r="H921" s="54" t="s">
        <v>200</v>
      </c>
      <c r="I921" s="54"/>
      <c r="J921" s="54" t="s">
        <v>9</v>
      </c>
      <c r="K921" s="119" t="s">
        <v>9</v>
      </c>
      <c r="L921" s="202">
        <f>IF(COUNT(L922:N924)=0,"",SUM(L922:L924))</f>
        <v>3.75</v>
      </c>
      <c r="M921" s="174">
        <f t="shared" si="586"/>
        <v>6.875</v>
      </c>
      <c r="N921" s="202">
        <f>IF(COUNT(L922:N924)=0,"",SUM(N922:N924))</f>
        <v>10</v>
      </c>
      <c r="O921" s="202">
        <f>IF(COUNT(O922:O924)=0,"",SUM(O922:O924))</f>
        <v>6.875</v>
      </c>
      <c r="P921" s="210"/>
      <c r="Q921" s="202">
        <f>IF(COUNT(Q922:Q924)=0,"",SUM(Q922:Q924))</f>
        <v>7.8375</v>
      </c>
      <c r="R921" s="163"/>
      <c r="S921" s="163"/>
      <c r="T921" s="54" t="s">
        <v>65</v>
      </c>
      <c r="U921" s="179"/>
      <c r="V921" s="179"/>
      <c r="W921" s="179"/>
      <c r="X921" s="105"/>
      <c r="Y921" s="105"/>
      <c r="Z921" s="105"/>
      <c r="AA921" s="105"/>
      <c r="AB921" s="179"/>
      <c r="AC921" s="105"/>
    </row>
    <row r="922" ht="33.75" customHeight="1">
      <c r="A922" s="65" t="s">
        <v>1569</v>
      </c>
      <c r="B922" s="215" t="s">
        <v>1537</v>
      </c>
      <c r="C922" s="215" t="s">
        <v>1538</v>
      </c>
      <c r="D922" s="215" t="s">
        <v>1566</v>
      </c>
      <c r="E922" s="215" t="s">
        <v>1567</v>
      </c>
      <c r="F922" s="65" t="s">
        <v>1568</v>
      </c>
      <c r="G922" s="65" t="s">
        <v>200</v>
      </c>
      <c r="H922" s="65" t="s">
        <v>200</v>
      </c>
      <c r="I922" s="65"/>
      <c r="J922" s="65" t="s">
        <v>9</v>
      </c>
      <c r="K922" s="97" t="s">
        <v>9</v>
      </c>
      <c r="L922" s="129">
        <v>1.5</v>
      </c>
      <c r="M922" s="180">
        <f t="shared" si="586"/>
        <v>2.75</v>
      </c>
      <c r="N922" s="129">
        <v>4.0</v>
      </c>
      <c r="O922" s="129">
        <f t="shared" ref="O922:O924" si="595">IF(COUNT(L922:N922)=0,"",(L922+4*M922+N922)/6)</f>
        <v>2.75</v>
      </c>
      <c r="P922" s="159">
        <v>0.15</v>
      </c>
      <c r="Q922" s="208">
        <f t="shared" ref="Q922:Q924" si="596">IF(O922="","",IF(P922="",O922,O922*(1+P922)))</f>
        <v>3.1625</v>
      </c>
      <c r="R922" s="132">
        <v>4.0</v>
      </c>
      <c r="S922" s="132">
        <v>2.0</v>
      </c>
      <c r="T922" s="65" t="s">
        <v>31</v>
      </c>
      <c r="U922" s="26"/>
      <c r="V922" s="26"/>
      <c r="W922" s="26"/>
      <c r="X922" s="26"/>
      <c r="Y922" s="26"/>
      <c r="Z922" s="26"/>
      <c r="AA922" s="26"/>
      <c r="AB922" s="26"/>
      <c r="AC922" s="26"/>
    </row>
    <row r="923" ht="33.75" customHeight="1">
      <c r="A923" s="65" t="s">
        <v>1570</v>
      </c>
      <c r="B923" s="215" t="s">
        <v>1537</v>
      </c>
      <c r="C923" s="215" t="s">
        <v>1538</v>
      </c>
      <c r="D923" s="215" t="s">
        <v>1566</v>
      </c>
      <c r="E923" s="215" t="s">
        <v>1567</v>
      </c>
      <c r="F923" s="65" t="s">
        <v>1568</v>
      </c>
      <c r="G923" s="65" t="s">
        <v>200</v>
      </c>
      <c r="H923" s="65" t="s">
        <v>200</v>
      </c>
      <c r="I923" s="65"/>
      <c r="J923" s="65" t="s">
        <v>9</v>
      </c>
      <c r="K923" s="97" t="s">
        <v>9</v>
      </c>
      <c r="L923" s="129">
        <v>1.5</v>
      </c>
      <c r="M923" s="180">
        <f t="shared" si="586"/>
        <v>2.75</v>
      </c>
      <c r="N923" s="129">
        <v>4.0</v>
      </c>
      <c r="O923" s="129">
        <f t="shared" si="595"/>
        <v>2.75</v>
      </c>
      <c r="P923" s="159">
        <v>0.15</v>
      </c>
      <c r="Q923" s="208">
        <f t="shared" si="596"/>
        <v>3.1625</v>
      </c>
      <c r="R923" s="132">
        <v>4.0</v>
      </c>
      <c r="S923" s="132">
        <v>2.0</v>
      </c>
      <c r="T923" s="65" t="s">
        <v>32</v>
      </c>
      <c r="U923" s="26"/>
      <c r="V923" s="26"/>
      <c r="W923" s="26"/>
      <c r="X923" s="26"/>
      <c r="Y923" s="26"/>
      <c r="Z923" s="26"/>
      <c r="AA923" s="26"/>
      <c r="AB923" s="26"/>
      <c r="AC923" s="26"/>
    </row>
    <row r="924" ht="33.75" customHeight="1">
      <c r="A924" s="65" t="s">
        <v>1571</v>
      </c>
      <c r="B924" s="215" t="s">
        <v>1537</v>
      </c>
      <c r="C924" s="215" t="s">
        <v>1538</v>
      </c>
      <c r="D924" s="215" t="s">
        <v>1566</v>
      </c>
      <c r="E924" s="215" t="s">
        <v>1567</v>
      </c>
      <c r="F924" s="65" t="s">
        <v>1568</v>
      </c>
      <c r="G924" s="65" t="s">
        <v>200</v>
      </c>
      <c r="H924" s="65" t="s">
        <v>200</v>
      </c>
      <c r="I924" s="65"/>
      <c r="J924" s="65" t="s">
        <v>9</v>
      </c>
      <c r="K924" s="97" t="s">
        <v>9</v>
      </c>
      <c r="L924" s="129">
        <v>0.75</v>
      </c>
      <c r="M924" s="180">
        <f t="shared" si="586"/>
        <v>1.375</v>
      </c>
      <c r="N924" s="129">
        <v>2.0</v>
      </c>
      <c r="O924" s="129">
        <f t="shared" si="595"/>
        <v>1.375</v>
      </c>
      <c r="P924" s="159">
        <v>0.1</v>
      </c>
      <c r="Q924" s="208">
        <f t="shared" si="596"/>
        <v>1.5125</v>
      </c>
      <c r="R924" s="132">
        <v>4.0</v>
      </c>
      <c r="S924" s="132">
        <v>2.0</v>
      </c>
      <c r="T924" s="65" t="s">
        <v>70</v>
      </c>
      <c r="U924" s="26"/>
      <c r="V924" s="26"/>
      <c r="W924" s="26"/>
      <c r="X924" s="26"/>
      <c r="Y924" s="26"/>
      <c r="Z924" s="26"/>
      <c r="AA924" s="26"/>
      <c r="AB924" s="26"/>
      <c r="AC924" s="26"/>
    </row>
    <row r="925" ht="33.75" customHeight="1">
      <c r="A925" s="45" t="s">
        <v>1572</v>
      </c>
      <c r="B925" s="212" t="s">
        <v>1537</v>
      </c>
      <c r="C925" s="212" t="s">
        <v>1573</v>
      </c>
      <c r="D925" s="212" t="s">
        <v>1573</v>
      </c>
      <c r="E925" s="212" t="s">
        <v>1574</v>
      </c>
      <c r="F925" s="45"/>
      <c r="G925" s="45"/>
      <c r="H925" s="45"/>
      <c r="I925" s="45"/>
      <c r="J925" s="45"/>
      <c r="K925" s="123"/>
      <c r="L925" s="213">
        <f>IF(COUNT(L926,L930,L934,L938,L942,L946,L950,L954,L958,L962)=0,"",SUM(L926,L930,L934,L938,L942,L946,L950,L954,L958,L962))</f>
        <v>21.75</v>
      </c>
      <c r="M925" s="213">
        <f t="shared" si="586"/>
        <v>41.375</v>
      </c>
      <c r="N925" s="213">
        <f t="shared" ref="N925:O925" si="597">IF(COUNT(N926,N930,N934,N938,N942,N946,N950,N954,N958,N962)=0,"",SUM(N926,N930,N934,N938,N942,N946,N950,N954,N958,N962))</f>
        <v>61</v>
      </c>
      <c r="O925" s="213">
        <f t="shared" si="597"/>
        <v>41.375</v>
      </c>
      <c r="P925" s="214"/>
      <c r="Q925" s="213">
        <f>IF(COUNT(Q926,Q930,Q934,Q938,Q942,Q946,Q950,Q954,Q958,Q962)=0,"",SUM(Q926,Q930,Q934,Q938,Q942,Q946,Q950,Q954,Q958,Q962))</f>
        <v>46.55</v>
      </c>
      <c r="R925" s="126"/>
      <c r="S925" s="126"/>
      <c r="T925" s="45" t="s">
        <v>62</v>
      </c>
      <c r="U925" s="26"/>
      <c r="V925" s="26"/>
      <c r="W925" s="26"/>
      <c r="X925" s="46">
        <f t="shared" ref="X925:AA925" si="598">L925</f>
        <v>21.75</v>
      </c>
      <c r="Y925" s="46">
        <f t="shared" si="598"/>
        <v>41.375</v>
      </c>
      <c r="Z925" s="46">
        <f t="shared" si="598"/>
        <v>61</v>
      </c>
      <c r="AA925" s="46">
        <f t="shared" si="598"/>
        <v>41.375</v>
      </c>
      <c r="AB925" s="26"/>
      <c r="AC925" s="46">
        <f>Q925</f>
        <v>46.55</v>
      </c>
    </row>
    <row r="926" ht="33.75" customHeight="1">
      <c r="A926" s="54" t="s">
        <v>1575</v>
      </c>
      <c r="B926" s="209" t="s">
        <v>1537</v>
      </c>
      <c r="C926" s="209" t="s">
        <v>1573</v>
      </c>
      <c r="D926" s="209" t="s">
        <v>1576</v>
      </c>
      <c r="E926" s="209" t="s">
        <v>1577</v>
      </c>
      <c r="F926" s="54" t="s">
        <v>1578</v>
      </c>
      <c r="G926" s="54" t="s">
        <v>168</v>
      </c>
      <c r="H926" s="54" t="s">
        <v>168</v>
      </c>
      <c r="I926" s="54"/>
      <c r="J926" s="54" t="s">
        <v>9</v>
      </c>
      <c r="K926" s="119" t="s">
        <v>9</v>
      </c>
      <c r="L926" s="202">
        <f>IF(COUNT(L927:N929)=0,"",SUM(L927:L929))</f>
        <v>1.75</v>
      </c>
      <c r="M926" s="174">
        <f t="shared" si="586"/>
        <v>3.375</v>
      </c>
      <c r="N926" s="202">
        <f>IF(COUNT(L927:N929)=0,"",SUM(N927:N929))</f>
        <v>5</v>
      </c>
      <c r="O926" s="202">
        <f>IF(COUNT(O927:O929)=0,"",SUM(O927:O929))</f>
        <v>3.375</v>
      </c>
      <c r="P926" s="210"/>
      <c r="Q926" s="202">
        <f>IF(COUNT(Q927:Q929)=0,"",SUM(Q927:Q929))</f>
        <v>3.8</v>
      </c>
      <c r="R926" s="163"/>
      <c r="S926" s="163"/>
      <c r="T926" s="54" t="s">
        <v>65</v>
      </c>
      <c r="U926" s="179"/>
      <c r="V926" s="179"/>
      <c r="W926" s="179"/>
      <c r="X926" s="105"/>
      <c r="Y926" s="105"/>
      <c r="Z926" s="105"/>
      <c r="AA926" s="105"/>
      <c r="AB926" s="105"/>
      <c r="AC926" s="105"/>
    </row>
    <row r="927" ht="33.75" customHeight="1">
      <c r="A927" s="65" t="s">
        <v>1579</v>
      </c>
      <c r="B927" s="215" t="s">
        <v>1537</v>
      </c>
      <c r="C927" s="215" t="s">
        <v>1573</v>
      </c>
      <c r="D927" s="215" t="s">
        <v>1576</v>
      </c>
      <c r="E927" s="215" t="s">
        <v>1577</v>
      </c>
      <c r="F927" s="65" t="s">
        <v>1578</v>
      </c>
      <c r="G927" s="65" t="s">
        <v>168</v>
      </c>
      <c r="H927" s="65" t="s">
        <v>168</v>
      </c>
      <c r="I927" s="65"/>
      <c r="J927" s="65" t="s">
        <v>9</v>
      </c>
      <c r="K927" s="97" t="s">
        <v>9</v>
      </c>
      <c r="L927" s="129">
        <v>0.5</v>
      </c>
      <c r="M927" s="180">
        <f t="shared" si="586"/>
        <v>1</v>
      </c>
      <c r="N927" s="129">
        <v>1.5</v>
      </c>
      <c r="O927" s="129">
        <f t="shared" ref="O927:O929" si="599">IF(COUNT(L927:N927)=0,"",(L927+4*M927+N927)/6)</f>
        <v>1</v>
      </c>
      <c r="P927" s="159">
        <v>0.1</v>
      </c>
      <c r="Q927" s="208">
        <f t="shared" ref="Q927:Q929" si="600">IF(O927="","",IF(P927="",O927,O927*(1+P927)))</f>
        <v>1.1</v>
      </c>
      <c r="R927" s="132">
        <v>4.0</v>
      </c>
      <c r="S927" s="132">
        <v>2.0</v>
      </c>
      <c r="T927" s="65" t="s">
        <v>31</v>
      </c>
      <c r="U927" s="26"/>
      <c r="V927" s="26"/>
      <c r="W927" s="26"/>
      <c r="X927" s="26"/>
      <c r="Y927" s="26"/>
      <c r="Z927" s="26"/>
      <c r="AA927" s="26"/>
      <c r="AB927" s="26"/>
      <c r="AC927" s="26"/>
    </row>
    <row r="928" ht="33.75" customHeight="1">
      <c r="A928" s="65" t="s">
        <v>1580</v>
      </c>
      <c r="B928" s="215" t="s">
        <v>1537</v>
      </c>
      <c r="C928" s="215" t="s">
        <v>1573</v>
      </c>
      <c r="D928" s="215" t="s">
        <v>1576</v>
      </c>
      <c r="E928" s="215" t="s">
        <v>1577</v>
      </c>
      <c r="F928" s="65" t="s">
        <v>1578</v>
      </c>
      <c r="G928" s="65" t="s">
        <v>168</v>
      </c>
      <c r="H928" s="65" t="s">
        <v>168</v>
      </c>
      <c r="I928" s="65"/>
      <c r="J928" s="65" t="s">
        <v>9</v>
      </c>
      <c r="K928" s="97" t="s">
        <v>9</v>
      </c>
      <c r="L928" s="129">
        <v>1.0</v>
      </c>
      <c r="M928" s="180">
        <f t="shared" si="586"/>
        <v>1.75</v>
      </c>
      <c r="N928" s="129">
        <v>2.5</v>
      </c>
      <c r="O928" s="129">
        <f t="shared" si="599"/>
        <v>1.75</v>
      </c>
      <c r="P928" s="159">
        <v>0.15</v>
      </c>
      <c r="Q928" s="208">
        <f t="shared" si="600"/>
        <v>2.0125</v>
      </c>
      <c r="R928" s="132">
        <v>4.0</v>
      </c>
      <c r="S928" s="132">
        <v>2.0</v>
      </c>
      <c r="T928" s="65" t="s">
        <v>32</v>
      </c>
      <c r="U928" s="26"/>
      <c r="V928" s="26"/>
      <c r="W928" s="26"/>
      <c r="X928" s="26"/>
      <c r="Y928" s="26"/>
      <c r="Z928" s="26"/>
      <c r="AA928" s="26"/>
      <c r="AB928" s="26"/>
      <c r="AC928" s="26"/>
    </row>
    <row r="929" ht="33.75" customHeight="1">
      <c r="A929" s="65" t="s">
        <v>1581</v>
      </c>
      <c r="B929" s="215" t="s">
        <v>1537</v>
      </c>
      <c r="C929" s="215" t="s">
        <v>1573</v>
      </c>
      <c r="D929" s="215" t="s">
        <v>1576</v>
      </c>
      <c r="E929" s="215" t="s">
        <v>1577</v>
      </c>
      <c r="F929" s="65" t="s">
        <v>1578</v>
      </c>
      <c r="G929" s="65" t="s">
        <v>168</v>
      </c>
      <c r="H929" s="65" t="s">
        <v>168</v>
      </c>
      <c r="I929" s="65"/>
      <c r="J929" s="65" t="s">
        <v>9</v>
      </c>
      <c r="K929" s="97" t="s">
        <v>9</v>
      </c>
      <c r="L929" s="129">
        <v>0.25</v>
      </c>
      <c r="M929" s="180">
        <f t="shared" si="586"/>
        <v>0.625</v>
      </c>
      <c r="N929" s="129">
        <v>1.0</v>
      </c>
      <c r="O929" s="129">
        <f t="shared" si="599"/>
        <v>0.625</v>
      </c>
      <c r="P929" s="159">
        <v>0.1</v>
      </c>
      <c r="Q929" s="208">
        <f t="shared" si="600"/>
        <v>0.6875</v>
      </c>
      <c r="R929" s="132">
        <v>4.0</v>
      </c>
      <c r="S929" s="132">
        <v>2.0</v>
      </c>
      <c r="T929" s="65" t="s">
        <v>70</v>
      </c>
      <c r="U929" s="26"/>
      <c r="V929" s="26"/>
      <c r="W929" s="26"/>
      <c r="X929" s="26"/>
      <c r="Y929" s="26"/>
      <c r="Z929" s="26"/>
      <c r="AA929" s="26"/>
      <c r="AB929" s="26"/>
      <c r="AC929" s="26"/>
    </row>
    <row r="930" ht="33.75" customHeight="1">
      <c r="A930" s="54" t="s">
        <v>1582</v>
      </c>
      <c r="B930" s="209" t="s">
        <v>1537</v>
      </c>
      <c r="C930" s="209" t="s">
        <v>1573</v>
      </c>
      <c r="D930" s="209" t="s">
        <v>1583</v>
      </c>
      <c r="E930" s="209" t="s">
        <v>1584</v>
      </c>
      <c r="F930" s="54" t="s">
        <v>1585</v>
      </c>
      <c r="G930" s="54" t="s">
        <v>168</v>
      </c>
      <c r="H930" s="54" t="s">
        <v>168</v>
      </c>
      <c r="I930" s="54"/>
      <c r="J930" s="54" t="s">
        <v>9</v>
      </c>
      <c r="K930" s="119" t="s">
        <v>9</v>
      </c>
      <c r="L930" s="202">
        <f>IF(COUNT(L931:N933)=0,"",SUM(L931:L933))</f>
        <v>2.5</v>
      </c>
      <c r="M930" s="174">
        <f t="shared" si="586"/>
        <v>4.75</v>
      </c>
      <c r="N930" s="202">
        <f>IF(COUNT(L931:N933)=0,"",SUM(N931:N933))</f>
        <v>7</v>
      </c>
      <c r="O930" s="202">
        <f>IF(COUNT(O931:O933)=0,"",SUM(O931:O933))</f>
        <v>4.75</v>
      </c>
      <c r="P930" s="210"/>
      <c r="Q930" s="202">
        <f>IF(COUNT(Q931:Q933)=0,"",SUM(Q931:Q933))</f>
        <v>5.3625</v>
      </c>
      <c r="R930" s="163"/>
      <c r="S930" s="163"/>
      <c r="T930" s="54" t="s">
        <v>65</v>
      </c>
      <c r="U930" s="179"/>
      <c r="V930" s="179"/>
      <c r="W930" s="179"/>
      <c r="X930" s="105"/>
      <c r="Y930" s="105"/>
      <c r="Z930" s="105"/>
      <c r="AA930" s="105"/>
      <c r="AB930" s="105"/>
      <c r="AC930" s="105"/>
    </row>
    <row r="931" ht="33.75" customHeight="1">
      <c r="A931" s="65" t="s">
        <v>1586</v>
      </c>
      <c r="B931" s="215" t="s">
        <v>1537</v>
      </c>
      <c r="C931" s="215" t="s">
        <v>1573</v>
      </c>
      <c r="D931" s="215" t="s">
        <v>1583</v>
      </c>
      <c r="E931" s="215" t="s">
        <v>1584</v>
      </c>
      <c r="F931" s="65" t="s">
        <v>1585</v>
      </c>
      <c r="G931" s="65" t="s">
        <v>168</v>
      </c>
      <c r="H931" s="65" t="s">
        <v>168</v>
      </c>
      <c r="I931" s="65"/>
      <c r="J931" s="65" t="s">
        <v>9</v>
      </c>
      <c r="K931" s="97" t="s">
        <v>9</v>
      </c>
      <c r="L931" s="129">
        <v>0.5</v>
      </c>
      <c r="M931" s="180">
        <f t="shared" si="586"/>
        <v>1</v>
      </c>
      <c r="N931" s="129">
        <v>1.5</v>
      </c>
      <c r="O931" s="129">
        <f t="shared" ref="O931:O933" si="601">IF(COUNT(L931:N931)=0,"",(L931+4*M931+N931)/6)</f>
        <v>1</v>
      </c>
      <c r="P931" s="159">
        <v>0.1</v>
      </c>
      <c r="Q931" s="208">
        <f t="shared" ref="Q931:Q933" si="602">IF(O931="","",IF(P931="",O931,O931*(1+P931)))</f>
        <v>1.1</v>
      </c>
      <c r="R931" s="132">
        <v>4.0</v>
      </c>
      <c r="S931" s="132">
        <v>2.0</v>
      </c>
      <c r="T931" s="65" t="s">
        <v>31</v>
      </c>
      <c r="U931" s="26"/>
      <c r="V931" s="26"/>
      <c r="W931" s="26"/>
      <c r="X931" s="26"/>
      <c r="Y931" s="26"/>
      <c r="Z931" s="26"/>
      <c r="AA931" s="26"/>
      <c r="AB931" s="26"/>
      <c r="AC931" s="26"/>
    </row>
    <row r="932" ht="33.75" customHeight="1">
      <c r="A932" s="65" t="s">
        <v>1587</v>
      </c>
      <c r="B932" s="215" t="s">
        <v>1537</v>
      </c>
      <c r="C932" s="215" t="s">
        <v>1573</v>
      </c>
      <c r="D932" s="215" t="s">
        <v>1583</v>
      </c>
      <c r="E932" s="215" t="s">
        <v>1584</v>
      </c>
      <c r="F932" s="65" t="s">
        <v>1585</v>
      </c>
      <c r="G932" s="65" t="s">
        <v>168</v>
      </c>
      <c r="H932" s="65" t="s">
        <v>168</v>
      </c>
      <c r="I932" s="65"/>
      <c r="J932" s="65" t="s">
        <v>9</v>
      </c>
      <c r="K932" s="97" t="s">
        <v>9</v>
      </c>
      <c r="L932" s="129">
        <v>1.5</v>
      </c>
      <c r="M932" s="180">
        <f t="shared" si="586"/>
        <v>2.75</v>
      </c>
      <c r="N932" s="129">
        <v>4.0</v>
      </c>
      <c r="O932" s="129">
        <f t="shared" si="601"/>
        <v>2.75</v>
      </c>
      <c r="P932" s="159">
        <v>0.15</v>
      </c>
      <c r="Q932" s="208">
        <f t="shared" si="602"/>
        <v>3.1625</v>
      </c>
      <c r="R932" s="132">
        <v>4.0</v>
      </c>
      <c r="S932" s="132">
        <v>2.0</v>
      </c>
      <c r="T932" s="65" t="s">
        <v>32</v>
      </c>
      <c r="U932" s="26"/>
      <c r="V932" s="26"/>
      <c r="W932" s="26"/>
      <c r="X932" s="26"/>
      <c r="Y932" s="26"/>
      <c r="Z932" s="26"/>
      <c r="AA932" s="26"/>
      <c r="AB932" s="26"/>
      <c r="AC932" s="26"/>
    </row>
    <row r="933" ht="33.75" customHeight="1">
      <c r="A933" s="65" t="s">
        <v>1588</v>
      </c>
      <c r="B933" s="215" t="s">
        <v>1537</v>
      </c>
      <c r="C933" s="215" t="s">
        <v>1573</v>
      </c>
      <c r="D933" s="215" t="s">
        <v>1583</v>
      </c>
      <c r="E933" s="215" t="s">
        <v>1584</v>
      </c>
      <c r="F933" s="65" t="s">
        <v>1585</v>
      </c>
      <c r="G933" s="65" t="s">
        <v>168</v>
      </c>
      <c r="H933" s="65" t="s">
        <v>168</v>
      </c>
      <c r="I933" s="65"/>
      <c r="J933" s="65" t="s">
        <v>9</v>
      </c>
      <c r="K933" s="97" t="s">
        <v>9</v>
      </c>
      <c r="L933" s="129">
        <v>0.5</v>
      </c>
      <c r="M933" s="180">
        <f t="shared" si="586"/>
        <v>1</v>
      </c>
      <c r="N933" s="129">
        <v>1.5</v>
      </c>
      <c r="O933" s="129">
        <f t="shared" si="601"/>
        <v>1</v>
      </c>
      <c r="P933" s="159">
        <v>0.1</v>
      </c>
      <c r="Q933" s="208">
        <f t="shared" si="602"/>
        <v>1.1</v>
      </c>
      <c r="R933" s="132">
        <v>4.0</v>
      </c>
      <c r="S933" s="132">
        <v>2.0</v>
      </c>
      <c r="T933" s="65" t="s">
        <v>70</v>
      </c>
      <c r="U933" s="26"/>
      <c r="V933" s="26"/>
      <c r="W933" s="26"/>
      <c r="X933" s="26"/>
      <c r="Y933" s="26"/>
      <c r="Z933" s="26"/>
      <c r="AA933" s="26"/>
      <c r="AB933" s="26"/>
      <c r="AC933" s="26"/>
    </row>
    <row r="934" ht="33.75" customHeight="1">
      <c r="A934" s="54" t="s">
        <v>1589</v>
      </c>
      <c r="B934" s="209" t="s">
        <v>1537</v>
      </c>
      <c r="C934" s="209" t="s">
        <v>1573</v>
      </c>
      <c r="D934" s="209" t="s">
        <v>1590</v>
      </c>
      <c r="E934" s="209" t="s">
        <v>1591</v>
      </c>
      <c r="F934" s="54" t="s">
        <v>1592</v>
      </c>
      <c r="G934" s="54" t="s">
        <v>168</v>
      </c>
      <c r="H934" s="54" t="s">
        <v>168</v>
      </c>
      <c r="I934" s="54"/>
      <c r="J934" s="54" t="s">
        <v>9</v>
      </c>
      <c r="K934" s="119" t="s">
        <v>9</v>
      </c>
      <c r="L934" s="202">
        <f>IF(COUNT(L935:N937)=0,"",SUM(L935:L937))</f>
        <v>1.75</v>
      </c>
      <c r="M934" s="174">
        <f t="shared" si="586"/>
        <v>3.375</v>
      </c>
      <c r="N934" s="202">
        <f>IF(COUNT(L935:N937)=0,"",SUM(N935:N937))</f>
        <v>5</v>
      </c>
      <c r="O934" s="202">
        <f>IF(COUNT(O935:O937)=0,"",SUM(O935:O937))</f>
        <v>3.375</v>
      </c>
      <c r="P934" s="210"/>
      <c r="Q934" s="202">
        <f>IF(COUNT(Q935:Q937)=0,"",SUM(Q935:Q937))</f>
        <v>3.8</v>
      </c>
      <c r="R934" s="163"/>
      <c r="S934" s="163"/>
      <c r="T934" s="54" t="s">
        <v>65</v>
      </c>
      <c r="U934" s="179"/>
      <c r="V934" s="179"/>
      <c r="W934" s="179"/>
      <c r="X934" s="105"/>
      <c r="Y934" s="105"/>
      <c r="Z934" s="105"/>
      <c r="AA934" s="105"/>
      <c r="AB934" s="105"/>
      <c r="AC934" s="105"/>
    </row>
    <row r="935" ht="33.75" customHeight="1">
      <c r="A935" s="65" t="s">
        <v>1593</v>
      </c>
      <c r="B935" s="215" t="s">
        <v>1537</v>
      </c>
      <c r="C935" s="215" t="s">
        <v>1573</v>
      </c>
      <c r="D935" s="215" t="s">
        <v>1590</v>
      </c>
      <c r="E935" s="215" t="s">
        <v>1591</v>
      </c>
      <c r="F935" s="65" t="s">
        <v>1592</v>
      </c>
      <c r="G935" s="65" t="s">
        <v>168</v>
      </c>
      <c r="H935" s="65" t="s">
        <v>168</v>
      </c>
      <c r="I935" s="65"/>
      <c r="J935" s="65" t="s">
        <v>9</v>
      </c>
      <c r="K935" s="97" t="s">
        <v>9</v>
      </c>
      <c r="L935" s="129">
        <v>0.5</v>
      </c>
      <c r="M935" s="180">
        <f t="shared" si="586"/>
        <v>1</v>
      </c>
      <c r="N935" s="129">
        <v>1.5</v>
      </c>
      <c r="O935" s="129">
        <f t="shared" ref="O935:O937" si="603">IF(COUNT(L935:N935)=0,"",(L935+4*M935+N935)/6)</f>
        <v>1</v>
      </c>
      <c r="P935" s="159">
        <v>0.1</v>
      </c>
      <c r="Q935" s="208">
        <f t="shared" ref="Q935:Q937" si="604">IF(O935="","",IF(P935="",O935,O935*(1+P935)))</f>
        <v>1.1</v>
      </c>
      <c r="R935" s="132">
        <v>4.0</v>
      </c>
      <c r="S935" s="132">
        <v>2.0</v>
      </c>
      <c r="T935" s="65" t="s">
        <v>31</v>
      </c>
      <c r="U935" s="26"/>
      <c r="V935" s="26"/>
      <c r="W935" s="26"/>
      <c r="X935" s="26"/>
      <c r="Y935" s="26"/>
      <c r="Z935" s="26"/>
      <c r="AA935" s="26"/>
      <c r="AB935" s="26"/>
      <c r="AC935" s="26"/>
    </row>
    <row r="936" ht="33.75" customHeight="1">
      <c r="A936" s="65" t="s">
        <v>1594</v>
      </c>
      <c r="B936" s="215" t="s">
        <v>1537</v>
      </c>
      <c r="C936" s="215" t="s">
        <v>1573</v>
      </c>
      <c r="D936" s="215" t="s">
        <v>1590</v>
      </c>
      <c r="E936" s="215" t="s">
        <v>1591</v>
      </c>
      <c r="F936" s="65" t="s">
        <v>1592</v>
      </c>
      <c r="G936" s="65" t="s">
        <v>168</v>
      </c>
      <c r="H936" s="65" t="s">
        <v>168</v>
      </c>
      <c r="I936" s="65"/>
      <c r="J936" s="65" t="s">
        <v>9</v>
      </c>
      <c r="K936" s="97" t="s">
        <v>9</v>
      </c>
      <c r="L936" s="129">
        <v>1.0</v>
      </c>
      <c r="M936" s="180">
        <f t="shared" si="586"/>
        <v>1.75</v>
      </c>
      <c r="N936" s="129">
        <v>2.5</v>
      </c>
      <c r="O936" s="129">
        <f t="shared" si="603"/>
        <v>1.75</v>
      </c>
      <c r="P936" s="159">
        <v>0.15</v>
      </c>
      <c r="Q936" s="208">
        <f t="shared" si="604"/>
        <v>2.0125</v>
      </c>
      <c r="R936" s="132">
        <v>4.0</v>
      </c>
      <c r="S936" s="132">
        <v>2.0</v>
      </c>
      <c r="T936" s="65" t="s">
        <v>32</v>
      </c>
      <c r="U936" s="26"/>
      <c r="V936" s="26"/>
      <c r="W936" s="26"/>
      <c r="X936" s="26"/>
      <c r="Y936" s="26"/>
      <c r="Z936" s="26"/>
      <c r="AA936" s="26"/>
      <c r="AB936" s="26"/>
      <c r="AC936" s="26"/>
    </row>
    <row r="937" ht="33.75" customHeight="1">
      <c r="A937" s="65" t="s">
        <v>1595</v>
      </c>
      <c r="B937" s="215" t="s">
        <v>1537</v>
      </c>
      <c r="C937" s="215" t="s">
        <v>1573</v>
      </c>
      <c r="D937" s="215" t="s">
        <v>1590</v>
      </c>
      <c r="E937" s="215" t="s">
        <v>1591</v>
      </c>
      <c r="F937" s="65" t="s">
        <v>1592</v>
      </c>
      <c r="G937" s="65" t="s">
        <v>168</v>
      </c>
      <c r="H937" s="65" t="s">
        <v>168</v>
      </c>
      <c r="I937" s="65"/>
      <c r="J937" s="65" t="s">
        <v>9</v>
      </c>
      <c r="K937" s="97" t="s">
        <v>9</v>
      </c>
      <c r="L937" s="129">
        <v>0.25</v>
      </c>
      <c r="M937" s="180">
        <f t="shared" si="586"/>
        <v>0.625</v>
      </c>
      <c r="N937" s="129">
        <v>1.0</v>
      </c>
      <c r="O937" s="129">
        <f t="shared" si="603"/>
        <v>0.625</v>
      </c>
      <c r="P937" s="159">
        <v>0.1</v>
      </c>
      <c r="Q937" s="208">
        <f t="shared" si="604"/>
        <v>0.6875</v>
      </c>
      <c r="R937" s="132">
        <v>4.0</v>
      </c>
      <c r="S937" s="132">
        <v>2.0</v>
      </c>
      <c r="T937" s="65" t="s">
        <v>70</v>
      </c>
      <c r="U937" s="26"/>
      <c r="V937" s="26"/>
      <c r="W937" s="26"/>
      <c r="X937" s="26"/>
      <c r="Y937" s="26"/>
      <c r="Z937" s="26"/>
      <c r="AA937" s="26"/>
      <c r="AB937" s="26"/>
      <c r="AC937" s="26"/>
    </row>
    <row r="938" ht="33.75" customHeight="1">
      <c r="A938" s="54" t="s">
        <v>1596</v>
      </c>
      <c r="B938" s="209" t="s">
        <v>1537</v>
      </c>
      <c r="C938" s="209" t="s">
        <v>1573</v>
      </c>
      <c r="D938" s="209" t="s">
        <v>1597</v>
      </c>
      <c r="E938" s="209" t="s">
        <v>1598</v>
      </c>
      <c r="F938" s="54" t="s">
        <v>1599</v>
      </c>
      <c r="G938" s="54" t="s">
        <v>168</v>
      </c>
      <c r="H938" s="54" t="s">
        <v>168</v>
      </c>
      <c r="I938" s="54"/>
      <c r="J938" s="54" t="s">
        <v>9</v>
      </c>
      <c r="K938" s="119" t="s">
        <v>9</v>
      </c>
      <c r="L938" s="202">
        <f>IF(COUNT(L939:N941)=0,"",SUM(L939:L941))</f>
        <v>2.5</v>
      </c>
      <c r="M938" s="174">
        <f t="shared" si="586"/>
        <v>4.75</v>
      </c>
      <c r="N938" s="202">
        <f>IF(COUNT(L939:N941)=0,"",SUM(N939:N941))</f>
        <v>7</v>
      </c>
      <c r="O938" s="202">
        <f>IF(COUNT(O939:O941)=0,"",SUM(O939:O941))</f>
        <v>4.75</v>
      </c>
      <c r="P938" s="210"/>
      <c r="Q938" s="202">
        <f>IF(COUNT(Q939:Q941)=0,"",SUM(Q939:Q941))</f>
        <v>5.3625</v>
      </c>
      <c r="R938" s="163"/>
      <c r="S938" s="163"/>
      <c r="T938" s="54" t="s">
        <v>65</v>
      </c>
      <c r="U938" s="179"/>
      <c r="V938" s="179"/>
      <c r="W938" s="179"/>
      <c r="X938" s="105"/>
      <c r="Y938" s="105"/>
      <c r="Z938" s="105"/>
      <c r="AA938" s="105"/>
      <c r="AB938" s="105"/>
      <c r="AC938" s="105"/>
    </row>
    <row r="939" ht="33.75" customHeight="1">
      <c r="A939" s="65" t="s">
        <v>1600</v>
      </c>
      <c r="B939" s="215" t="s">
        <v>1537</v>
      </c>
      <c r="C939" s="215" t="s">
        <v>1573</v>
      </c>
      <c r="D939" s="215" t="s">
        <v>1597</v>
      </c>
      <c r="E939" s="215" t="s">
        <v>1598</v>
      </c>
      <c r="F939" s="65" t="s">
        <v>1599</v>
      </c>
      <c r="G939" s="65" t="s">
        <v>168</v>
      </c>
      <c r="H939" s="65" t="s">
        <v>168</v>
      </c>
      <c r="I939" s="65"/>
      <c r="J939" s="65" t="s">
        <v>9</v>
      </c>
      <c r="K939" s="97" t="s">
        <v>9</v>
      </c>
      <c r="L939" s="129">
        <v>0.5</v>
      </c>
      <c r="M939" s="180">
        <f t="shared" si="586"/>
        <v>1</v>
      </c>
      <c r="N939" s="129">
        <v>1.5</v>
      </c>
      <c r="O939" s="129">
        <f t="shared" ref="O939:O941" si="605">IF(COUNT(L939:N939)=0,"",(L939+4*M939+N939)/6)</f>
        <v>1</v>
      </c>
      <c r="P939" s="159">
        <v>0.1</v>
      </c>
      <c r="Q939" s="208">
        <f t="shared" ref="Q939:Q941" si="606">IF(O939="","",IF(P939="",O939,O939*(1+P939)))</f>
        <v>1.1</v>
      </c>
      <c r="R939" s="132">
        <v>4.0</v>
      </c>
      <c r="S939" s="132">
        <v>2.0</v>
      </c>
      <c r="T939" s="65" t="s">
        <v>31</v>
      </c>
      <c r="U939" s="26"/>
      <c r="V939" s="26"/>
      <c r="W939" s="26"/>
      <c r="X939" s="26"/>
      <c r="Y939" s="26"/>
      <c r="Z939" s="26"/>
      <c r="AA939" s="26"/>
      <c r="AB939" s="26"/>
      <c r="AC939" s="26"/>
    </row>
    <row r="940" ht="33.75" customHeight="1">
      <c r="A940" s="65" t="s">
        <v>1601</v>
      </c>
      <c r="B940" s="215" t="s">
        <v>1537</v>
      </c>
      <c r="C940" s="215" t="s">
        <v>1573</v>
      </c>
      <c r="D940" s="215" t="s">
        <v>1597</v>
      </c>
      <c r="E940" s="215" t="s">
        <v>1598</v>
      </c>
      <c r="F940" s="65" t="s">
        <v>1599</v>
      </c>
      <c r="G940" s="65" t="s">
        <v>168</v>
      </c>
      <c r="H940" s="65" t="s">
        <v>168</v>
      </c>
      <c r="I940" s="65"/>
      <c r="J940" s="65" t="s">
        <v>9</v>
      </c>
      <c r="K940" s="97" t="s">
        <v>9</v>
      </c>
      <c r="L940" s="129">
        <v>1.5</v>
      </c>
      <c r="M940" s="180">
        <f t="shared" si="586"/>
        <v>2.75</v>
      </c>
      <c r="N940" s="129">
        <v>4.0</v>
      </c>
      <c r="O940" s="129">
        <f t="shared" si="605"/>
        <v>2.75</v>
      </c>
      <c r="P940" s="159">
        <v>0.15</v>
      </c>
      <c r="Q940" s="208">
        <f t="shared" si="606"/>
        <v>3.1625</v>
      </c>
      <c r="R940" s="132">
        <v>4.0</v>
      </c>
      <c r="S940" s="132">
        <v>2.0</v>
      </c>
      <c r="T940" s="65" t="s">
        <v>32</v>
      </c>
      <c r="U940" s="26"/>
      <c r="V940" s="26"/>
      <c r="W940" s="26"/>
      <c r="X940" s="26"/>
      <c r="Y940" s="26"/>
      <c r="Z940" s="26"/>
      <c r="AA940" s="26"/>
      <c r="AB940" s="26"/>
      <c r="AC940" s="26"/>
    </row>
    <row r="941" ht="33.75" customHeight="1">
      <c r="A941" s="65" t="s">
        <v>1602</v>
      </c>
      <c r="B941" s="215" t="s">
        <v>1537</v>
      </c>
      <c r="C941" s="215" t="s">
        <v>1573</v>
      </c>
      <c r="D941" s="215" t="s">
        <v>1597</v>
      </c>
      <c r="E941" s="215" t="s">
        <v>1598</v>
      </c>
      <c r="F941" s="65" t="s">
        <v>1599</v>
      </c>
      <c r="G941" s="65" t="s">
        <v>168</v>
      </c>
      <c r="H941" s="65" t="s">
        <v>168</v>
      </c>
      <c r="I941" s="65"/>
      <c r="J941" s="65" t="s">
        <v>9</v>
      </c>
      <c r="K941" s="97" t="s">
        <v>9</v>
      </c>
      <c r="L941" s="129">
        <v>0.5</v>
      </c>
      <c r="M941" s="180">
        <f t="shared" si="586"/>
        <v>1</v>
      </c>
      <c r="N941" s="129">
        <v>1.5</v>
      </c>
      <c r="O941" s="129">
        <f t="shared" si="605"/>
        <v>1</v>
      </c>
      <c r="P941" s="159">
        <v>0.1</v>
      </c>
      <c r="Q941" s="208">
        <f t="shared" si="606"/>
        <v>1.1</v>
      </c>
      <c r="R941" s="132">
        <v>4.0</v>
      </c>
      <c r="S941" s="132">
        <v>2.0</v>
      </c>
      <c r="T941" s="65" t="s">
        <v>70</v>
      </c>
      <c r="U941" s="26"/>
      <c r="V941" s="26"/>
      <c r="W941" s="26"/>
      <c r="X941" s="26"/>
      <c r="Y941" s="26"/>
      <c r="Z941" s="26"/>
      <c r="AA941" s="26"/>
      <c r="AB941" s="26"/>
      <c r="AC941" s="26"/>
    </row>
    <row r="942" ht="33.75" customHeight="1">
      <c r="A942" s="54" t="s">
        <v>1603</v>
      </c>
      <c r="B942" s="209" t="s">
        <v>1537</v>
      </c>
      <c r="C942" s="209" t="s">
        <v>1573</v>
      </c>
      <c r="D942" s="209" t="s">
        <v>1604</v>
      </c>
      <c r="E942" s="209" t="s">
        <v>1605</v>
      </c>
      <c r="F942" s="54" t="s">
        <v>1606</v>
      </c>
      <c r="G942" s="54" t="s">
        <v>168</v>
      </c>
      <c r="H942" s="54" t="s">
        <v>168</v>
      </c>
      <c r="I942" s="54"/>
      <c r="J942" s="54" t="s">
        <v>9</v>
      </c>
      <c r="K942" s="119" t="s">
        <v>9</v>
      </c>
      <c r="L942" s="202">
        <f>IF(COUNT(L943:N945)=0,"",SUM(L943:L945))</f>
        <v>2.5</v>
      </c>
      <c r="M942" s="174">
        <f t="shared" si="586"/>
        <v>4.75</v>
      </c>
      <c r="N942" s="202">
        <f>IF(COUNT(L943:N945)=0,"",SUM(N943:N945))</f>
        <v>7</v>
      </c>
      <c r="O942" s="202">
        <f>IF(COUNT(O943:O945)=0,"",SUM(O943:O945))</f>
        <v>4.75</v>
      </c>
      <c r="P942" s="210"/>
      <c r="Q942" s="202">
        <f>IF(COUNT(Q943:Q945)=0,"",SUM(Q943:Q945))</f>
        <v>5.3625</v>
      </c>
      <c r="R942" s="163"/>
      <c r="S942" s="163"/>
      <c r="T942" s="54" t="s">
        <v>65</v>
      </c>
      <c r="U942" s="179"/>
      <c r="V942" s="179"/>
      <c r="W942" s="179"/>
      <c r="X942" s="105"/>
      <c r="Y942" s="105"/>
      <c r="Z942" s="105"/>
      <c r="AA942" s="105"/>
      <c r="AB942" s="105"/>
      <c r="AC942" s="105"/>
    </row>
    <row r="943" ht="33.75" customHeight="1">
      <c r="A943" s="65" t="s">
        <v>1607</v>
      </c>
      <c r="B943" s="215" t="s">
        <v>1537</v>
      </c>
      <c r="C943" s="215" t="s">
        <v>1573</v>
      </c>
      <c r="D943" s="215" t="s">
        <v>1604</v>
      </c>
      <c r="E943" s="215" t="s">
        <v>1605</v>
      </c>
      <c r="F943" s="65" t="s">
        <v>1606</v>
      </c>
      <c r="G943" s="65" t="s">
        <v>168</v>
      </c>
      <c r="H943" s="65" t="s">
        <v>168</v>
      </c>
      <c r="I943" s="65"/>
      <c r="J943" s="65" t="s">
        <v>9</v>
      </c>
      <c r="K943" s="97" t="s">
        <v>9</v>
      </c>
      <c r="L943" s="129">
        <v>0.5</v>
      </c>
      <c r="M943" s="180">
        <f t="shared" si="586"/>
        <v>1</v>
      </c>
      <c r="N943" s="129">
        <v>1.5</v>
      </c>
      <c r="O943" s="129">
        <f t="shared" ref="O943:O945" si="607">IF(COUNT(L943:N943)=0,"",(L943+4*M943+N943)/6)</f>
        <v>1</v>
      </c>
      <c r="P943" s="159">
        <v>0.1</v>
      </c>
      <c r="Q943" s="208">
        <f t="shared" ref="Q943:Q945" si="608">IF(O943="","",IF(P943="",O943,O943*(1+P943)))</f>
        <v>1.1</v>
      </c>
      <c r="R943" s="132">
        <v>4.0</v>
      </c>
      <c r="S943" s="132">
        <v>2.0</v>
      </c>
      <c r="T943" s="65" t="s">
        <v>31</v>
      </c>
      <c r="U943" s="26"/>
      <c r="V943" s="26"/>
      <c r="W943" s="26"/>
      <c r="X943" s="26"/>
      <c r="Y943" s="26"/>
      <c r="Z943" s="26"/>
      <c r="AA943" s="26"/>
      <c r="AB943" s="26"/>
      <c r="AC943" s="26"/>
    </row>
    <row r="944" ht="33.75" customHeight="1">
      <c r="A944" s="65" t="s">
        <v>1608</v>
      </c>
      <c r="B944" s="215" t="s">
        <v>1537</v>
      </c>
      <c r="C944" s="215" t="s">
        <v>1573</v>
      </c>
      <c r="D944" s="215" t="s">
        <v>1604</v>
      </c>
      <c r="E944" s="215" t="s">
        <v>1605</v>
      </c>
      <c r="F944" s="65" t="s">
        <v>1606</v>
      </c>
      <c r="G944" s="65" t="s">
        <v>168</v>
      </c>
      <c r="H944" s="65" t="s">
        <v>168</v>
      </c>
      <c r="I944" s="65"/>
      <c r="J944" s="65" t="s">
        <v>9</v>
      </c>
      <c r="K944" s="97" t="s">
        <v>9</v>
      </c>
      <c r="L944" s="129">
        <v>1.5</v>
      </c>
      <c r="M944" s="180">
        <f t="shared" si="586"/>
        <v>2.75</v>
      </c>
      <c r="N944" s="129">
        <v>4.0</v>
      </c>
      <c r="O944" s="129">
        <f t="shared" si="607"/>
        <v>2.75</v>
      </c>
      <c r="P944" s="159">
        <v>0.15</v>
      </c>
      <c r="Q944" s="208">
        <f t="shared" si="608"/>
        <v>3.1625</v>
      </c>
      <c r="R944" s="132">
        <v>4.0</v>
      </c>
      <c r="S944" s="132">
        <v>2.0</v>
      </c>
      <c r="T944" s="65" t="s">
        <v>32</v>
      </c>
      <c r="U944" s="26"/>
      <c r="V944" s="26"/>
      <c r="W944" s="26"/>
      <c r="X944" s="26"/>
      <c r="Y944" s="26"/>
      <c r="Z944" s="26"/>
      <c r="AA944" s="26"/>
      <c r="AB944" s="26"/>
      <c r="AC944" s="26"/>
    </row>
    <row r="945" ht="33.75" customHeight="1">
      <c r="A945" s="65" t="s">
        <v>1609</v>
      </c>
      <c r="B945" s="215" t="s">
        <v>1537</v>
      </c>
      <c r="C945" s="215" t="s">
        <v>1573</v>
      </c>
      <c r="D945" s="215" t="s">
        <v>1604</v>
      </c>
      <c r="E945" s="215" t="s">
        <v>1605</v>
      </c>
      <c r="F945" s="65" t="s">
        <v>1606</v>
      </c>
      <c r="G945" s="65" t="s">
        <v>168</v>
      </c>
      <c r="H945" s="65" t="s">
        <v>168</v>
      </c>
      <c r="I945" s="65"/>
      <c r="J945" s="65" t="s">
        <v>9</v>
      </c>
      <c r="K945" s="97" t="s">
        <v>9</v>
      </c>
      <c r="L945" s="129">
        <v>0.5</v>
      </c>
      <c r="M945" s="180">
        <f t="shared" si="586"/>
        <v>1</v>
      </c>
      <c r="N945" s="129">
        <v>1.5</v>
      </c>
      <c r="O945" s="129">
        <f t="shared" si="607"/>
        <v>1</v>
      </c>
      <c r="P945" s="159">
        <v>0.1</v>
      </c>
      <c r="Q945" s="208">
        <f t="shared" si="608"/>
        <v>1.1</v>
      </c>
      <c r="R945" s="132">
        <v>4.0</v>
      </c>
      <c r="S945" s="132">
        <v>2.0</v>
      </c>
      <c r="T945" s="65" t="s">
        <v>70</v>
      </c>
      <c r="U945" s="26"/>
      <c r="V945" s="26"/>
      <c r="W945" s="26"/>
      <c r="X945" s="26"/>
      <c r="Y945" s="26"/>
      <c r="Z945" s="26"/>
      <c r="AA945" s="26"/>
      <c r="AB945" s="26"/>
      <c r="AC945" s="26"/>
    </row>
    <row r="946" ht="33.75" customHeight="1">
      <c r="A946" s="54" t="s">
        <v>1610</v>
      </c>
      <c r="B946" s="209" t="s">
        <v>1537</v>
      </c>
      <c r="C946" s="209" t="s">
        <v>1573</v>
      </c>
      <c r="D946" s="209" t="s">
        <v>1611</v>
      </c>
      <c r="E946" s="209" t="s">
        <v>1612</v>
      </c>
      <c r="F946" s="54" t="s">
        <v>1613</v>
      </c>
      <c r="G946" s="54" t="s">
        <v>168</v>
      </c>
      <c r="H946" s="54" t="s">
        <v>168</v>
      </c>
      <c r="I946" s="54"/>
      <c r="J946" s="54" t="s">
        <v>9</v>
      </c>
      <c r="K946" s="119" t="s">
        <v>9</v>
      </c>
      <c r="L946" s="202">
        <f>IF(COUNT(L947:N949)=0,"",SUM(L947:L949))</f>
        <v>2.5</v>
      </c>
      <c r="M946" s="174">
        <f t="shared" si="586"/>
        <v>4.75</v>
      </c>
      <c r="N946" s="202">
        <f>IF(COUNT(L947:N949)=0,"",SUM(N947:N949))</f>
        <v>7</v>
      </c>
      <c r="O946" s="202">
        <f>IF(COUNT(O947:O949)=0,"",SUM(O947:O949))</f>
        <v>4.75</v>
      </c>
      <c r="P946" s="210"/>
      <c r="Q946" s="202">
        <f>IF(COUNT(Q947:Q949)=0,"",SUM(Q947:Q949))</f>
        <v>5.3625</v>
      </c>
      <c r="R946" s="163"/>
      <c r="S946" s="163"/>
      <c r="T946" s="54" t="s">
        <v>65</v>
      </c>
      <c r="U946" s="179"/>
      <c r="V946" s="179"/>
      <c r="W946" s="179"/>
      <c r="X946" s="105"/>
      <c r="Y946" s="105"/>
      <c r="Z946" s="105"/>
      <c r="AA946" s="105"/>
      <c r="AB946" s="105"/>
      <c r="AC946" s="105"/>
    </row>
    <row r="947" ht="33.75" customHeight="1">
      <c r="A947" s="65" t="s">
        <v>1614</v>
      </c>
      <c r="B947" s="215" t="s">
        <v>1537</v>
      </c>
      <c r="C947" s="215" t="s">
        <v>1573</v>
      </c>
      <c r="D947" s="215" t="s">
        <v>1611</v>
      </c>
      <c r="E947" s="215" t="s">
        <v>1612</v>
      </c>
      <c r="F947" s="65" t="s">
        <v>1613</v>
      </c>
      <c r="G947" s="65" t="s">
        <v>168</v>
      </c>
      <c r="H947" s="65" t="s">
        <v>168</v>
      </c>
      <c r="I947" s="65"/>
      <c r="J947" s="65" t="s">
        <v>9</v>
      </c>
      <c r="K947" s="97" t="s">
        <v>9</v>
      </c>
      <c r="L947" s="129">
        <v>0.5</v>
      </c>
      <c r="M947" s="180">
        <f t="shared" si="586"/>
        <v>1</v>
      </c>
      <c r="N947" s="129">
        <v>1.5</v>
      </c>
      <c r="O947" s="129">
        <f t="shared" ref="O947:O949" si="609">IF(COUNT(L947:N947)=0,"",(L947+4*M947+N947)/6)</f>
        <v>1</v>
      </c>
      <c r="P947" s="159">
        <v>0.1</v>
      </c>
      <c r="Q947" s="208">
        <f t="shared" ref="Q947:Q949" si="610">IF(O947="","",IF(P947="",O947,O947*(1+P947)))</f>
        <v>1.1</v>
      </c>
      <c r="R947" s="132">
        <v>4.0</v>
      </c>
      <c r="S947" s="132">
        <v>2.0</v>
      </c>
      <c r="T947" s="65" t="s">
        <v>31</v>
      </c>
      <c r="U947" s="26"/>
      <c r="V947" s="26"/>
      <c r="W947" s="26"/>
      <c r="X947" s="26"/>
      <c r="Y947" s="26"/>
      <c r="Z947" s="26"/>
      <c r="AA947" s="26"/>
      <c r="AB947" s="26"/>
      <c r="AC947" s="26"/>
    </row>
    <row r="948" ht="33.75" customHeight="1">
      <c r="A948" s="65" t="s">
        <v>1615</v>
      </c>
      <c r="B948" s="215" t="s">
        <v>1537</v>
      </c>
      <c r="C948" s="215" t="s">
        <v>1573</v>
      </c>
      <c r="D948" s="215" t="s">
        <v>1611</v>
      </c>
      <c r="E948" s="215" t="s">
        <v>1612</v>
      </c>
      <c r="F948" s="65" t="s">
        <v>1613</v>
      </c>
      <c r="G948" s="65" t="s">
        <v>168</v>
      </c>
      <c r="H948" s="65" t="s">
        <v>168</v>
      </c>
      <c r="I948" s="65"/>
      <c r="J948" s="65" t="s">
        <v>9</v>
      </c>
      <c r="K948" s="97" t="s">
        <v>9</v>
      </c>
      <c r="L948" s="129">
        <v>1.5</v>
      </c>
      <c r="M948" s="180">
        <f t="shared" si="586"/>
        <v>2.75</v>
      </c>
      <c r="N948" s="129">
        <v>4.0</v>
      </c>
      <c r="O948" s="129">
        <f t="shared" si="609"/>
        <v>2.75</v>
      </c>
      <c r="P948" s="159">
        <v>0.15</v>
      </c>
      <c r="Q948" s="208">
        <f t="shared" si="610"/>
        <v>3.1625</v>
      </c>
      <c r="R948" s="132">
        <v>4.0</v>
      </c>
      <c r="S948" s="132">
        <v>2.0</v>
      </c>
      <c r="T948" s="65" t="s">
        <v>32</v>
      </c>
      <c r="U948" s="26"/>
      <c r="V948" s="26"/>
      <c r="W948" s="26"/>
      <c r="X948" s="26"/>
      <c r="Y948" s="26"/>
      <c r="Z948" s="26"/>
      <c r="AA948" s="26"/>
      <c r="AB948" s="26"/>
      <c r="AC948" s="26"/>
    </row>
    <row r="949" ht="33.75" customHeight="1">
      <c r="A949" s="65" t="s">
        <v>1616</v>
      </c>
      <c r="B949" s="215" t="s">
        <v>1537</v>
      </c>
      <c r="C949" s="215" t="s">
        <v>1573</v>
      </c>
      <c r="D949" s="215" t="s">
        <v>1611</v>
      </c>
      <c r="E949" s="215" t="s">
        <v>1612</v>
      </c>
      <c r="F949" s="65" t="s">
        <v>1613</v>
      </c>
      <c r="G949" s="65" t="s">
        <v>168</v>
      </c>
      <c r="H949" s="65" t="s">
        <v>168</v>
      </c>
      <c r="I949" s="65"/>
      <c r="J949" s="65" t="s">
        <v>9</v>
      </c>
      <c r="K949" s="97" t="s">
        <v>9</v>
      </c>
      <c r="L949" s="129">
        <v>0.5</v>
      </c>
      <c r="M949" s="180">
        <f t="shared" si="586"/>
        <v>1</v>
      </c>
      <c r="N949" s="129">
        <v>1.5</v>
      </c>
      <c r="O949" s="129">
        <f t="shared" si="609"/>
        <v>1</v>
      </c>
      <c r="P949" s="159">
        <v>0.1</v>
      </c>
      <c r="Q949" s="208">
        <f t="shared" si="610"/>
        <v>1.1</v>
      </c>
      <c r="R949" s="132">
        <v>4.0</v>
      </c>
      <c r="S949" s="132">
        <v>2.0</v>
      </c>
      <c r="T949" s="65" t="s">
        <v>70</v>
      </c>
      <c r="U949" s="26"/>
      <c r="V949" s="26"/>
      <c r="W949" s="26"/>
      <c r="X949" s="26"/>
      <c r="Y949" s="26"/>
      <c r="Z949" s="26"/>
      <c r="AA949" s="26"/>
      <c r="AB949" s="26"/>
      <c r="AC949" s="26"/>
    </row>
    <row r="950" ht="33.75" customHeight="1">
      <c r="A950" s="54" t="s">
        <v>1617</v>
      </c>
      <c r="B950" s="209" t="s">
        <v>1537</v>
      </c>
      <c r="C950" s="209" t="s">
        <v>1573</v>
      </c>
      <c r="D950" s="209" t="s">
        <v>1618</v>
      </c>
      <c r="E950" s="209" t="s">
        <v>1619</v>
      </c>
      <c r="F950" s="54" t="s">
        <v>1620</v>
      </c>
      <c r="G950" s="54" t="s">
        <v>168</v>
      </c>
      <c r="H950" s="54" t="s">
        <v>168</v>
      </c>
      <c r="I950" s="54"/>
      <c r="J950" s="54" t="s">
        <v>9</v>
      </c>
      <c r="K950" s="119" t="s">
        <v>9</v>
      </c>
      <c r="L950" s="202">
        <f>IF(COUNT(L951:N953)=0,"",SUM(L951:L953))</f>
        <v>2.5</v>
      </c>
      <c r="M950" s="174">
        <f t="shared" si="586"/>
        <v>4.75</v>
      </c>
      <c r="N950" s="202">
        <f>IF(COUNT(L951:N953)=0,"",SUM(N951:N953))</f>
        <v>7</v>
      </c>
      <c r="O950" s="202">
        <f>IF(COUNT(O951:O953)=0,"",SUM(O951:O953))</f>
        <v>4.75</v>
      </c>
      <c r="P950" s="210"/>
      <c r="Q950" s="202">
        <f>IF(COUNT(Q951:Q953)=0,"",SUM(Q951:Q953))</f>
        <v>5.3625</v>
      </c>
      <c r="R950" s="163"/>
      <c r="S950" s="163"/>
      <c r="T950" s="54" t="s">
        <v>65</v>
      </c>
      <c r="U950" s="179"/>
      <c r="V950" s="179"/>
      <c r="W950" s="179"/>
      <c r="X950" s="105"/>
      <c r="Y950" s="105"/>
      <c r="Z950" s="105"/>
      <c r="AA950" s="105"/>
      <c r="AB950" s="105"/>
      <c r="AC950" s="105"/>
    </row>
    <row r="951" ht="33.75" customHeight="1">
      <c r="A951" s="65" t="s">
        <v>1621</v>
      </c>
      <c r="B951" s="215" t="s">
        <v>1537</v>
      </c>
      <c r="C951" s="215" t="s">
        <v>1573</v>
      </c>
      <c r="D951" s="215" t="s">
        <v>1618</v>
      </c>
      <c r="E951" s="215" t="s">
        <v>1619</v>
      </c>
      <c r="F951" s="65" t="s">
        <v>1620</v>
      </c>
      <c r="G951" s="65" t="s">
        <v>168</v>
      </c>
      <c r="H951" s="65" t="s">
        <v>168</v>
      </c>
      <c r="I951" s="65"/>
      <c r="J951" s="65" t="s">
        <v>9</v>
      </c>
      <c r="K951" s="97" t="s">
        <v>9</v>
      </c>
      <c r="L951" s="129">
        <v>0.5</v>
      </c>
      <c r="M951" s="180">
        <f t="shared" si="586"/>
        <v>1</v>
      </c>
      <c r="N951" s="129">
        <v>1.5</v>
      </c>
      <c r="O951" s="129">
        <f t="shared" ref="O951:O953" si="611">IF(COUNT(L951:N951)=0,"",(L951+4*M951+N951)/6)</f>
        <v>1</v>
      </c>
      <c r="P951" s="159">
        <v>0.1</v>
      </c>
      <c r="Q951" s="208">
        <f t="shared" ref="Q951:Q953" si="612">IF(O951="","",IF(P951="",O951,O951*(1+P951)))</f>
        <v>1.1</v>
      </c>
      <c r="R951" s="132">
        <v>4.0</v>
      </c>
      <c r="S951" s="132">
        <v>2.0</v>
      </c>
      <c r="T951" s="65" t="s">
        <v>31</v>
      </c>
      <c r="U951" s="26"/>
      <c r="V951" s="26"/>
      <c r="W951" s="26"/>
      <c r="X951" s="26"/>
      <c r="Y951" s="26"/>
      <c r="Z951" s="26"/>
      <c r="AA951" s="26"/>
      <c r="AB951" s="26"/>
      <c r="AC951" s="26"/>
    </row>
    <row r="952" ht="33.75" customHeight="1">
      <c r="A952" s="65" t="s">
        <v>1622</v>
      </c>
      <c r="B952" s="215" t="s">
        <v>1537</v>
      </c>
      <c r="C952" s="215" t="s">
        <v>1573</v>
      </c>
      <c r="D952" s="215" t="s">
        <v>1618</v>
      </c>
      <c r="E952" s="215" t="s">
        <v>1619</v>
      </c>
      <c r="F952" s="65" t="s">
        <v>1620</v>
      </c>
      <c r="G952" s="65" t="s">
        <v>168</v>
      </c>
      <c r="H952" s="65" t="s">
        <v>168</v>
      </c>
      <c r="I952" s="65"/>
      <c r="J952" s="65" t="s">
        <v>9</v>
      </c>
      <c r="K952" s="97" t="s">
        <v>9</v>
      </c>
      <c r="L952" s="129">
        <v>1.5</v>
      </c>
      <c r="M952" s="180">
        <f t="shared" si="586"/>
        <v>2.75</v>
      </c>
      <c r="N952" s="129">
        <v>4.0</v>
      </c>
      <c r="O952" s="129">
        <f t="shared" si="611"/>
        <v>2.75</v>
      </c>
      <c r="P952" s="159">
        <v>0.15</v>
      </c>
      <c r="Q952" s="208">
        <f t="shared" si="612"/>
        <v>3.1625</v>
      </c>
      <c r="R952" s="132">
        <v>4.0</v>
      </c>
      <c r="S952" s="132">
        <v>2.0</v>
      </c>
      <c r="T952" s="65" t="s">
        <v>32</v>
      </c>
      <c r="U952" s="26"/>
      <c r="V952" s="26"/>
      <c r="W952" s="26"/>
      <c r="X952" s="26"/>
      <c r="Y952" s="26"/>
      <c r="Z952" s="26"/>
      <c r="AA952" s="26"/>
      <c r="AB952" s="26"/>
      <c r="AC952" s="26"/>
    </row>
    <row r="953" ht="33.75" customHeight="1">
      <c r="A953" s="65" t="s">
        <v>1623</v>
      </c>
      <c r="B953" s="215" t="s">
        <v>1537</v>
      </c>
      <c r="C953" s="215" t="s">
        <v>1573</v>
      </c>
      <c r="D953" s="215" t="s">
        <v>1618</v>
      </c>
      <c r="E953" s="215" t="s">
        <v>1619</v>
      </c>
      <c r="F953" s="65" t="s">
        <v>1620</v>
      </c>
      <c r="G953" s="65" t="s">
        <v>168</v>
      </c>
      <c r="H953" s="65" t="s">
        <v>168</v>
      </c>
      <c r="I953" s="65"/>
      <c r="J953" s="65" t="s">
        <v>9</v>
      </c>
      <c r="K953" s="97" t="s">
        <v>9</v>
      </c>
      <c r="L953" s="129">
        <v>0.5</v>
      </c>
      <c r="M953" s="180">
        <f t="shared" si="586"/>
        <v>1</v>
      </c>
      <c r="N953" s="129">
        <v>1.5</v>
      </c>
      <c r="O953" s="129">
        <f t="shared" si="611"/>
        <v>1</v>
      </c>
      <c r="P953" s="159">
        <v>0.1</v>
      </c>
      <c r="Q953" s="208">
        <f t="shared" si="612"/>
        <v>1.1</v>
      </c>
      <c r="R953" s="132">
        <v>4.0</v>
      </c>
      <c r="S953" s="132">
        <v>2.0</v>
      </c>
      <c r="T953" s="65" t="s">
        <v>70</v>
      </c>
      <c r="U953" s="26"/>
      <c r="V953" s="26"/>
      <c r="W953" s="26"/>
      <c r="X953" s="26"/>
      <c r="Y953" s="26"/>
      <c r="Z953" s="26"/>
      <c r="AA953" s="26"/>
      <c r="AB953" s="26"/>
      <c r="AC953" s="26"/>
    </row>
    <row r="954" ht="33.75" customHeight="1">
      <c r="A954" s="54" t="s">
        <v>1624</v>
      </c>
      <c r="B954" s="209" t="s">
        <v>1537</v>
      </c>
      <c r="C954" s="209" t="s">
        <v>1573</v>
      </c>
      <c r="D954" s="209" t="s">
        <v>1625</v>
      </c>
      <c r="E954" s="209" t="s">
        <v>1626</v>
      </c>
      <c r="F954" s="54" t="s">
        <v>1627</v>
      </c>
      <c r="G954" s="54" t="s">
        <v>168</v>
      </c>
      <c r="H954" s="54" t="s">
        <v>168</v>
      </c>
      <c r="I954" s="54"/>
      <c r="J954" s="54" t="s">
        <v>9</v>
      </c>
      <c r="K954" s="119" t="s">
        <v>9</v>
      </c>
      <c r="L954" s="202">
        <f>IF(COUNT(L955:N957)=0,"",SUM(L955:L957))</f>
        <v>2.75</v>
      </c>
      <c r="M954" s="174">
        <f t="shared" si="586"/>
        <v>5.375</v>
      </c>
      <c r="N954" s="202">
        <f>IF(COUNT(L955:N957)=0,"",SUM(N955:N957))</f>
        <v>8</v>
      </c>
      <c r="O954" s="202">
        <f>IF(COUNT(O955:O957)=0,"",SUM(O955:O957))</f>
        <v>5.375</v>
      </c>
      <c r="P954" s="210"/>
      <c r="Q954" s="202">
        <f>IF(COUNT(Q955:Q957)=0,"",SUM(Q955:Q957))</f>
        <v>6.05</v>
      </c>
      <c r="R954" s="163"/>
      <c r="S954" s="163"/>
      <c r="T954" s="54" t="s">
        <v>65</v>
      </c>
      <c r="U954" s="179"/>
      <c r="V954" s="179"/>
      <c r="W954" s="179"/>
      <c r="X954" s="105"/>
      <c r="Y954" s="105"/>
      <c r="Z954" s="105"/>
      <c r="AA954" s="105"/>
      <c r="AB954" s="105"/>
      <c r="AC954" s="105"/>
    </row>
    <row r="955" ht="33.75" customHeight="1">
      <c r="A955" s="65" t="s">
        <v>1628</v>
      </c>
      <c r="B955" s="215" t="s">
        <v>1537</v>
      </c>
      <c r="C955" s="215" t="s">
        <v>1573</v>
      </c>
      <c r="D955" s="215" t="s">
        <v>1625</v>
      </c>
      <c r="E955" s="215" t="s">
        <v>1626</v>
      </c>
      <c r="F955" s="65" t="s">
        <v>1627</v>
      </c>
      <c r="G955" s="65" t="s">
        <v>168</v>
      </c>
      <c r="H955" s="65" t="s">
        <v>168</v>
      </c>
      <c r="I955" s="65"/>
      <c r="J955" s="65" t="s">
        <v>9</v>
      </c>
      <c r="K955" s="97" t="s">
        <v>9</v>
      </c>
      <c r="L955" s="129">
        <v>0.75</v>
      </c>
      <c r="M955" s="180">
        <f t="shared" si="586"/>
        <v>1.625</v>
      </c>
      <c r="N955" s="129">
        <v>2.5</v>
      </c>
      <c r="O955" s="129">
        <f t="shared" ref="O955:O957" si="613">IF(COUNT(L955:N955)=0,"",(L955+4*M955+N955)/6)</f>
        <v>1.625</v>
      </c>
      <c r="P955" s="159">
        <v>0.1</v>
      </c>
      <c r="Q955" s="208">
        <f t="shared" ref="Q955:Q957" si="614">IF(O955="","",IF(P955="",O955,O955*(1+P955)))</f>
        <v>1.7875</v>
      </c>
      <c r="R955" s="132">
        <v>4.0</v>
      </c>
      <c r="S955" s="132">
        <v>2.0</v>
      </c>
      <c r="T955" s="65" t="s">
        <v>31</v>
      </c>
      <c r="U955" s="26"/>
      <c r="V955" s="26"/>
      <c r="W955" s="26"/>
      <c r="X955" s="26"/>
      <c r="Y955" s="26"/>
      <c r="Z955" s="26"/>
      <c r="AA955" s="26"/>
      <c r="AB955" s="26"/>
      <c r="AC955" s="26"/>
    </row>
    <row r="956" ht="33.75" customHeight="1">
      <c r="A956" s="65" t="s">
        <v>1629</v>
      </c>
      <c r="B956" s="215" t="s">
        <v>1537</v>
      </c>
      <c r="C956" s="215" t="s">
        <v>1573</v>
      </c>
      <c r="D956" s="215" t="s">
        <v>1625</v>
      </c>
      <c r="E956" s="215" t="s">
        <v>1626</v>
      </c>
      <c r="F956" s="65" t="s">
        <v>1627</v>
      </c>
      <c r="G956" s="65" t="s">
        <v>168</v>
      </c>
      <c r="H956" s="65" t="s">
        <v>168</v>
      </c>
      <c r="I956" s="65"/>
      <c r="J956" s="65" t="s">
        <v>9</v>
      </c>
      <c r="K956" s="97" t="s">
        <v>9</v>
      </c>
      <c r="L956" s="129">
        <v>1.5</v>
      </c>
      <c r="M956" s="180">
        <f t="shared" si="586"/>
        <v>2.75</v>
      </c>
      <c r="N956" s="129">
        <v>4.0</v>
      </c>
      <c r="O956" s="129">
        <f t="shared" si="613"/>
        <v>2.75</v>
      </c>
      <c r="P956" s="159">
        <v>0.15</v>
      </c>
      <c r="Q956" s="208">
        <f t="shared" si="614"/>
        <v>3.1625</v>
      </c>
      <c r="R956" s="132">
        <v>4.0</v>
      </c>
      <c r="S956" s="132">
        <v>2.0</v>
      </c>
      <c r="T956" s="65" t="s">
        <v>32</v>
      </c>
      <c r="U956" s="26"/>
      <c r="V956" s="26"/>
      <c r="W956" s="26"/>
      <c r="X956" s="26"/>
      <c r="Y956" s="26"/>
      <c r="Z956" s="26"/>
      <c r="AA956" s="26"/>
      <c r="AB956" s="26"/>
      <c r="AC956" s="26"/>
    </row>
    <row r="957" ht="33.75" customHeight="1">
      <c r="A957" s="65" t="s">
        <v>1630</v>
      </c>
      <c r="B957" s="215" t="s">
        <v>1537</v>
      </c>
      <c r="C957" s="215" t="s">
        <v>1573</v>
      </c>
      <c r="D957" s="215" t="s">
        <v>1625</v>
      </c>
      <c r="E957" s="215" t="s">
        <v>1626</v>
      </c>
      <c r="F957" s="65" t="s">
        <v>1627</v>
      </c>
      <c r="G957" s="65" t="s">
        <v>168</v>
      </c>
      <c r="H957" s="65" t="s">
        <v>168</v>
      </c>
      <c r="I957" s="65"/>
      <c r="J957" s="65" t="s">
        <v>9</v>
      </c>
      <c r="K957" s="97" t="s">
        <v>9</v>
      </c>
      <c r="L957" s="129">
        <v>0.5</v>
      </c>
      <c r="M957" s="180">
        <f t="shared" si="586"/>
        <v>1</v>
      </c>
      <c r="N957" s="129">
        <v>1.5</v>
      </c>
      <c r="O957" s="129">
        <f t="shared" si="613"/>
        <v>1</v>
      </c>
      <c r="P957" s="159">
        <v>0.1</v>
      </c>
      <c r="Q957" s="208">
        <f t="shared" si="614"/>
        <v>1.1</v>
      </c>
      <c r="R957" s="132">
        <v>4.0</v>
      </c>
      <c r="S957" s="132">
        <v>2.0</v>
      </c>
      <c r="T957" s="65" t="s">
        <v>70</v>
      </c>
      <c r="U957" s="26"/>
      <c r="V957" s="26"/>
      <c r="W957" s="26"/>
      <c r="X957" s="26"/>
      <c r="Y957" s="26"/>
      <c r="Z957" s="26"/>
      <c r="AA957" s="26"/>
      <c r="AB957" s="26"/>
      <c r="AC957" s="26"/>
    </row>
    <row r="958" ht="33.75" customHeight="1">
      <c r="A958" s="54" t="s">
        <v>1631</v>
      </c>
      <c r="B958" s="209" t="s">
        <v>1537</v>
      </c>
      <c r="C958" s="209" t="s">
        <v>1573</v>
      </c>
      <c r="D958" s="209" t="s">
        <v>1632</v>
      </c>
      <c r="E958" s="209" t="s">
        <v>1633</v>
      </c>
      <c r="F958" s="54" t="s">
        <v>1634</v>
      </c>
      <c r="G958" s="54" t="s">
        <v>168</v>
      </c>
      <c r="H958" s="54" t="s">
        <v>168</v>
      </c>
      <c r="I958" s="54"/>
      <c r="J958" s="54" t="s">
        <v>9</v>
      </c>
      <c r="K958" s="119" t="s">
        <v>9</v>
      </c>
      <c r="L958" s="202">
        <f>IF(COUNT(L959:N961)=0,"",SUM(L959:L961))</f>
        <v>1.75</v>
      </c>
      <c r="M958" s="174">
        <f t="shared" si="586"/>
        <v>3.375</v>
      </c>
      <c r="N958" s="202">
        <f>IF(COUNT(L959:N961)=0,"",SUM(N959:N961))</f>
        <v>5</v>
      </c>
      <c r="O958" s="202">
        <f>IF(COUNT(O959:O961)=0,"",SUM(O959:O961))</f>
        <v>3.375</v>
      </c>
      <c r="P958" s="210"/>
      <c r="Q958" s="202">
        <f>IF(COUNT(Q959:Q961)=0,"",SUM(Q959:Q961))</f>
        <v>3.8</v>
      </c>
      <c r="R958" s="163"/>
      <c r="S958" s="163"/>
      <c r="T958" s="54" t="s">
        <v>65</v>
      </c>
      <c r="U958" s="179"/>
      <c r="V958" s="179"/>
      <c r="W958" s="179"/>
      <c r="X958" s="105"/>
      <c r="Y958" s="105"/>
      <c r="Z958" s="105"/>
      <c r="AA958" s="105"/>
      <c r="AB958" s="105"/>
      <c r="AC958" s="105"/>
    </row>
    <row r="959" ht="33.75" customHeight="1">
      <c r="A959" s="65" t="s">
        <v>1635</v>
      </c>
      <c r="B959" s="215" t="s">
        <v>1537</v>
      </c>
      <c r="C959" s="215" t="s">
        <v>1573</v>
      </c>
      <c r="D959" s="215" t="s">
        <v>1632</v>
      </c>
      <c r="E959" s="215" t="s">
        <v>1633</v>
      </c>
      <c r="F959" s="65" t="s">
        <v>1634</v>
      </c>
      <c r="G959" s="65" t="s">
        <v>168</v>
      </c>
      <c r="H959" s="65" t="s">
        <v>168</v>
      </c>
      <c r="I959" s="65"/>
      <c r="J959" s="65" t="s">
        <v>9</v>
      </c>
      <c r="K959" s="97" t="s">
        <v>9</v>
      </c>
      <c r="L959" s="129">
        <v>0.5</v>
      </c>
      <c r="M959" s="180">
        <f t="shared" si="586"/>
        <v>1</v>
      </c>
      <c r="N959" s="129">
        <v>1.5</v>
      </c>
      <c r="O959" s="129">
        <f t="shared" ref="O959:O961" si="615">IF(COUNT(L959:N959)=0,"",(L959+4*M959+N959)/6)</f>
        <v>1</v>
      </c>
      <c r="P959" s="159">
        <v>0.1</v>
      </c>
      <c r="Q959" s="208">
        <f t="shared" ref="Q959:Q961" si="616">IF(O959="","",IF(P959="",O959,O959*(1+P959)))</f>
        <v>1.1</v>
      </c>
      <c r="R959" s="132">
        <v>4.0</v>
      </c>
      <c r="S959" s="132">
        <v>2.0</v>
      </c>
      <c r="T959" s="65" t="s">
        <v>31</v>
      </c>
      <c r="U959" s="26"/>
      <c r="V959" s="26"/>
      <c r="W959" s="26"/>
      <c r="X959" s="26"/>
      <c r="Y959" s="26"/>
      <c r="Z959" s="26"/>
      <c r="AA959" s="26"/>
      <c r="AB959" s="26"/>
      <c r="AC959" s="26"/>
    </row>
    <row r="960" ht="33.75" customHeight="1">
      <c r="A960" s="65" t="s">
        <v>1636</v>
      </c>
      <c r="B960" s="215" t="s">
        <v>1537</v>
      </c>
      <c r="C960" s="215" t="s">
        <v>1573</v>
      </c>
      <c r="D960" s="215" t="s">
        <v>1632</v>
      </c>
      <c r="E960" s="215" t="s">
        <v>1633</v>
      </c>
      <c r="F960" s="65" t="s">
        <v>1634</v>
      </c>
      <c r="G960" s="65" t="s">
        <v>168</v>
      </c>
      <c r="H960" s="65" t="s">
        <v>168</v>
      </c>
      <c r="I960" s="65"/>
      <c r="J960" s="65" t="s">
        <v>9</v>
      </c>
      <c r="K960" s="97" t="s">
        <v>9</v>
      </c>
      <c r="L960" s="129">
        <v>1.0</v>
      </c>
      <c r="M960" s="180">
        <f t="shared" si="586"/>
        <v>1.75</v>
      </c>
      <c r="N960" s="129">
        <v>2.5</v>
      </c>
      <c r="O960" s="129">
        <f t="shared" si="615"/>
        <v>1.75</v>
      </c>
      <c r="P960" s="159">
        <v>0.15</v>
      </c>
      <c r="Q960" s="208">
        <f t="shared" si="616"/>
        <v>2.0125</v>
      </c>
      <c r="R960" s="132">
        <v>4.0</v>
      </c>
      <c r="S960" s="132">
        <v>2.0</v>
      </c>
      <c r="T960" s="65" t="s">
        <v>32</v>
      </c>
      <c r="U960" s="26"/>
      <c r="V960" s="26"/>
      <c r="W960" s="26"/>
      <c r="X960" s="26"/>
      <c r="Y960" s="26"/>
      <c r="Z960" s="26"/>
      <c r="AA960" s="26"/>
      <c r="AB960" s="26"/>
      <c r="AC960" s="26"/>
    </row>
    <row r="961" ht="33.75" customHeight="1">
      <c r="A961" s="65" t="s">
        <v>1637</v>
      </c>
      <c r="B961" s="215" t="s">
        <v>1537</v>
      </c>
      <c r="C961" s="215" t="s">
        <v>1573</v>
      </c>
      <c r="D961" s="215" t="s">
        <v>1632</v>
      </c>
      <c r="E961" s="215" t="s">
        <v>1633</v>
      </c>
      <c r="F961" s="65" t="s">
        <v>1634</v>
      </c>
      <c r="G961" s="65" t="s">
        <v>168</v>
      </c>
      <c r="H961" s="65" t="s">
        <v>168</v>
      </c>
      <c r="I961" s="65"/>
      <c r="J961" s="65" t="s">
        <v>9</v>
      </c>
      <c r="K961" s="97" t="s">
        <v>9</v>
      </c>
      <c r="L961" s="129">
        <v>0.25</v>
      </c>
      <c r="M961" s="180">
        <f t="shared" si="586"/>
        <v>0.625</v>
      </c>
      <c r="N961" s="129">
        <v>1.0</v>
      </c>
      <c r="O961" s="129">
        <f t="shared" si="615"/>
        <v>0.625</v>
      </c>
      <c r="P961" s="159">
        <v>0.1</v>
      </c>
      <c r="Q961" s="208">
        <f t="shared" si="616"/>
        <v>0.6875</v>
      </c>
      <c r="R961" s="132">
        <v>4.0</v>
      </c>
      <c r="S961" s="132">
        <v>2.0</v>
      </c>
      <c r="T961" s="65" t="s">
        <v>70</v>
      </c>
      <c r="U961" s="26"/>
      <c r="V961" s="26"/>
      <c r="W961" s="26"/>
      <c r="X961" s="26"/>
      <c r="Y961" s="26"/>
      <c r="Z961" s="26"/>
      <c r="AA961" s="26"/>
      <c r="AB961" s="26"/>
      <c r="AC961" s="26"/>
    </row>
    <row r="962" ht="33.75" customHeight="1">
      <c r="A962" s="54" t="s">
        <v>1638</v>
      </c>
      <c r="B962" s="209" t="s">
        <v>1537</v>
      </c>
      <c r="C962" s="209" t="s">
        <v>1573</v>
      </c>
      <c r="D962" s="209" t="s">
        <v>1639</v>
      </c>
      <c r="E962" s="209" t="s">
        <v>1640</v>
      </c>
      <c r="F962" s="54" t="s">
        <v>1641</v>
      </c>
      <c r="G962" s="54" t="s">
        <v>154</v>
      </c>
      <c r="H962" s="54" t="s">
        <v>154</v>
      </c>
      <c r="I962" s="54"/>
      <c r="J962" s="54" t="s">
        <v>9</v>
      </c>
      <c r="K962" s="119" t="s">
        <v>9</v>
      </c>
      <c r="L962" s="202">
        <f>IF(COUNT(L963:N965)=0,"",SUM(L963:L965))</f>
        <v>1.25</v>
      </c>
      <c r="M962" s="174">
        <f t="shared" si="586"/>
        <v>2.125</v>
      </c>
      <c r="N962" s="202">
        <f>IF(COUNT(L963:N965)=0,"",SUM(N963:N965))</f>
        <v>3</v>
      </c>
      <c r="O962" s="202">
        <f>IF(COUNT(O963:O965)=0,"",SUM(O963:O965))</f>
        <v>2.125</v>
      </c>
      <c r="P962" s="210"/>
      <c r="Q962" s="202">
        <f>IF(COUNT(Q963:Q965)=0,"",SUM(Q963:Q965))</f>
        <v>2.2875</v>
      </c>
      <c r="R962" s="163"/>
      <c r="S962" s="163"/>
      <c r="T962" s="54" t="s">
        <v>65</v>
      </c>
      <c r="U962" s="179"/>
      <c r="V962" s="179"/>
      <c r="W962" s="179"/>
      <c r="X962" s="105"/>
      <c r="Y962" s="105"/>
      <c r="Z962" s="105"/>
      <c r="AA962" s="105"/>
      <c r="AB962" s="105"/>
      <c r="AC962" s="105"/>
    </row>
    <row r="963" ht="33.75" customHeight="1">
      <c r="A963" s="65" t="s">
        <v>1642</v>
      </c>
      <c r="B963" s="215" t="s">
        <v>1537</v>
      </c>
      <c r="C963" s="215" t="s">
        <v>1573</v>
      </c>
      <c r="D963" s="215" t="s">
        <v>1639</v>
      </c>
      <c r="E963" s="215" t="s">
        <v>1640</v>
      </c>
      <c r="F963" s="65" t="s">
        <v>1641</v>
      </c>
      <c r="G963" s="65" t="s">
        <v>154</v>
      </c>
      <c r="H963" s="65" t="s">
        <v>154</v>
      </c>
      <c r="I963" s="65"/>
      <c r="J963" s="65" t="s">
        <v>9</v>
      </c>
      <c r="K963" s="97" t="s">
        <v>9</v>
      </c>
      <c r="L963" s="129">
        <v>0.25</v>
      </c>
      <c r="M963" s="180">
        <f t="shared" si="586"/>
        <v>0.625</v>
      </c>
      <c r="N963" s="129">
        <v>1.0</v>
      </c>
      <c r="O963" s="129">
        <f t="shared" ref="O963:O965" si="617">IF(COUNT(L963:N963)=0,"",(L963+4*M963+N963)/6)</f>
        <v>0.625</v>
      </c>
      <c r="P963" s="159">
        <v>0.05</v>
      </c>
      <c r="Q963" s="208">
        <f t="shared" ref="Q963:Q965" si="618">IF(O963="","",IF(P963="",O963,O963*(1+P963)))</f>
        <v>0.65625</v>
      </c>
      <c r="R963" s="132">
        <v>5.0</v>
      </c>
      <c r="S963" s="132">
        <v>1.0</v>
      </c>
      <c r="T963" s="65" t="s">
        <v>31</v>
      </c>
      <c r="U963" s="26"/>
      <c r="V963" s="26"/>
      <c r="W963" s="26"/>
      <c r="X963" s="26"/>
      <c r="Y963" s="26"/>
      <c r="Z963" s="26"/>
      <c r="AA963" s="26"/>
      <c r="AB963" s="26"/>
      <c r="AC963" s="26"/>
    </row>
    <row r="964" ht="33.75" customHeight="1">
      <c r="A964" s="65" t="s">
        <v>1643</v>
      </c>
      <c r="B964" s="215" t="s">
        <v>1537</v>
      </c>
      <c r="C964" s="215" t="s">
        <v>1573</v>
      </c>
      <c r="D964" s="215" t="s">
        <v>1639</v>
      </c>
      <c r="E964" s="215" t="s">
        <v>1640</v>
      </c>
      <c r="F964" s="65" t="s">
        <v>1641</v>
      </c>
      <c r="G964" s="65" t="s">
        <v>154</v>
      </c>
      <c r="H964" s="65" t="s">
        <v>154</v>
      </c>
      <c r="I964" s="65"/>
      <c r="J964" s="65" t="s">
        <v>9</v>
      </c>
      <c r="K964" s="97" t="s">
        <v>9</v>
      </c>
      <c r="L964" s="129">
        <v>0.75</v>
      </c>
      <c r="M964" s="180">
        <f t="shared" si="586"/>
        <v>1.125</v>
      </c>
      <c r="N964" s="129">
        <v>1.5</v>
      </c>
      <c r="O964" s="129">
        <f t="shared" si="617"/>
        <v>1.125</v>
      </c>
      <c r="P964" s="159">
        <v>0.1</v>
      </c>
      <c r="Q964" s="208">
        <f t="shared" si="618"/>
        <v>1.2375</v>
      </c>
      <c r="R964" s="132">
        <v>5.0</v>
      </c>
      <c r="S964" s="132">
        <v>1.0</v>
      </c>
      <c r="T964" s="65" t="s">
        <v>32</v>
      </c>
      <c r="U964" s="26"/>
      <c r="V964" s="26"/>
      <c r="W964" s="26"/>
      <c r="X964" s="26"/>
      <c r="Y964" s="26"/>
      <c r="Z964" s="26"/>
      <c r="AA964" s="26"/>
      <c r="AB964" s="26"/>
      <c r="AC964" s="26"/>
    </row>
    <row r="965" ht="33.75" customHeight="1">
      <c r="A965" s="65" t="s">
        <v>1644</v>
      </c>
      <c r="B965" s="215" t="s">
        <v>1537</v>
      </c>
      <c r="C965" s="215" t="s">
        <v>1573</v>
      </c>
      <c r="D965" s="215" t="s">
        <v>1639</v>
      </c>
      <c r="E965" s="215" t="s">
        <v>1640</v>
      </c>
      <c r="F965" s="65" t="s">
        <v>1641</v>
      </c>
      <c r="G965" s="65" t="s">
        <v>154</v>
      </c>
      <c r="H965" s="65" t="s">
        <v>154</v>
      </c>
      <c r="I965" s="65"/>
      <c r="J965" s="65" t="s">
        <v>9</v>
      </c>
      <c r="K965" s="97" t="s">
        <v>9</v>
      </c>
      <c r="L965" s="129">
        <v>0.25</v>
      </c>
      <c r="M965" s="180">
        <f t="shared" si="586"/>
        <v>0.375</v>
      </c>
      <c r="N965" s="129">
        <v>0.5</v>
      </c>
      <c r="O965" s="129">
        <f t="shared" si="617"/>
        <v>0.375</v>
      </c>
      <c r="P965" s="159">
        <v>0.05</v>
      </c>
      <c r="Q965" s="208">
        <f t="shared" si="618"/>
        <v>0.39375</v>
      </c>
      <c r="R965" s="132">
        <v>5.0</v>
      </c>
      <c r="S965" s="132">
        <v>1.0</v>
      </c>
      <c r="T965" s="65" t="s">
        <v>70</v>
      </c>
      <c r="U965" s="26"/>
      <c r="V965" s="26"/>
      <c r="W965" s="26"/>
      <c r="X965" s="26"/>
      <c r="Y965" s="26"/>
      <c r="Z965" s="26"/>
      <c r="AA965" s="26"/>
      <c r="AB965" s="26"/>
      <c r="AC965" s="26"/>
    </row>
    <row r="966" ht="33.75" customHeight="1">
      <c r="A966" s="45" t="s">
        <v>1645</v>
      </c>
      <c r="B966" s="212" t="s">
        <v>1537</v>
      </c>
      <c r="C966" s="212" t="s">
        <v>1646</v>
      </c>
      <c r="D966" s="212" t="s">
        <v>1646</v>
      </c>
      <c r="E966" s="212" t="s">
        <v>1647</v>
      </c>
      <c r="F966" s="45"/>
      <c r="G966" s="45"/>
      <c r="H966" s="45"/>
      <c r="I966" s="45"/>
      <c r="J966" s="45"/>
      <c r="K966" s="123"/>
      <c r="L966" s="213">
        <f>IF(COUNT(L967,L971,L975,L979)=0,"",SUM(L967,L971,L975,L979))</f>
        <v>4.75</v>
      </c>
      <c r="M966" s="213">
        <f t="shared" si="586"/>
        <v>9</v>
      </c>
      <c r="N966" s="213">
        <f t="shared" ref="N966:O966" si="619">IF(COUNT(N967,N971,N975,N979)=0,"",SUM(N967,N971,N975,N979))</f>
        <v>13.25</v>
      </c>
      <c r="O966" s="213">
        <f t="shared" si="619"/>
        <v>9</v>
      </c>
      <c r="P966" s="214"/>
      <c r="Q966" s="213">
        <f>IF(COUNT(Q967,Q971,Q975,Q979)=0,"",SUM(Q967,Q971,Q975,Q979))</f>
        <v>9.93125</v>
      </c>
      <c r="R966" s="126"/>
      <c r="S966" s="126"/>
      <c r="T966" s="45" t="s">
        <v>62</v>
      </c>
      <c r="U966" s="26"/>
      <c r="V966" s="26"/>
      <c r="W966" s="26"/>
      <c r="X966" s="46">
        <f t="shared" ref="X966:AA966" si="620">L966</f>
        <v>4.75</v>
      </c>
      <c r="Y966" s="46">
        <f t="shared" si="620"/>
        <v>9</v>
      </c>
      <c r="Z966" s="46">
        <f t="shared" si="620"/>
        <v>13.25</v>
      </c>
      <c r="AA966" s="46">
        <f t="shared" si="620"/>
        <v>9</v>
      </c>
      <c r="AB966" s="26"/>
      <c r="AC966" s="46">
        <f>Q966</f>
        <v>9.93125</v>
      </c>
    </row>
    <row r="967" ht="33.75" customHeight="1">
      <c r="A967" s="54" t="s">
        <v>1648</v>
      </c>
      <c r="B967" s="209" t="s">
        <v>1537</v>
      </c>
      <c r="C967" s="209" t="s">
        <v>1646</v>
      </c>
      <c r="D967" s="209" t="s">
        <v>1649</v>
      </c>
      <c r="E967" s="209" t="s">
        <v>1650</v>
      </c>
      <c r="F967" s="54" t="s">
        <v>1575</v>
      </c>
      <c r="G967" s="54" t="s">
        <v>154</v>
      </c>
      <c r="H967" s="54" t="s">
        <v>154</v>
      </c>
      <c r="I967" s="54"/>
      <c r="J967" s="54" t="s">
        <v>9</v>
      </c>
      <c r="K967" s="119" t="s">
        <v>9</v>
      </c>
      <c r="L967" s="202">
        <f>IF(COUNT(L968:N970)=0,"",SUM(L968:L970))</f>
        <v>1</v>
      </c>
      <c r="M967" s="174">
        <f t="shared" si="586"/>
        <v>2.125</v>
      </c>
      <c r="N967" s="202">
        <f>IF(COUNT(L968:N970)=0,"",SUM(N968:N970))</f>
        <v>3.25</v>
      </c>
      <c r="O967" s="202">
        <f>IF(COUNT(O968:O970)=0,"",SUM(O968:O970))</f>
        <v>2.125</v>
      </c>
      <c r="P967" s="210"/>
      <c r="Q967" s="202">
        <f>IF(COUNT(Q968:Q970)=0,"",SUM(Q968:Q970))</f>
        <v>2.28125</v>
      </c>
      <c r="R967" s="163"/>
      <c r="S967" s="163"/>
      <c r="T967" s="54" t="s">
        <v>65</v>
      </c>
      <c r="U967" s="179"/>
      <c r="V967" s="179"/>
      <c r="W967" s="179"/>
      <c r="X967" s="105"/>
      <c r="Y967" s="105"/>
      <c r="Z967" s="105"/>
      <c r="AA967" s="105"/>
      <c r="AB967" s="105"/>
      <c r="AC967" s="105"/>
    </row>
    <row r="968" ht="33.75" customHeight="1">
      <c r="A968" s="65" t="s">
        <v>1651</v>
      </c>
      <c r="B968" s="215" t="s">
        <v>1537</v>
      </c>
      <c r="C968" s="215" t="s">
        <v>1646</v>
      </c>
      <c r="D968" s="215" t="s">
        <v>1649</v>
      </c>
      <c r="E968" s="215" t="s">
        <v>1650</v>
      </c>
      <c r="F968" s="65" t="s">
        <v>1575</v>
      </c>
      <c r="G968" s="65" t="s">
        <v>154</v>
      </c>
      <c r="H968" s="65" t="s">
        <v>154</v>
      </c>
      <c r="I968" s="65"/>
      <c r="J968" s="65" t="s">
        <v>9</v>
      </c>
      <c r="K968" s="97" t="s">
        <v>9</v>
      </c>
      <c r="L968" s="129">
        <v>0.25</v>
      </c>
      <c r="M968" s="180">
        <f t="shared" si="586"/>
        <v>0.625</v>
      </c>
      <c r="N968" s="129">
        <v>1.0</v>
      </c>
      <c r="O968" s="129">
        <f t="shared" ref="O968:O970" si="621">IF(COUNT(L968:N968)=0,"",(L968+4*M968+N968)/6)</f>
        <v>0.625</v>
      </c>
      <c r="P968" s="159">
        <v>0.05</v>
      </c>
      <c r="Q968" s="208">
        <f t="shared" ref="Q968:Q970" si="622">IF(O968="","",IF(P968="",O968,O968*(1+P968)))</f>
        <v>0.65625</v>
      </c>
      <c r="R968" s="132">
        <v>5.0</v>
      </c>
      <c r="S968" s="132">
        <v>1.0</v>
      </c>
      <c r="T968" s="65" t="s">
        <v>31</v>
      </c>
      <c r="U968" s="26"/>
      <c r="V968" s="26"/>
      <c r="W968" s="26"/>
      <c r="X968" s="26"/>
      <c r="Y968" s="26"/>
      <c r="Z968" s="26"/>
      <c r="AA968" s="26"/>
      <c r="AB968" s="26"/>
      <c r="AC968" s="26"/>
    </row>
    <row r="969" ht="33.75" customHeight="1">
      <c r="A969" s="65" t="s">
        <v>1652</v>
      </c>
      <c r="B969" s="215" t="s">
        <v>1537</v>
      </c>
      <c r="C969" s="215" t="s">
        <v>1646</v>
      </c>
      <c r="D969" s="215" t="s">
        <v>1649</v>
      </c>
      <c r="E969" s="215" t="s">
        <v>1650</v>
      </c>
      <c r="F969" s="65" t="s">
        <v>1575</v>
      </c>
      <c r="G969" s="65" t="s">
        <v>154</v>
      </c>
      <c r="H969" s="65" t="s">
        <v>154</v>
      </c>
      <c r="I969" s="65"/>
      <c r="J969" s="65" t="s">
        <v>9</v>
      </c>
      <c r="K969" s="97" t="s">
        <v>9</v>
      </c>
      <c r="L969" s="129">
        <v>0.5</v>
      </c>
      <c r="M969" s="180">
        <f t="shared" si="586"/>
        <v>1</v>
      </c>
      <c r="N969" s="129">
        <v>1.5</v>
      </c>
      <c r="O969" s="129">
        <f t="shared" si="621"/>
        <v>1</v>
      </c>
      <c r="P969" s="159">
        <v>0.1</v>
      </c>
      <c r="Q969" s="208">
        <f t="shared" si="622"/>
        <v>1.1</v>
      </c>
      <c r="R969" s="132">
        <v>4.0</v>
      </c>
      <c r="S969" s="132">
        <v>2.0</v>
      </c>
      <c r="T969" s="65" t="s">
        <v>32</v>
      </c>
      <c r="U969" s="26"/>
      <c r="V969" s="26"/>
      <c r="W969" s="26"/>
      <c r="X969" s="26"/>
      <c r="Y969" s="26"/>
      <c r="Z969" s="26"/>
      <c r="AA969" s="26"/>
      <c r="AB969" s="26"/>
      <c r="AC969" s="26"/>
    </row>
    <row r="970" ht="33.75" customHeight="1">
      <c r="A970" s="65" t="s">
        <v>1653</v>
      </c>
      <c r="B970" s="215" t="s">
        <v>1537</v>
      </c>
      <c r="C970" s="215" t="s">
        <v>1646</v>
      </c>
      <c r="D970" s="215" t="s">
        <v>1649</v>
      </c>
      <c r="E970" s="215" t="s">
        <v>1650</v>
      </c>
      <c r="F970" s="65" t="s">
        <v>1575</v>
      </c>
      <c r="G970" s="65" t="s">
        <v>154</v>
      </c>
      <c r="H970" s="65" t="s">
        <v>154</v>
      </c>
      <c r="I970" s="65"/>
      <c r="J970" s="65" t="s">
        <v>9</v>
      </c>
      <c r="K970" s="97" t="s">
        <v>9</v>
      </c>
      <c r="L970" s="129">
        <v>0.25</v>
      </c>
      <c r="M970" s="180">
        <f t="shared" si="586"/>
        <v>0.5</v>
      </c>
      <c r="N970" s="129">
        <v>0.75</v>
      </c>
      <c r="O970" s="129">
        <f t="shared" si="621"/>
        <v>0.5</v>
      </c>
      <c r="P970" s="159">
        <v>0.05</v>
      </c>
      <c r="Q970" s="208">
        <f t="shared" si="622"/>
        <v>0.525</v>
      </c>
      <c r="R970" s="132">
        <v>5.0</v>
      </c>
      <c r="S970" s="132">
        <v>1.0</v>
      </c>
      <c r="T970" s="65" t="s">
        <v>70</v>
      </c>
      <c r="U970" s="26"/>
      <c r="V970" s="26"/>
      <c r="W970" s="26"/>
      <c r="X970" s="26"/>
      <c r="Y970" s="26"/>
      <c r="Z970" s="26"/>
      <c r="AA970" s="26"/>
      <c r="AB970" s="26"/>
      <c r="AC970" s="26"/>
    </row>
    <row r="971" ht="33.75" customHeight="1">
      <c r="A971" s="54" t="s">
        <v>1654</v>
      </c>
      <c r="B971" s="209" t="s">
        <v>1537</v>
      </c>
      <c r="C971" s="209" t="s">
        <v>1646</v>
      </c>
      <c r="D971" s="209" t="s">
        <v>1655</v>
      </c>
      <c r="E971" s="209" t="s">
        <v>1656</v>
      </c>
      <c r="F971" s="54" t="s">
        <v>1540</v>
      </c>
      <c r="G971" s="54" t="s">
        <v>168</v>
      </c>
      <c r="H971" s="54" t="s">
        <v>168</v>
      </c>
      <c r="I971" s="54"/>
      <c r="J971" s="54" t="s">
        <v>9</v>
      </c>
      <c r="K971" s="119" t="s">
        <v>9</v>
      </c>
      <c r="L971" s="202">
        <f>IF(COUNT(L972:N974)=0,"",SUM(L972:L974))</f>
        <v>2.5</v>
      </c>
      <c r="M971" s="174">
        <f t="shared" si="586"/>
        <v>4.75</v>
      </c>
      <c r="N971" s="202">
        <f>IF(COUNT(L972:N974)=0,"",SUM(N972:N974))</f>
        <v>7</v>
      </c>
      <c r="O971" s="202">
        <f>IF(COUNT(O972:O974)=0,"",SUM(O972:O974))</f>
        <v>4.75</v>
      </c>
      <c r="P971" s="210"/>
      <c r="Q971" s="202">
        <f>IF(COUNT(Q972:Q974)=0,"",SUM(Q972:Q974))</f>
        <v>5.3625</v>
      </c>
      <c r="R971" s="163"/>
      <c r="S971" s="163"/>
      <c r="T971" s="54" t="s">
        <v>65</v>
      </c>
      <c r="U971" s="179"/>
      <c r="V971" s="179"/>
      <c r="W971" s="179"/>
      <c r="X971" s="105"/>
      <c r="Y971" s="105"/>
      <c r="Z971" s="105"/>
      <c r="AA971" s="105"/>
      <c r="AB971" s="105"/>
      <c r="AC971" s="105"/>
    </row>
    <row r="972" ht="33.75" customHeight="1">
      <c r="A972" s="65" t="s">
        <v>1657</v>
      </c>
      <c r="B972" s="215" t="s">
        <v>1537</v>
      </c>
      <c r="C972" s="215" t="s">
        <v>1646</v>
      </c>
      <c r="D972" s="215" t="s">
        <v>1655</v>
      </c>
      <c r="E972" s="215" t="s">
        <v>1656</v>
      </c>
      <c r="F972" s="65" t="s">
        <v>1540</v>
      </c>
      <c r="G972" s="65" t="s">
        <v>168</v>
      </c>
      <c r="H972" s="65" t="s">
        <v>168</v>
      </c>
      <c r="I972" s="65"/>
      <c r="J972" s="65" t="s">
        <v>9</v>
      </c>
      <c r="K972" s="97" t="s">
        <v>9</v>
      </c>
      <c r="L972" s="129">
        <v>0.5</v>
      </c>
      <c r="M972" s="180">
        <f t="shared" si="586"/>
        <v>1</v>
      </c>
      <c r="N972" s="129">
        <v>1.5</v>
      </c>
      <c r="O972" s="129">
        <f t="shared" ref="O972:O974" si="623">IF(COUNT(L972:N972)=0,"",(L972+4*M972+N972)/6)</f>
        <v>1</v>
      </c>
      <c r="P972" s="159">
        <v>0.1</v>
      </c>
      <c r="Q972" s="208">
        <f t="shared" ref="Q972:Q974" si="624">IF(O972="","",IF(P972="",O972,O972*(1+P972)))</f>
        <v>1.1</v>
      </c>
      <c r="R972" s="132">
        <v>4.0</v>
      </c>
      <c r="S972" s="132">
        <v>2.0</v>
      </c>
      <c r="T972" s="65" t="s">
        <v>31</v>
      </c>
      <c r="U972" s="26"/>
      <c r="V972" s="26"/>
      <c r="W972" s="26"/>
      <c r="X972" s="26"/>
      <c r="Y972" s="26"/>
      <c r="Z972" s="26"/>
      <c r="AA972" s="26"/>
      <c r="AB972" s="26"/>
      <c r="AC972" s="26"/>
    </row>
    <row r="973" ht="33.75" customHeight="1">
      <c r="A973" s="65" t="s">
        <v>1658</v>
      </c>
      <c r="B973" s="215" t="s">
        <v>1537</v>
      </c>
      <c r="C973" s="215" t="s">
        <v>1646</v>
      </c>
      <c r="D973" s="215" t="s">
        <v>1655</v>
      </c>
      <c r="E973" s="215" t="s">
        <v>1656</v>
      </c>
      <c r="F973" s="65" t="s">
        <v>1540</v>
      </c>
      <c r="G973" s="65" t="s">
        <v>168</v>
      </c>
      <c r="H973" s="65" t="s">
        <v>168</v>
      </c>
      <c r="I973" s="65"/>
      <c r="J973" s="65" t="s">
        <v>9</v>
      </c>
      <c r="K973" s="97" t="s">
        <v>9</v>
      </c>
      <c r="L973" s="129">
        <v>1.5</v>
      </c>
      <c r="M973" s="180">
        <f t="shared" si="586"/>
        <v>2.75</v>
      </c>
      <c r="N973" s="129">
        <v>4.0</v>
      </c>
      <c r="O973" s="129">
        <f t="shared" si="623"/>
        <v>2.75</v>
      </c>
      <c r="P973" s="159">
        <v>0.15</v>
      </c>
      <c r="Q973" s="208">
        <f t="shared" si="624"/>
        <v>3.1625</v>
      </c>
      <c r="R973" s="132">
        <v>4.0</v>
      </c>
      <c r="S973" s="132">
        <v>2.0</v>
      </c>
      <c r="T973" s="65" t="s">
        <v>32</v>
      </c>
      <c r="U973" s="26"/>
      <c r="V973" s="26"/>
      <c r="W973" s="26"/>
      <c r="X973" s="26"/>
      <c r="Y973" s="26"/>
      <c r="Z973" s="26"/>
      <c r="AA973" s="26"/>
      <c r="AB973" s="26"/>
      <c r="AC973" s="26"/>
    </row>
    <row r="974" ht="33.75" customHeight="1">
      <c r="A974" s="65" t="s">
        <v>1659</v>
      </c>
      <c r="B974" s="215" t="s">
        <v>1537</v>
      </c>
      <c r="C974" s="215" t="s">
        <v>1646</v>
      </c>
      <c r="D974" s="215" t="s">
        <v>1655</v>
      </c>
      <c r="E974" s="215" t="s">
        <v>1656</v>
      </c>
      <c r="F974" s="65" t="s">
        <v>1540</v>
      </c>
      <c r="G974" s="65" t="s">
        <v>168</v>
      </c>
      <c r="H974" s="65" t="s">
        <v>168</v>
      </c>
      <c r="I974" s="65"/>
      <c r="J974" s="65" t="s">
        <v>9</v>
      </c>
      <c r="K974" s="97" t="s">
        <v>9</v>
      </c>
      <c r="L974" s="129">
        <v>0.5</v>
      </c>
      <c r="M974" s="180">
        <f t="shared" si="586"/>
        <v>1</v>
      </c>
      <c r="N974" s="129">
        <v>1.5</v>
      </c>
      <c r="O974" s="129">
        <f t="shared" si="623"/>
        <v>1</v>
      </c>
      <c r="P974" s="159">
        <v>0.1</v>
      </c>
      <c r="Q974" s="208">
        <f t="shared" si="624"/>
        <v>1.1</v>
      </c>
      <c r="R974" s="132">
        <v>4.0</v>
      </c>
      <c r="S974" s="132">
        <v>2.0</v>
      </c>
      <c r="T974" s="65" t="s">
        <v>70</v>
      </c>
      <c r="U974" s="26"/>
      <c r="V974" s="26"/>
      <c r="W974" s="26"/>
      <c r="X974" s="26"/>
      <c r="Y974" s="26"/>
      <c r="Z974" s="26"/>
      <c r="AA974" s="26"/>
      <c r="AB974" s="26"/>
      <c r="AC974" s="26"/>
    </row>
    <row r="975" ht="33.75" customHeight="1">
      <c r="A975" s="98" t="s">
        <v>1660</v>
      </c>
      <c r="B975" s="99" t="s">
        <v>1537</v>
      </c>
      <c r="C975" s="99" t="s">
        <v>1646</v>
      </c>
      <c r="D975" s="99" t="s">
        <v>1661</v>
      </c>
      <c r="E975" s="99" t="s">
        <v>1662</v>
      </c>
      <c r="F975" s="98" t="s">
        <v>1654</v>
      </c>
      <c r="G975" s="98" t="s">
        <v>200</v>
      </c>
      <c r="H975" s="98" t="s">
        <v>200</v>
      </c>
      <c r="I975" s="98"/>
      <c r="J975" s="98" t="s">
        <v>12</v>
      </c>
      <c r="K975" s="100" t="s">
        <v>12</v>
      </c>
      <c r="L975" s="101">
        <f>IF(COUNT(L976:N978)=0,"",SUM(L976:L978))</f>
        <v>0</v>
      </c>
      <c r="M975" s="102">
        <f t="shared" si="586"/>
        <v>0</v>
      </c>
      <c r="N975" s="101">
        <f>IF(COUNT(L976:N978)=0,"",SUM(N976:N978))</f>
        <v>0</v>
      </c>
      <c r="O975" s="101">
        <f>IF(COUNT(O976:O978)=0,"",SUM(O976:O978))</f>
        <v>0</v>
      </c>
      <c r="P975" s="103"/>
      <c r="Q975" s="101">
        <f>IF(COUNT(Q976:Q978)=0,"",SUM(Q976:Q978))</f>
        <v>0</v>
      </c>
      <c r="R975" s="104"/>
      <c r="S975" s="104"/>
      <c r="T975" s="98" t="s">
        <v>65</v>
      </c>
      <c r="U975" s="179"/>
      <c r="V975" s="179"/>
      <c r="W975" s="179"/>
      <c r="X975" s="105"/>
      <c r="Y975" s="105"/>
      <c r="Z975" s="105"/>
      <c r="AA975" s="105"/>
      <c r="AB975" s="105"/>
      <c r="AC975" s="105"/>
    </row>
    <row r="976" ht="33.75" customHeight="1">
      <c r="A976" s="106" t="s">
        <v>1663</v>
      </c>
      <c r="B976" s="107" t="s">
        <v>1537</v>
      </c>
      <c r="C976" s="107" t="s">
        <v>1646</v>
      </c>
      <c r="D976" s="107" t="s">
        <v>1661</v>
      </c>
      <c r="E976" s="107" t="s">
        <v>1662</v>
      </c>
      <c r="F976" s="106" t="s">
        <v>1654</v>
      </c>
      <c r="G976" s="106" t="s">
        <v>200</v>
      </c>
      <c r="H976" s="106" t="s">
        <v>200</v>
      </c>
      <c r="I976" s="106"/>
      <c r="J976" s="106" t="s">
        <v>12</v>
      </c>
      <c r="K976" s="108" t="s">
        <v>12</v>
      </c>
      <c r="L976" s="109"/>
      <c r="M976" s="109">
        <f t="shared" si="586"/>
        <v>0</v>
      </c>
      <c r="N976" s="109"/>
      <c r="O976" s="109">
        <f t="shared" ref="O976:O978" si="625">IF(COUNT(L976:N976)=0,"",(L976+4*M976+N976)/6)</f>
        <v>0</v>
      </c>
      <c r="P976" s="110"/>
      <c r="Q976" s="109">
        <f t="shared" ref="Q976:Q978" si="626">IF(O976="","",IF(P976="",O976,O976*(1+P976)))</f>
        <v>0</v>
      </c>
      <c r="R976" s="111"/>
      <c r="S976" s="111"/>
      <c r="T976" s="106" t="s">
        <v>31</v>
      </c>
      <c r="U976" s="26"/>
      <c r="V976" s="26"/>
      <c r="W976" s="26"/>
      <c r="X976" s="26"/>
      <c r="Y976" s="26"/>
      <c r="Z976" s="26"/>
      <c r="AA976" s="26"/>
      <c r="AB976" s="26"/>
      <c r="AC976" s="26"/>
    </row>
    <row r="977" ht="33.75" customHeight="1">
      <c r="A977" s="106" t="s">
        <v>1664</v>
      </c>
      <c r="B977" s="107" t="s">
        <v>1537</v>
      </c>
      <c r="C977" s="107" t="s">
        <v>1646</v>
      </c>
      <c r="D977" s="107" t="s">
        <v>1661</v>
      </c>
      <c r="E977" s="107" t="s">
        <v>1662</v>
      </c>
      <c r="F977" s="106" t="s">
        <v>1654</v>
      </c>
      <c r="G977" s="106" t="s">
        <v>200</v>
      </c>
      <c r="H977" s="106" t="s">
        <v>200</v>
      </c>
      <c r="I977" s="106"/>
      <c r="J977" s="106" t="s">
        <v>12</v>
      </c>
      <c r="K977" s="108" t="s">
        <v>12</v>
      </c>
      <c r="L977" s="109"/>
      <c r="M977" s="109">
        <f t="shared" si="586"/>
        <v>0</v>
      </c>
      <c r="N977" s="109"/>
      <c r="O977" s="109">
        <f t="shared" si="625"/>
        <v>0</v>
      </c>
      <c r="P977" s="110"/>
      <c r="Q977" s="109">
        <f t="shared" si="626"/>
        <v>0</v>
      </c>
      <c r="R977" s="111"/>
      <c r="S977" s="111"/>
      <c r="T977" s="106" t="s">
        <v>32</v>
      </c>
      <c r="U977" s="26"/>
      <c r="V977" s="26"/>
      <c r="W977" s="26"/>
      <c r="X977" s="26"/>
      <c r="Y977" s="26"/>
      <c r="Z977" s="26"/>
      <c r="AA977" s="26"/>
      <c r="AB977" s="26"/>
      <c r="AC977" s="26"/>
    </row>
    <row r="978" ht="33.75" customHeight="1">
      <c r="A978" s="106" t="s">
        <v>1665</v>
      </c>
      <c r="B978" s="107" t="s">
        <v>1537</v>
      </c>
      <c r="C978" s="107" t="s">
        <v>1646</v>
      </c>
      <c r="D978" s="107" t="s">
        <v>1661</v>
      </c>
      <c r="E978" s="107" t="s">
        <v>1662</v>
      </c>
      <c r="F978" s="106" t="s">
        <v>1654</v>
      </c>
      <c r="G978" s="106" t="s">
        <v>200</v>
      </c>
      <c r="H978" s="106" t="s">
        <v>200</v>
      </c>
      <c r="I978" s="106"/>
      <c r="J978" s="106" t="s">
        <v>12</v>
      </c>
      <c r="K978" s="108" t="s">
        <v>12</v>
      </c>
      <c r="L978" s="109"/>
      <c r="M978" s="109">
        <f t="shared" si="586"/>
        <v>0</v>
      </c>
      <c r="N978" s="109"/>
      <c r="O978" s="109">
        <f t="shared" si="625"/>
        <v>0</v>
      </c>
      <c r="P978" s="110"/>
      <c r="Q978" s="109">
        <f t="shared" si="626"/>
        <v>0</v>
      </c>
      <c r="R978" s="111"/>
      <c r="S978" s="111"/>
      <c r="T978" s="106" t="s">
        <v>70</v>
      </c>
      <c r="U978" s="26"/>
      <c r="V978" s="26"/>
      <c r="W978" s="26"/>
      <c r="X978" s="26"/>
      <c r="Y978" s="26"/>
      <c r="Z978" s="26"/>
      <c r="AA978" s="26"/>
      <c r="AB978" s="26"/>
      <c r="AC978" s="26"/>
    </row>
    <row r="979" ht="33.75" customHeight="1">
      <c r="A979" s="54" t="s">
        <v>1666</v>
      </c>
      <c r="B979" s="209" t="s">
        <v>1537</v>
      </c>
      <c r="C979" s="209" t="s">
        <v>1646</v>
      </c>
      <c r="D979" s="209" t="s">
        <v>1667</v>
      </c>
      <c r="E979" s="209" t="s">
        <v>1668</v>
      </c>
      <c r="F979" s="54" t="s">
        <v>1540</v>
      </c>
      <c r="G979" s="54" t="s">
        <v>154</v>
      </c>
      <c r="H979" s="54" t="s">
        <v>154</v>
      </c>
      <c r="I979" s="54"/>
      <c r="J979" s="54" t="s">
        <v>9</v>
      </c>
      <c r="K979" s="119" t="s">
        <v>9</v>
      </c>
      <c r="L979" s="202">
        <f>IF(COUNT(L980:N982)=0,"",SUM(L980:L982))</f>
        <v>1.25</v>
      </c>
      <c r="M979" s="174">
        <f t="shared" si="586"/>
        <v>2.125</v>
      </c>
      <c r="N979" s="202">
        <f>IF(COUNT(L980:N982)=0,"",SUM(N980:N982))</f>
        <v>3</v>
      </c>
      <c r="O979" s="202">
        <f>IF(COUNT(O980:O982)=0,"",SUM(O980:O982))</f>
        <v>2.125</v>
      </c>
      <c r="P979" s="210"/>
      <c r="Q979" s="202">
        <f>IF(COUNT(Q980:Q982)=0,"",SUM(Q980:Q982))</f>
        <v>2.2875</v>
      </c>
      <c r="R979" s="163"/>
      <c r="S979" s="163"/>
      <c r="T979" s="54" t="s">
        <v>65</v>
      </c>
      <c r="U979" s="179"/>
      <c r="V979" s="179"/>
      <c r="W979" s="179"/>
      <c r="X979" s="105"/>
      <c r="Y979" s="105"/>
      <c r="Z979" s="105"/>
      <c r="AA979" s="105"/>
      <c r="AB979" s="105"/>
      <c r="AC979" s="105"/>
    </row>
    <row r="980" ht="33.75" customHeight="1">
      <c r="A980" s="65" t="s">
        <v>1669</v>
      </c>
      <c r="B980" s="215" t="s">
        <v>1537</v>
      </c>
      <c r="C980" s="215" t="s">
        <v>1646</v>
      </c>
      <c r="D980" s="215" t="s">
        <v>1667</v>
      </c>
      <c r="E980" s="215" t="s">
        <v>1668</v>
      </c>
      <c r="F980" s="65" t="s">
        <v>1540</v>
      </c>
      <c r="G980" s="65" t="s">
        <v>154</v>
      </c>
      <c r="H980" s="65" t="s">
        <v>154</v>
      </c>
      <c r="I980" s="65"/>
      <c r="J980" s="65" t="s">
        <v>9</v>
      </c>
      <c r="K980" s="97" t="s">
        <v>9</v>
      </c>
      <c r="L980" s="129">
        <v>0.25</v>
      </c>
      <c r="M980" s="180">
        <f t="shared" si="586"/>
        <v>0.625</v>
      </c>
      <c r="N980" s="129">
        <v>1.0</v>
      </c>
      <c r="O980" s="129">
        <f t="shared" ref="O980:O982" si="627">IF(COUNT(L980:N980)=0,"",(L980+4*M980+N980)/6)</f>
        <v>0.625</v>
      </c>
      <c r="P980" s="159">
        <v>0.05</v>
      </c>
      <c r="Q980" s="208">
        <f t="shared" ref="Q980:Q982" si="628">IF(O980="","",IF(P980="",O980,O980*(1+P980)))</f>
        <v>0.65625</v>
      </c>
      <c r="R980" s="132">
        <v>5.0</v>
      </c>
      <c r="S980" s="132">
        <v>1.0</v>
      </c>
      <c r="T980" s="65" t="s">
        <v>31</v>
      </c>
      <c r="U980" s="26"/>
      <c r="V980" s="26"/>
      <c r="W980" s="26"/>
      <c r="X980" s="26"/>
      <c r="Y980" s="26"/>
      <c r="Z980" s="26"/>
      <c r="AA980" s="26"/>
      <c r="AB980" s="26"/>
      <c r="AC980" s="26"/>
    </row>
    <row r="981" ht="33.75" customHeight="1">
      <c r="A981" s="65" t="s">
        <v>1670</v>
      </c>
      <c r="B981" s="215" t="s">
        <v>1537</v>
      </c>
      <c r="C981" s="215" t="s">
        <v>1646</v>
      </c>
      <c r="D981" s="215" t="s">
        <v>1667</v>
      </c>
      <c r="E981" s="215" t="s">
        <v>1668</v>
      </c>
      <c r="F981" s="65" t="s">
        <v>1540</v>
      </c>
      <c r="G981" s="65" t="s">
        <v>154</v>
      </c>
      <c r="H981" s="65" t="s">
        <v>154</v>
      </c>
      <c r="I981" s="65"/>
      <c r="J981" s="65" t="s">
        <v>9</v>
      </c>
      <c r="K981" s="97" t="s">
        <v>9</v>
      </c>
      <c r="L981" s="129">
        <v>0.75</v>
      </c>
      <c r="M981" s="180">
        <f t="shared" si="586"/>
        <v>1.125</v>
      </c>
      <c r="N981" s="129">
        <v>1.5</v>
      </c>
      <c r="O981" s="129">
        <f t="shared" si="627"/>
        <v>1.125</v>
      </c>
      <c r="P981" s="159">
        <v>0.1</v>
      </c>
      <c r="Q981" s="208">
        <f t="shared" si="628"/>
        <v>1.2375</v>
      </c>
      <c r="R981" s="132">
        <v>5.0</v>
      </c>
      <c r="S981" s="132">
        <v>1.0</v>
      </c>
      <c r="T981" s="65" t="s">
        <v>32</v>
      </c>
      <c r="U981" s="26"/>
      <c r="V981" s="26"/>
      <c r="W981" s="26"/>
      <c r="X981" s="26"/>
      <c r="Y981" s="26"/>
      <c r="Z981" s="26"/>
      <c r="AA981" s="26"/>
      <c r="AB981" s="26"/>
      <c r="AC981" s="26"/>
    </row>
    <row r="982" ht="33.75" customHeight="1">
      <c r="A982" s="65" t="s">
        <v>1671</v>
      </c>
      <c r="B982" s="215" t="s">
        <v>1537</v>
      </c>
      <c r="C982" s="215" t="s">
        <v>1646</v>
      </c>
      <c r="D982" s="215" t="s">
        <v>1667</v>
      </c>
      <c r="E982" s="215" t="s">
        <v>1668</v>
      </c>
      <c r="F982" s="65" t="s">
        <v>1540</v>
      </c>
      <c r="G982" s="65" t="s">
        <v>154</v>
      </c>
      <c r="H982" s="65" t="s">
        <v>154</v>
      </c>
      <c r="I982" s="65"/>
      <c r="J982" s="65" t="s">
        <v>9</v>
      </c>
      <c r="K982" s="97" t="s">
        <v>9</v>
      </c>
      <c r="L982" s="129">
        <v>0.25</v>
      </c>
      <c r="M982" s="180">
        <f t="shared" si="586"/>
        <v>0.375</v>
      </c>
      <c r="N982" s="129">
        <v>0.5</v>
      </c>
      <c r="O982" s="129">
        <f t="shared" si="627"/>
        <v>0.375</v>
      </c>
      <c r="P982" s="159">
        <v>0.05</v>
      </c>
      <c r="Q982" s="208">
        <f t="shared" si="628"/>
        <v>0.39375</v>
      </c>
      <c r="R982" s="132">
        <v>5.0</v>
      </c>
      <c r="S982" s="132">
        <v>1.0</v>
      </c>
      <c r="T982" s="65" t="s">
        <v>70</v>
      </c>
      <c r="U982" s="26"/>
      <c r="V982" s="26"/>
      <c r="W982" s="26"/>
      <c r="X982" s="26"/>
      <c r="Y982" s="26"/>
      <c r="Z982" s="26"/>
      <c r="AA982" s="26"/>
      <c r="AB982" s="26"/>
      <c r="AC982" s="26"/>
    </row>
    <row r="983" ht="33.75" customHeight="1">
      <c r="A983" s="45" t="s">
        <v>1672</v>
      </c>
      <c r="B983" s="212" t="s">
        <v>1537</v>
      </c>
      <c r="C983" s="212" t="s">
        <v>1673</v>
      </c>
      <c r="D983" s="212" t="s">
        <v>1673</v>
      </c>
      <c r="E983" s="212" t="s">
        <v>1674</v>
      </c>
      <c r="F983" s="45"/>
      <c r="G983" s="45"/>
      <c r="H983" s="45"/>
      <c r="I983" s="45"/>
      <c r="J983" s="45"/>
      <c r="K983" s="123"/>
      <c r="L983" s="213">
        <f>IF(COUNT(L984,L988,L992,L996)=0,"",SUM(L984,L988,L992,L996))</f>
        <v>7</v>
      </c>
      <c r="M983" s="213">
        <f t="shared" si="586"/>
        <v>14</v>
      </c>
      <c r="N983" s="213">
        <f t="shared" ref="N983:O983" si="629">IF(COUNT(N984,N988,N992,N996)=0,"",SUM(N984,N988,N992,N996))</f>
        <v>21</v>
      </c>
      <c r="O983" s="213">
        <f t="shared" si="629"/>
        <v>14</v>
      </c>
      <c r="P983" s="214"/>
      <c r="Q983" s="213">
        <f>IF(COUNT(Q984,Q988,Q992,Q996)=0,"",SUM(Q984,Q988,Q992,Q996))</f>
        <v>15.75625</v>
      </c>
      <c r="R983" s="126"/>
      <c r="S983" s="126"/>
      <c r="T983" s="45" t="s">
        <v>62</v>
      </c>
      <c r="U983" s="26"/>
      <c r="V983" s="26"/>
      <c r="W983" s="26"/>
      <c r="X983" s="46">
        <f t="shared" ref="X983:AA983" si="630">L983</f>
        <v>7</v>
      </c>
      <c r="Y983" s="46">
        <f t="shared" si="630"/>
        <v>14</v>
      </c>
      <c r="Z983" s="46">
        <f t="shared" si="630"/>
        <v>21</v>
      </c>
      <c r="AA983" s="46">
        <f t="shared" si="630"/>
        <v>14</v>
      </c>
      <c r="AB983" s="26"/>
      <c r="AC983" s="46">
        <f>Q983</f>
        <v>15.75625</v>
      </c>
    </row>
    <row r="984" ht="33.75" customHeight="1">
      <c r="A984" s="54" t="s">
        <v>1675</v>
      </c>
      <c r="B984" s="209" t="s">
        <v>1537</v>
      </c>
      <c r="C984" s="209" t="s">
        <v>1673</v>
      </c>
      <c r="D984" s="209" t="s">
        <v>1676</v>
      </c>
      <c r="E984" s="209" t="s">
        <v>1677</v>
      </c>
      <c r="F984" s="54" t="s">
        <v>1678</v>
      </c>
      <c r="G984" s="54" t="s">
        <v>168</v>
      </c>
      <c r="H984" s="54" t="s">
        <v>168</v>
      </c>
      <c r="I984" s="54"/>
      <c r="J984" s="54" t="s">
        <v>9</v>
      </c>
      <c r="K984" s="119" t="s">
        <v>9</v>
      </c>
      <c r="L984" s="202">
        <f>IF(COUNT(L985:N987)=0,"",SUM(L985:L987))</f>
        <v>1.5</v>
      </c>
      <c r="M984" s="174">
        <f t="shared" si="586"/>
        <v>3.25</v>
      </c>
      <c r="N984" s="202">
        <f>IF(COUNT(L985:N987)=0,"",SUM(N985:N987))</f>
        <v>5</v>
      </c>
      <c r="O984" s="202">
        <f>IF(COUNT(O985:O987)=0,"",SUM(O985:O987))</f>
        <v>3.25</v>
      </c>
      <c r="P984" s="210"/>
      <c r="Q984" s="202">
        <f>IF(COUNT(Q985:Q987)=0,"",SUM(Q985:Q987))</f>
        <v>3.65625</v>
      </c>
      <c r="R984" s="163"/>
      <c r="S984" s="163"/>
      <c r="T984" s="54" t="s">
        <v>65</v>
      </c>
      <c r="U984" s="179"/>
      <c r="V984" s="179"/>
      <c r="W984" s="179"/>
      <c r="X984" s="105"/>
      <c r="Y984" s="105"/>
      <c r="Z984" s="105"/>
      <c r="AA984" s="105"/>
      <c r="AB984" s="105"/>
      <c r="AC984" s="105"/>
    </row>
    <row r="985" ht="33.75" customHeight="1">
      <c r="A985" s="65" t="s">
        <v>1679</v>
      </c>
      <c r="B985" s="215" t="s">
        <v>1537</v>
      </c>
      <c r="C985" s="215" t="s">
        <v>1673</v>
      </c>
      <c r="D985" s="215" t="s">
        <v>1676</v>
      </c>
      <c r="E985" s="215" t="s">
        <v>1677</v>
      </c>
      <c r="F985" s="65" t="s">
        <v>1678</v>
      </c>
      <c r="G985" s="65" t="s">
        <v>168</v>
      </c>
      <c r="H985" s="65" t="s">
        <v>168</v>
      </c>
      <c r="I985" s="65"/>
      <c r="J985" s="65" t="s">
        <v>9</v>
      </c>
      <c r="K985" s="97" t="s">
        <v>9</v>
      </c>
      <c r="L985" s="129">
        <v>0.5</v>
      </c>
      <c r="M985" s="180">
        <f t="shared" si="586"/>
        <v>1</v>
      </c>
      <c r="N985" s="129">
        <v>1.5</v>
      </c>
      <c r="O985" s="129">
        <f t="shared" ref="O985:O987" si="631">IF(COUNT(L985:N985)=0,"",(L985+4*M985+N985)/6)</f>
        <v>1</v>
      </c>
      <c r="P985" s="159">
        <v>0.1</v>
      </c>
      <c r="Q985" s="208">
        <f t="shared" ref="Q985:Q987" si="632">IF(O985="","",IF(P985="",O985,O985*(1+P985)))</f>
        <v>1.1</v>
      </c>
      <c r="R985" s="132">
        <v>4.0</v>
      </c>
      <c r="S985" s="132">
        <v>2.0</v>
      </c>
      <c r="T985" s="65" t="s">
        <v>31</v>
      </c>
      <c r="U985" s="26"/>
      <c r="V985" s="26"/>
      <c r="W985" s="26"/>
      <c r="X985" s="26"/>
      <c r="Y985" s="26"/>
      <c r="Z985" s="26"/>
      <c r="AA985" s="26"/>
      <c r="AB985" s="26"/>
      <c r="AC985" s="26"/>
    </row>
    <row r="986" ht="33.75" customHeight="1">
      <c r="A986" s="65" t="s">
        <v>1680</v>
      </c>
      <c r="B986" s="215" t="s">
        <v>1537</v>
      </c>
      <c r="C986" s="215" t="s">
        <v>1673</v>
      </c>
      <c r="D986" s="215" t="s">
        <v>1676</v>
      </c>
      <c r="E986" s="215" t="s">
        <v>1677</v>
      </c>
      <c r="F986" s="65" t="s">
        <v>1678</v>
      </c>
      <c r="G986" s="65" t="s">
        <v>168</v>
      </c>
      <c r="H986" s="65" t="s">
        <v>168</v>
      </c>
      <c r="I986" s="65"/>
      <c r="J986" s="65" t="s">
        <v>9</v>
      </c>
      <c r="K986" s="97" t="s">
        <v>9</v>
      </c>
      <c r="L986" s="129">
        <v>0.75</v>
      </c>
      <c r="M986" s="180">
        <f t="shared" si="586"/>
        <v>1.625</v>
      </c>
      <c r="N986" s="129">
        <v>2.5</v>
      </c>
      <c r="O986" s="129">
        <f t="shared" si="631"/>
        <v>1.625</v>
      </c>
      <c r="P986" s="159">
        <v>0.15</v>
      </c>
      <c r="Q986" s="208">
        <f t="shared" si="632"/>
        <v>1.86875</v>
      </c>
      <c r="R986" s="132">
        <v>4.0</v>
      </c>
      <c r="S986" s="132">
        <v>2.0</v>
      </c>
      <c r="T986" s="65" t="s">
        <v>32</v>
      </c>
      <c r="U986" s="26"/>
      <c r="V986" s="26"/>
      <c r="W986" s="26"/>
      <c r="X986" s="26"/>
      <c r="Y986" s="26"/>
      <c r="Z986" s="26"/>
      <c r="AA986" s="26"/>
      <c r="AB986" s="26"/>
      <c r="AC986" s="26"/>
    </row>
    <row r="987" ht="33.75" customHeight="1">
      <c r="A987" s="65" t="s">
        <v>1681</v>
      </c>
      <c r="B987" s="215" t="s">
        <v>1537</v>
      </c>
      <c r="C987" s="215" t="s">
        <v>1673</v>
      </c>
      <c r="D987" s="215" t="s">
        <v>1676</v>
      </c>
      <c r="E987" s="215" t="s">
        <v>1677</v>
      </c>
      <c r="F987" s="65" t="s">
        <v>1678</v>
      </c>
      <c r="G987" s="65" t="s">
        <v>168</v>
      </c>
      <c r="H987" s="65" t="s">
        <v>168</v>
      </c>
      <c r="I987" s="65"/>
      <c r="J987" s="65" t="s">
        <v>9</v>
      </c>
      <c r="K987" s="97" t="s">
        <v>9</v>
      </c>
      <c r="L987" s="129">
        <v>0.25</v>
      </c>
      <c r="M987" s="180">
        <f t="shared" si="586"/>
        <v>0.625</v>
      </c>
      <c r="N987" s="129">
        <v>1.0</v>
      </c>
      <c r="O987" s="129">
        <f t="shared" si="631"/>
        <v>0.625</v>
      </c>
      <c r="P987" s="159">
        <v>0.1</v>
      </c>
      <c r="Q987" s="208">
        <f t="shared" si="632"/>
        <v>0.6875</v>
      </c>
      <c r="R987" s="132">
        <v>4.0</v>
      </c>
      <c r="S987" s="132">
        <v>2.0</v>
      </c>
      <c r="T987" s="65" t="s">
        <v>70</v>
      </c>
      <c r="U987" s="26"/>
      <c r="V987" s="26"/>
      <c r="W987" s="26"/>
      <c r="X987" s="26"/>
      <c r="Y987" s="26"/>
      <c r="Z987" s="26"/>
      <c r="AA987" s="26"/>
      <c r="AB987" s="26"/>
      <c r="AC987" s="26"/>
    </row>
    <row r="988" ht="33.75" customHeight="1">
      <c r="A988" s="54" t="s">
        <v>1682</v>
      </c>
      <c r="B988" s="209" t="s">
        <v>1537</v>
      </c>
      <c r="C988" s="209" t="s">
        <v>1673</v>
      </c>
      <c r="D988" s="209" t="s">
        <v>1683</v>
      </c>
      <c r="E988" s="209" t="s">
        <v>1684</v>
      </c>
      <c r="F988" s="54" t="s">
        <v>1685</v>
      </c>
      <c r="G988" s="54" t="s">
        <v>200</v>
      </c>
      <c r="H988" s="54" t="s">
        <v>200</v>
      </c>
      <c r="I988" s="54"/>
      <c r="J988" s="54" t="s">
        <v>9</v>
      </c>
      <c r="K988" s="119" t="s">
        <v>9</v>
      </c>
      <c r="L988" s="202">
        <f>IF(COUNT(L989:N991)=0,"",SUM(L989:L991))</f>
        <v>2.75</v>
      </c>
      <c r="M988" s="174">
        <f t="shared" si="586"/>
        <v>5.375</v>
      </c>
      <c r="N988" s="202">
        <f>IF(COUNT(L989:N991)=0,"",SUM(N989:N991))</f>
        <v>8</v>
      </c>
      <c r="O988" s="202">
        <f>IF(COUNT(O989:O991)=0,"",SUM(O989:O991))</f>
        <v>5.375</v>
      </c>
      <c r="P988" s="210"/>
      <c r="Q988" s="202">
        <f>IF(COUNT(Q989:Q991)=0,"",SUM(Q989:Q991))</f>
        <v>6.05</v>
      </c>
      <c r="R988" s="163"/>
      <c r="S988" s="163"/>
      <c r="T988" s="54" t="s">
        <v>65</v>
      </c>
      <c r="U988" s="179"/>
      <c r="V988" s="179"/>
      <c r="W988" s="179"/>
      <c r="X988" s="105"/>
      <c r="Y988" s="105"/>
      <c r="Z988" s="105"/>
      <c r="AA988" s="105"/>
      <c r="AB988" s="105"/>
      <c r="AC988" s="105"/>
    </row>
    <row r="989" ht="33.75" customHeight="1">
      <c r="A989" s="65" t="s">
        <v>1686</v>
      </c>
      <c r="B989" s="215" t="s">
        <v>1537</v>
      </c>
      <c r="C989" s="215" t="s">
        <v>1673</v>
      </c>
      <c r="D989" s="215" t="s">
        <v>1683</v>
      </c>
      <c r="E989" s="215" t="s">
        <v>1684</v>
      </c>
      <c r="F989" s="65" t="s">
        <v>1685</v>
      </c>
      <c r="G989" s="65" t="s">
        <v>200</v>
      </c>
      <c r="H989" s="65" t="s">
        <v>200</v>
      </c>
      <c r="I989" s="65"/>
      <c r="J989" s="65" t="s">
        <v>9</v>
      </c>
      <c r="K989" s="97" t="s">
        <v>9</v>
      </c>
      <c r="L989" s="129">
        <v>0.75</v>
      </c>
      <c r="M989" s="180">
        <f t="shared" si="586"/>
        <v>1.625</v>
      </c>
      <c r="N989" s="129">
        <v>2.5</v>
      </c>
      <c r="O989" s="129">
        <f t="shared" ref="O989:O991" si="633">IF(COUNT(L989:N989)=0,"",(L989+4*M989+N989)/6)</f>
        <v>1.625</v>
      </c>
      <c r="P989" s="159">
        <v>0.1</v>
      </c>
      <c r="Q989" s="208">
        <f t="shared" ref="Q989:Q991" si="634">IF(O989="","",IF(P989="",O989,O989*(1+P989)))</f>
        <v>1.7875</v>
      </c>
      <c r="R989" s="132">
        <v>4.0</v>
      </c>
      <c r="S989" s="132">
        <v>2.0</v>
      </c>
      <c r="T989" s="65" t="s">
        <v>31</v>
      </c>
      <c r="U989" s="26"/>
      <c r="V989" s="26"/>
      <c r="W989" s="26"/>
      <c r="X989" s="26"/>
      <c r="Y989" s="26"/>
      <c r="Z989" s="26"/>
      <c r="AA989" s="26"/>
      <c r="AB989" s="26"/>
      <c r="AC989" s="26"/>
    </row>
    <row r="990" ht="33.75" customHeight="1">
      <c r="A990" s="65" t="s">
        <v>1687</v>
      </c>
      <c r="B990" s="215" t="s">
        <v>1537</v>
      </c>
      <c r="C990" s="215" t="s">
        <v>1673</v>
      </c>
      <c r="D990" s="215" t="s">
        <v>1683</v>
      </c>
      <c r="E990" s="215" t="s">
        <v>1684</v>
      </c>
      <c r="F990" s="65" t="s">
        <v>1685</v>
      </c>
      <c r="G990" s="65" t="s">
        <v>200</v>
      </c>
      <c r="H990" s="65" t="s">
        <v>200</v>
      </c>
      <c r="I990" s="65"/>
      <c r="J990" s="65" t="s">
        <v>9</v>
      </c>
      <c r="K990" s="97" t="s">
        <v>9</v>
      </c>
      <c r="L990" s="129">
        <v>1.5</v>
      </c>
      <c r="M990" s="180">
        <f t="shared" si="586"/>
        <v>2.75</v>
      </c>
      <c r="N990" s="129">
        <v>4.0</v>
      </c>
      <c r="O990" s="129">
        <f t="shared" si="633"/>
        <v>2.75</v>
      </c>
      <c r="P990" s="159">
        <v>0.15</v>
      </c>
      <c r="Q990" s="208">
        <f t="shared" si="634"/>
        <v>3.1625</v>
      </c>
      <c r="R990" s="132">
        <v>4.0</v>
      </c>
      <c r="S990" s="132">
        <v>2.0</v>
      </c>
      <c r="T990" s="65" t="s">
        <v>32</v>
      </c>
      <c r="U990" s="26"/>
      <c r="V990" s="26"/>
      <c r="W990" s="26"/>
      <c r="X990" s="26"/>
      <c r="Y990" s="26"/>
      <c r="Z990" s="26"/>
      <c r="AA990" s="26"/>
      <c r="AB990" s="26"/>
      <c r="AC990" s="26"/>
    </row>
    <row r="991" ht="33.75" customHeight="1">
      <c r="A991" s="65" t="s">
        <v>1688</v>
      </c>
      <c r="B991" s="215" t="s">
        <v>1537</v>
      </c>
      <c r="C991" s="215" t="s">
        <v>1673</v>
      </c>
      <c r="D991" s="215" t="s">
        <v>1683</v>
      </c>
      <c r="E991" s="215" t="s">
        <v>1684</v>
      </c>
      <c r="F991" s="65" t="s">
        <v>1685</v>
      </c>
      <c r="G991" s="65" t="s">
        <v>200</v>
      </c>
      <c r="H991" s="65" t="s">
        <v>200</v>
      </c>
      <c r="I991" s="65"/>
      <c r="J991" s="65" t="s">
        <v>9</v>
      </c>
      <c r="K991" s="97" t="s">
        <v>9</v>
      </c>
      <c r="L991" s="129">
        <v>0.5</v>
      </c>
      <c r="M991" s="180">
        <f t="shared" si="586"/>
        <v>1</v>
      </c>
      <c r="N991" s="129">
        <v>1.5</v>
      </c>
      <c r="O991" s="129">
        <f t="shared" si="633"/>
        <v>1</v>
      </c>
      <c r="P991" s="159">
        <v>0.1</v>
      </c>
      <c r="Q991" s="208">
        <f t="shared" si="634"/>
        <v>1.1</v>
      </c>
      <c r="R991" s="132">
        <v>4.0</v>
      </c>
      <c r="S991" s="132">
        <v>2.0</v>
      </c>
      <c r="T991" s="65" t="s">
        <v>70</v>
      </c>
      <c r="U991" s="26"/>
      <c r="V991" s="26"/>
      <c r="W991" s="26"/>
      <c r="X991" s="26"/>
      <c r="Y991" s="26"/>
      <c r="Z991" s="26"/>
      <c r="AA991" s="26"/>
      <c r="AB991" s="26"/>
      <c r="AC991" s="26"/>
    </row>
    <row r="992" ht="33.75" customHeight="1">
      <c r="A992" s="54" t="s">
        <v>1689</v>
      </c>
      <c r="B992" s="209" t="s">
        <v>1537</v>
      </c>
      <c r="C992" s="209" t="s">
        <v>1673</v>
      </c>
      <c r="D992" s="209" t="s">
        <v>1690</v>
      </c>
      <c r="E992" s="209" t="s">
        <v>1691</v>
      </c>
      <c r="F992" s="54" t="s">
        <v>1692</v>
      </c>
      <c r="G992" s="54" t="s">
        <v>200</v>
      </c>
      <c r="H992" s="54" t="s">
        <v>200</v>
      </c>
      <c r="I992" s="54"/>
      <c r="J992" s="54" t="s">
        <v>9</v>
      </c>
      <c r="K992" s="119" t="s">
        <v>9</v>
      </c>
      <c r="L992" s="202">
        <f>IF(COUNT(L993:N995)=0,"",SUM(L993:L995))</f>
        <v>2.75</v>
      </c>
      <c r="M992" s="174">
        <f t="shared" si="586"/>
        <v>5.375</v>
      </c>
      <c r="N992" s="202">
        <f>IF(COUNT(L993:N995)=0,"",SUM(N993:N995))</f>
        <v>8</v>
      </c>
      <c r="O992" s="202">
        <f>IF(COUNT(O993:O995)=0,"",SUM(O993:O995))</f>
        <v>5.375</v>
      </c>
      <c r="P992" s="210"/>
      <c r="Q992" s="202">
        <f>IF(COUNT(Q993:Q995)=0,"",SUM(Q993:Q995))</f>
        <v>6.05</v>
      </c>
      <c r="R992" s="163"/>
      <c r="S992" s="163"/>
      <c r="T992" s="54" t="s">
        <v>65</v>
      </c>
      <c r="U992" s="179"/>
      <c r="V992" s="179"/>
      <c r="W992" s="179"/>
      <c r="X992" s="105"/>
      <c r="Y992" s="105"/>
      <c r="Z992" s="105"/>
      <c r="AA992" s="105"/>
      <c r="AB992" s="105"/>
      <c r="AC992" s="105"/>
    </row>
    <row r="993" ht="33.75" customHeight="1">
      <c r="A993" s="65" t="s">
        <v>1693</v>
      </c>
      <c r="B993" s="215" t="s">
        <v>1537</v>
      </c>
      <c r="C993" s="215" t="s">
        <v>1673</v>
      </c>
      <c r="D993" s="215" t="s">
        <v>1690</v>
      </c>
      <c r="E993" s="215" t="s">
        <v>1691</v>
      </c>
      <c r="F993" s="65" t="s">
        <v>1692</v>
      </c>
      <c r="G993" s="65" t="s">
        <v>200</v>
      </c>
      <c r="H993" s="65" t="s">
        <v>200</v>
      </c>
      <c r="I993" s="65"/>
      <c r="J993" s="65" t="s">
        <v>9</v>
      </c>
      <c r="K993" s="97" t="s">
        <v>9</v>
      </c>
      <c r="L993" s="129">
        <v>0.75</v>
      </c>
      <c r="M993" s="180">
        <f t="shared" si="586"/>
        <v>1.625</v>
      </c>
      <c r="N993" s="129">
        <v>2.5</v>
      </c>
      <c r="O993" s="129">
        <f t="shared" ref="O993:O995" si="635">IF(COUNT(L993:N993)=0,"",(L993+4*M993+N993)/6)</f>
        <v>1.625</v>
      </c>
      <c r="P993" s="159">
        <v>0.1</v>
      </c>
      <c r="Q993" s="208">
        <f t="shared" ref="Q993:Q995" si="636">IF(O993="","",IF(P993="",O993,O993*(1+P993)))</f>
        <v>1.7875</v>
      </c>
      <c r="R993" s="132">
        <v>4.0</v>
      </c>
      <c r="S993" s="132">
        <v>2.0</v>
      </c>
      <c r="T993" s="65" t="s">
        <v>31</v>
      </c>
      <c r="U993" s="26"/>
      <c r="V993" s="26"/>
      <c r="W993" s="26"/>
      <c r="X993" s="26"/>
      <c r="Y993" s="26"/>
      <c r="Z993" s="26"/>
      <c r="AA993" s="26"/>
      <c r="AB993" s="26"/>
      <c r="AC993" s="26"/>
    </row>
    <row r="994" ht="33.75" customHeight="1">
      <c r="A994" s="65" t="s">
        <v>1694</v>
      </c>
      <c r="B994" s="215" t="s">
        <v>1537</v>
      </c>
      <c r="C994" s="215" t="s">
        <v>1673</v>
      </c>
      <c r="D994" s="215" t="s">
        <v>1690</v>
      </c>
      <c r="E994" s="215" t="s">
        <v>1691</v>
      </c>
      <c r="F994" s="65" t="s">
        <v>1692</v>
      </c>
      <c r="G994" s="65" t="s">
        <v>200</v>
      </c>
      <c r="H994" s="65" t="s">
        <v>200</v>
      </c>
      <c r="I994" s="65"/>
      <c r="J994" s="65" t="s">
        <v>9</v>
      </c>
      <c r="K994" s="97" t="s">
        <v>9</v>
      </c>
      <c r="L994" s="129">
        <v>1.5</v>
      </c>
      <c r="M994" s="180">
        <f t="shared" si="586"/>
        <v>2.75</v>
      </c>
      <c r="N994" s="129">
        <v>4.0</v>
      </c>
      <c r="O994" s="129">
        <f t="shared" si="635"/>
        <v>2.75</v>
      </c>
      <c r="P994" s="159">
        <v>0.15</v>
      </c>
      <c r="Q994" s="208">
        <f t="shared" si="636"/>
        <v>3.1625</v>
      </c>
      <c r="R994" s="132">
        <v>4.0</v>
      </c>
      <c r="S994" s="132">
        <v>2.0</v>
      </c>
      <c r="T994" s="65" t="s">
        <v>32</v>
      </c>
      <c r="U994" s="26"/>
      <c r="V994" s="26"/>
      <c r="W994" s="26"/>
      <c r="X994" s="26"/>
      <c r="Y994" s="26"/>
      <c r="Z994" s="26"/>
      <c r="AA994" s="26"/>
      <c r="AB994" s="26"/>
      <c r="AC994" s="26"/>
    </row>
    <row r="995" ht="33.75" customHeight="1">
      <c r="A995" s="65" t="s">
        <v>1695</v>
      </c>
      <c r="B995" s="215" t="s">
        <v>1537</v>
      </c>
      <c r="C995" s="215" t="s">
        <v>1673</v>
      </c>
      <c r="D995" s="215" t="s">
        <v>1690</v>
      </c>
      <c r="E995" s="215" t="s">
        <v>1691</v>
      </c>
      <c r="F995" s="65" t="s">
        <v>1692</v>
      </c>
      <c r="G995" s="65" t="s">
        <v>200</v>
      </c>
      <c r="H995" s="65" t="s">
        <v>200</v>
      </c>
      <c r="I995" s="65"/>
      <c r="J995" s="65" t="s">
        <v>9</v>
      </c>
      <c r="K995" s="97" t="s">
        <v>9</v>
      </c>
      <c r="L995" s="129">
        <v>0.5</v>
      </c>
      <c r="M995" s="180">
        <f t="shared" si="586"/>
        <v>1</v>
      </c>
      <c r="N995" s="129">
        <v>1.5</v>
      </c>
      <c r="O995" s="129">
        <f t="shared" si="635"/>
        <v>1</v>
      </c>
      <c r="P995" s="159">
        <v>0.1</v>
      </c>
      <c r="Q995" s="208">
        <f t="shared" si="636"/>
        <v>1.1</v>
      </c>
      <c r="R995" s="132">
        <v>4.0</v>
      </c>
      <c r="S995" s="132">
        <v>2.0</v>
      </c>
      <c r="T995" s="65" t="s">
        <v>70</v>
      </c>
      <c r="U995" s="26"/>
      <c r="V995" s="26"/>
      <c r="W995" s="26"/>
      <c r="X995" s="26"/>
      <c r="Y995" s="26"/>
      <c r="Z995" s="26"/>
      <c r="AA995" s="26"/>
      <c r="AB995" s="26"/>
      <c r="AC995" s="26"/>
    </row>
    <row r="996" ht="33.75" customHeight="1">
      <c r="A996" s="98" t="s">
        <v>1696</v>
      </c>
      <c r="B996" s="99" t="s">
        <v>1537</v>
      </c>
      <c r="C996" s="99" t="s">
        <v>1673</v>
      </c>
      <c r="D996" s="99" t="s">
        <v>1697</v>
      </c>
      <c r="E996" s="99" t="s">
        <v>1698</v>
      </c>
      <c r="F996" s="98" t="s">
        <v>1546</v>
      </c>
      <c r="G996" s="98" t="s">
        <v>200</v>
      </c>
      <c r="H996" s="98" t="s">
        <v>200</v>
      </c>
      <c r="I996" s="98"/>
      <c r="J996" s="98" t="s">
        <v>12</v>
      </c>
      <c r="K996" s="100" t="s">
        <v>12</v>
      </c>
      <c r="L996" s="101">
        <f>IF(COUNT(L997:N999)=0,"",SUM(L997:L999))</f>
        <v>0</v>
      </c>
      <c r="M996" s="102">
        <f t="shared" si="586"/>
        <v>0</v>
      </c>
      <c r="N996" s="101">
        <f>IF(COUNT(L997:N999)=0,"",SUM(N997:N999))</f>
        <v>0</v>
      </c>
      <c r="O996" s="101">
        <f>IF(COUNT(O997:O999)=0,"",SUM(O997:O999))</f>
        <v>0</v>
      </c>
      <c r="P996" s="103"/>
      <c r="Q996" s="101">
        <f>IF(COUNT(Q997:Q999)=0,"",SUM(Q997:Q999))</f>
        <v>0</v>
      </c>
      <c r="R996" s="104"/>
      <c r="S996" s="104"/>
      <c r="T996" s="98" t="s">
        <v>65</v>
      </c>
      <c r="U996" s="179"/>
      <c r="V996" s="179"/>
      <c r="W996" s="179"/>
      <c r="X996" s="105"/>
      <c r="Y996" s="105"/>
      <c r="Z996" s="105"/>
      <c r="AA996" s="105"/>
      <c r="AB996" s="105"/>
      <c r="AC996" s="105"/>
    </row>
    <row r="997" ht="33.75" customHeight="1">
      <c r="A997" s="106" t="s">
        <v>1699</v>
      </c>
      <c r="B997" s="107" t="s">
        <v>1537</v>
      </c>
      <c r="C997" s="107" t="s">
        <v>1673</v>
      </c>
      <c r="D997" s="107" t="s">
        <v>1697</v>
      </c>
      <c r="E997" s="107" t="s">
        <v>1698</v>
      </c>
      <c r="F997" s="106" t="s">
        <v>1546</v>
      </c>
      <c r="G997" s="106" t="s">
        <v>200</v>
      </c>
      <c r="H997" s="106" t="s">
        <v>200</v>
      </c>
      <c r="I997" s="106"/>
      <c r="J997" s="106" t="s">
        <v>12</v>
      </c>
      <c r="K997" s="108" t="s">
        <v>12</v>
      </c>
      <c r="L997" s="109"/>
      <c r="M997" s="109">
        <f t="shared" si="586"/>
        <v>0</v>
      </c>
      <c r="N997" s="109"/>
      <c r="O997" s="109">
        <f t="shared" ref="O997:O999" si="637">IF(COUNT(L997:N997)=0,"",(L997+4*M997+N997)/6)</f>
        <v>0</v>
      </c>
      <c r="P997" s="110"/>
      <c r="Q997" s="109">
        <f t="shared" ref="Q997:Q999" si="638">IF(O997="","",IF(P997="",O997,O997*(1+P997)))</f>
        <v>0</v>
      </c>
      <c r="R997" s="111"/>
      <c r="S997" s="111"/>
      <c r="T997" s="106" t="s">
        <v>31</v>
      </c>
      <c r="U997" s="26"/>
      <c r="V997" s="26"/>
      <c r="W997" s="26"/>
      <c r="X997" s="26"/>
      <c r="Y997" s="26"/>
      <c r="Z997" s="26"/>
      <c r="AA997" s="26"/>
      <c r="AB997" s="26"/>
      <c r="AC997" s="26"/>
    </row>
    <row r="998" ht="33.75" customHeight="1">
      <c r="A998" s="106" t="s">
        <v>1700</v>
      </c>
      <c r="B998" s="107" t="s">
        <v>1537</v>
      </c>
      <c r="C998" s="107" t="s">
        <v>1673</v>
      </c>
      <c r="D998" s="107" t="s">
        <v>1697</v>
      </c>
      <c r="E998" s="107" t="s">
        <v>1698</v>
      </c>
      <c r="F998" s="106" t="s">
        <v>1546</v>
      </c>
      <c r="G998" s="106" t="s">
        <v>200</v>
      </c>
      <c r="H998" s="106" t="s">
        <v>200</v>
      </c>
      <c r="I998" s="106"/>
      <c r="J998" s="106" t="s">
        <v>12</v>
      </c>
      <c r="K998" s="108" t="s">
        <v>12</v>
      </c>
      <c r="L998" s="109"/>
      <c r="M998" s="109">
        <f t="shared" si="586"/>
        <v>0</v>
      </c>
      <c r="N998" s="109"/>
      <c r="O998" s="109">
        <f t="shared" si="637"/>
        <v>0</v>
      </c>
      <c r="P998" s="110"/>
      <c r="Q998" s="109">
        <f t="shared" si="638"/>
        <v>0</v>
      </c>
      <c r="R998" s="111"/>
      <c r="S998" s="111"/>
      <c r="T998" s="106" t="s">
        <v>32</v>
      </c>
      <c r="U998" s="26"/>
      <c r="V998" s="26"/>
      <c r="W998" s="26"/>
      <c r="X998" s="26"/>
      <c r="Y998" s="26"/>
      <c r="Z998" s="26"/>
      <c r="AA998" s="26"/>
      <c r="AB998" s="26"/>
      <c r="AC998" s="26"/>
    </row>
    <row r="999" ht="33.75" customHeight="1">
      <c r="A999" s="106" t="s">
        <v>1701</v>
      </c>
      <c r="B999" s="107" t="s">
        <v>1537</v>
      </c>
      <c r="C999" s="107" t="s">
        <v>1673</v>
      </c>
      <c r="D999" s="107" t="s">
        <v>1697</v>
      </c>
      <c r="E999" s="107" t="s">
        <v>1698</v>
      </c>
      <c r="F999" s="106" t="s">
        <v>1546</v>
      </c>
      <c r="G999" s="106" t="s">
        <v>200</v>
      </c>
      <c r="H999" s="106" t="s">
        <v>200</v>
      </c>
      <c r="I999" s="106"/>
      <c r="J999" s="106" t="s">
        <v>12</v>
      </c>
      <c r="K999" s="108" t="s">
        <v>12</v>
      </c>
      <c r="L999" s="109"/>
      <c r="M999" s="109">
        <f t="shared" si="586"/>
        <v>0</v>
      </c>
      <c r="N999" s="109"/>
      <c r="O999" s="109">
        <f t="shared" si="637"/>
        <v>0</v>
      </c>
      <c r="P999" s="110"/>
      <c r="Q999" s="109">
        <f t="shared" si="638"/>
        <v>0</v>
      </c>
      <c r="R999" s="111"/>
      <c r="S999" s="111"/>
      <c r="T999" s="106" t="s">
        <v>70</v>
      </c>
      <c r="U999" s="26"/>
      <c r="V999" s="26"/>
      <c r="W999" s="26"/>
      <c r="X999" s="26"/>
      <c r="Y999" s="26"/>
      <c r="Z999" s="26"/>
      <c r="AA999" s="26"/>
      <c r="AB999" s="26"/>
      <c r="AC999" s="26"/>
    </row>
    <row r="1000" ht="33.75" customHeight="1">
      <c r="A1000" s="45" t="s">
        <v>1702</v>
      </c>
      <c r="B1000" s="212" t="s">
        <v>1537</v>
      </c>
      <c r="C1000" s="212" t="s">
        <v>1703</v>
      </c>
      <c r="D1000" s="212" t="s">
        <v>1703</v>
      </c>
      <c r="E1000" s="212" t="s">
        <v>1704</v>
      </c>
      <c r="F1000" s="45"/>
      <c r="G1000" s="45"/>
      <c r="H1000" s="45"/>
      <c r="I1000" s="45"/>
      <c r="J1000" s="45"/>
      <c r="K1000" s="123"/>
      <c r="L1000" s="213">
        <f>IF(COUNT(L1001,L1005,L1009)=0,"",SUM(L1001,L1005,L1009))</f>
        <v>4.25</v>
      </c>
      <c r="M1000" s="213">
        <f t="shared" si="586"/>
        <v>8.875</v>
      </c>
      <c r="N1000" s="213">
        <f t="shared" ref="N1000:O1000" si="639">IF(COUNT(N1001,N1005,N1009)=0,"",SUM(N1001,N1005,N1009))</f>
        <v>13.5</v>
      </c>
      <c r="O1000" s="213">
        <f t="shared" si="639"/>
        <v>8.875</v>
      </c>
      <c r="P1000" s="214"/>
      <c r="Q1000" s="213">
        <f>IF(COUNT(Q1001,Q1005,Q1009)=0,"",SUM(Q1001,Q1005,Q1009))</f>
        <v>9.925</v>
      </c>
      <c r="R1000" s="126"/>
      <c r="S1000" s="126"/>
      <c r="T1000" s="45" t="s">
        <v>62</v>
      </c>
      <c r="U1000" s="26"/>
      <c r="V1000" s="26"/>
      <c r="W1000" s="26"/>
      <c r="X1000" s="46">
        <f t="shared" ref="X1000:AA1000" si="640">L1000</f>
        <v>4.25</v>
      </c>
      <c r="Y1000" s="46">
        <f t="shared" si="640"/>
        <v>8.875</v>
      </c>
      <c r="Z1000" s="46">
        <f t="shared" si="640"/>
        <v>13.5</v>
      </c>
      <c r="AA1000" s="46">
        <f t="shared" si="640"/>
        <v>8.875</v>
      </c>
      <c r="AB1000" s="26"/>
      <c r="AC1000" s="46">
        <f>Q1000</f>
        <v>9.925</v>
      </c>
    </row>
    <row r="1001" ht="33.75" customHeight="1">
      <c r="A1001" s="54" t="s">
        <v>1705</v>
      </c>
      <c r="B1001" s="209" t="s">
        <v>1537</v>
      </c>
      <c r="C1001" s="209" t="s">
        <v>1703</v>
      </c>
      <c r="D1001" s="209" t="s">
        <v>1706</v>
      </c>
      <c r="E1001" s="209" t="s">
        <v>1707</v>
      </c>
      <c r="F1001" s="54" t="s">
        <v>1708</v>
      </c>
      <c r="G1001" s="54" t="s">
        <v>168</v>
      </c>
      <c r="H1001" s="54" t="s">
        <v>168</v>
      </c>
      <c r="I1001" s="54"/>
      <c r="J1001" s="54" t="s">
        <v>9</v>
      </c>
      <c r="K1001" s="119" t="s">
        <v>9</v>
      </c>
      <c r="L1001" s="202">
        <f>IF(COUNT(L1002:N1004)=0,"",SUM(L1002:L1004))</f>
        <v>1.5</v>
      </c>
      <c r="M1001" s="174">
        <f t="shared" si="586"/>
        <v>3</v>
      </c>
      <c r="N1001" s="202">
        <f>IF(COUNT(L1002:N1004)=0,"",SUM(N1002:N1004))</f>
        <v>4.5</v>
      </c>
      <c r="O1001" s="202">
        <f>IF(COUNT(O1002:O1004)=0,"",SUM(O1002:O1004))</f>
        <v>3</v>
      </c>
      <c r="P1001" s="210"/>
      <c r="Q1001" s="202">
        <f>IF(COUNT(Q1002:Q1004)=0,"",SUM(Q1002:Q1004))</f>
        <v>3.35625</v>
      </c>
      <c r="R1001" s="163"/>
      <c r="S1001" s="163"/>
      <c r="T1001" s="54" t="s">
        <v>65</v>
      </c>
      <c r="U1001" s="179"/>
      <c r="V1001" s="179"/>
      <c r="W1001" s="179"/>
      <c r="X1001" s="105"/>
      <c r="Y1001" s="105"/>
      <c r="Z1001" s="105"/>
      <c r="AA1001" s="105"/>
      <c r="AB1001" s="105"/>
      <c r="AC1001" s="105"/>
    </row>
    <row r="1002" ht="33.75" customHeight="1">
      <c r="A1002" s="65" t="s">
        <v>1709</v>
      </c>
      <c r="B1002" s="215" t="s">
        <v>1537</v>
      </c>
      <c r="C1002" s="215" t="s">
        <v>1703</v>
      </c>
      <c r="D1002" s="215" t="s">
        <v>1706</v>
      </c>
      <c r="E1002" s="215" t="s">
        <v>1707</v>
      </c>
      <c r="F1002" s="65" t="s">
        <v>1708</v>
      </c>
      <c r="G1002" s="65" t="s">
        <v>168</v>
      </c>
      <c r="H1002" s="65" t="s">
        <v>168</v>
      </c>
      <c r="I1002" s="65"/>
      <c r="J1002" s="65" t="s">
        <v>9</v>
      </c>
      <c r="K1002" s="97" t="s">
        <v>9</v>
      </c>
      <c r="L1002" s="129">
        <v>0.25</v>
      </c>
      <c r="M1002" s="180">
        <f t="shared" si="586"/>
        <v>0.625</v>
      </c>
      <c r="N1002" s="129">
        <v>1.0</v>
      </c>
      <c r="O1002" s="129">
        <f t="shared" ref="O1002:O1004" si="641">IF(COUNT(L1002:N1002)=0,"",(L1002+4*M1002+N1002)/6)</f>
        <v>0.625</v>
      </c>
      <c r="P1002" s="159">
        <v>0.05</v>
      </c>
      <c r="Q1002" s="208">
        <f t="shared" ref="Q1002:Q1004" si="642">IF(O1002="","",IF(P1002="",O1002,O1002*(1+P1002)))</f>
        <v>0.65625</v>
      </c>
      <c r="R1002" s="132">
        <v>5.0</v>
      </c>
      <c r="S1002" s="132">
        <v>1.0</v>
      </c>
      <c r="T1002" s="65" t="s">
        <v>31</v>
      </c>
      <c r="U1002" s="26"/>
      <c r="V1002" s="26"/>
      <c r="W1002" s="26"/>
      <c r="X1002" s="26"/>
      <c r="Y1002" s="26"/>
      <c r="Z1002" s="26"/>
      <c r="AA1002" s="26"/>
      <c r="AB1002" s="26"/>
      <c r="AC1002" s="26"/>
    </row>
    <row r="1003" ht="33.75" customHeight="1">
      <c r="A1003" s="65" t="s">
        <v>1710</v>
      </c>
      <c r="B1003" s="215" t="s">
        <v>1537</v>
      </c>
      <c r="C1003" s="215" t="s">
        <v>1703</v>
      </c>
      <c r="D1003" s="215" t="s">
        <v>1706</v>
      </c>
      <c r="E1003" s="215" t="s">
        <v>1707</v>
      </c>
      <c r="F1003" s="65" t="s">
        <v>1708</v>
      </c>
      <c r="G1003" s="65" t="s">
        <v>168</v>
      </c>
      <c r="H1003" s="65" t="s">
        <v>168</v>
      </c>
      <c r="I1003" s="65"/>
      <c r="J1003" s="65" t="s">
        <v>9</v>
      </c>
      <c r="K1003" s="97" t="s">
        <v>9</v>
      </c>
      <c r="L1003" s="129">
        <v>1.0</v>
      </c>
      <c r="M1003" s="180">
        <f t="shared" si="586"/>
        <v>1.75</v>
      </c>
      <c r="N1003" s="129">
        <v>2.5</v>
      </c>
      <c r="O1003" s="129">
        <f t="shared" si="641"/>
        <v>1.75</v>
      </c>
      <c r="P1003" s="159">
        <v>0.15</v>
      </c>
      <c r="Q1003" s="208">
        <f t="shared" si="642"/>
        <v>2.0125</v>
      </c>
      <c r="R1003" s="132">
        <v>4.0</v>
      </c>
      <c r="S1003" s="132">
        <v>2.0</v>
      </c>
      <c r="T1003" s="65" t="s">
        <v>32</v>
      </c>
      <c r="U1003" s="26"/>
      <c r="V1003" s="26"/>
      <c r="W1003" s="26"/>
      <c r="X1003" s="26"/>
      <c r="Y1003" s="26"/>
      <c r="Z1003" s="26"/>
      <c r="AA1003" s="26"/>
      <c r="AB1003" s="26"/>
      <c r="AC1003" s="26"/>
    </row>
    <row r="1004" ht="33.75" customHeight="1">
      <c r="A1004" s="65" t="s">
        <v>1711</v>
      </c>
      <c r="B1004" s="215" t="s">
        <v>1537</v>
      </c>
      <c r="C1004" s="215" t="s">
        <v>1703</v>
      </c>
      <c r="D1004" s="215" t="s">
        <v>1706</v>
      </c>
      <c r="E1004" s="215" t="s">
        <v>1707</v>
      </c>
      <c r="F1004" s="65" t="s">
        <v>1708</v>
      </c>
      <c r="G1004" s="65" t="s">
        <v>168</v>
      </c>
      <c r="H1004" s="65" t="s">
        <v>168</v>
      </c>
      <c r="I1004" s="65"/>
      <c r="J1004" s="65" t="s">
        <v>9</v>
      </c>
      <c r="K1004" s="97" t="s">
        <v>9</v>
      </c>
      <c r="L1004" s="129">
        <v>0.25</v>
      </c>
      <c r="M1004" s="180">
        <f t="shared" si="586"/>
        <v>0.625</v>
      </c>
      <c r="N1004" s="129">
        <v>1.0</v>
      </c>
      <c r="O1004" s="129">
        <f t="shared" si="641"/>
        <v>0.625</v>
      </c>
      <c r="P1004" s="159">
        <v>0.1</v>
      </c>
      <c r="Q1004" s="208">
        <f t="shared" si="642"/>
        <v>0.6875</v>
      </c>
      <c r="R1004" s="132">
        <v>4.0</v>
      </c>
      <c r="S1004" s="132">
        <v>2.0</v>
      </c>
      <c r="T1004" s="65" t="s">
        <v>70</v>
      </c>
      <c r="U1004" s="26"/>
      <c r="V1004" s="26"/>
      <c r="W1004" s="26"/>
      <c r="X1004" s="26"/>
      <c r="Y1004" s="26"/>
      <c r="Z1004" s="26"/>
      <c r="AA1004" s="26"/>
      <c r="AB1004" s="26"/>
      <c r="AC1004" s="26"/>
    </row>
    <row r="1005" ht="33.75" customHeight="1">
      <c r="A1005" s="54" t="s">
        <v>1712</v>
      </c>
      <c r="B1005" s="209" t="s">
        <v>1537</v>
      </c>
      <c r="C1005" s="209" t="s">
        <v>1703</v>
      </c>
      <c r="D1005" s="209" t="s">
        <v>1713</v>
      </c>
      <c r="E1005" s="209" t="s">
        <v>1714</v>
      </c>
      <c r="F1005" s="54" t="s">
        <v>1715</v>
      </c>
      <c r="G1005" s="54" t="s">
        <v>168</v>
      </c>
      <c r="H1005" s="54" t="s">
        <v>168</v>
      </c>
      <c r="I1005" s="54"/>
      <c r="J1005" s="54" t="s">
        <v>9</v>
      </c>
      <c r="K1005" s="119" t="s">
        <v>9</v>
      </c>
      <c r="L1005" s="202">
        <f>IF(COUNT(L1006:N1008)=0,"",SUM(L1006:L1008))</f>
        <v>1.5</v>
      </c>
      <c r="M1005" s="174">
        <f t="shared" si="586"/>
        <v>3</v>
      </c>
      <c r="N1005" s="202">
        <f>IF(COUNT(L1006:N1008)=0,"",SUM(N1006:N1008))</f>
        <v>4.5</v>
      </c>
      <c r="O1005" s="202">
        <f>IF(COUNT(O1006:O1008)=0,"",SUM(O1006:O1008))</f>
        <v>3</v>
      </c>
      <c r="P1005" s="210"/>
      <c r="Q1005" s="202">
        <f>IF(COUNT(Q1006:Q1008)=0,"",SUM(Q1006:Q1008))</f>
        <v>3.35625</v>
      </c>
      <c r="R1005" s="163"/>
      <c r="S1005" s="163"/>
      <c r="T1005" s="54" t="s">
        <v>65</v>
      </c>
      <c r="U1005" s="179"/>
      <c r="V1005" s="179"/>
      <c r="W1005" s="179"/>
      <c r="X1005" s="105"/>
      <c r="Y1005" s="105"/>
      <c r="Z1005" s="105"/>
      <c r="AA1005" s="105"/>
      <c r="AB1005" s="105"/>
      <c r="AC1005" s="105"/>
    </row>
    <row r="1006" ht="33.75" customHeight="1">
      <c r="A1006" s="65" t="s">
        <v>1716</v>
      </c>
      <c r="B1006" s="215" t="s">
        <v>1537</v>
      </c>
      <c r="C1006" s="215" t="s">
        <v>1703</v>
      </c>
      <c r="D1006" s="215" t="s">
        <v>1713</v>
      </c>
      <c r="E1006" s="215" t="s">
        <v>1714</v>
      </c>
      <c r="F1006" s="65" t="s">
        <v>1715</v>
      </c>
      <c r="G1006" s="65" t="s">
        <v>168</v>
      </c>
      <c r="H1006" s="65" t="s">
        <v>168</v>
      </c>
      <c r="I1006" s="65"/>
      <c r="J1006" s="65" t="s">
        <v>9</v>
      </c>
      <c r="K1006" s="97" t="s">
        <v>9</v>
      </c>
      <c r="L1006" s="129">
        <v>0.25</v>
      </c>
      <c r="M1006" s="180">
        <f t="shared" si="586"/>
        <v>0.625</v>
      </c>
      <c r="N1006" s="129">
        <v>1.0</v>
      </c>
      <c r="O1006" s="129">
        <f t="shared" ref="O1006:O1008" si="643">IF(COUNT(L1006:N1006)=0,"",(L1006+4*M1006+N1006)/6)</f>
        <v>0.625</v>
      </c>
      <c r="P1006" s="159">
        <v>0.05</v>
      </c>
      <c r="Q1006" s="208">
        <f t="shared" ref="Q1006:Q1008" si="644">IF(O1006="","",IF(P1006="",O1006,O1006*(1+P1006)))</f>
        <v>0.65625</v>
      </c>
      <c r="R1006" s="132">
        <v>5.0</v>
      </c>
      <c r="S1006" s="132">
        <v>1.0</v>
      </c>
      <c r="T1006" s="65" t="s">
        <v>31</v>
      </c>
      <c r="U1006" s="26"/>
      <c r="V1006" s="26"/>
      <c r="W1006" s="26"/>
      <c r="X1006" s="26"/>
      <c r="Y1006" s="26"/>
      <c r="Z1006" s="26"/>
      <c r="AA1006" s="26"/>
      <c r="AB1006" s="26"/>
      <c r="AC1006" s="26"/>
    </row>
    <row r="1007" ht="33.75" customHeight="1">
      <c r="A1007" s="65" t="s">
        <v>1717</v>
      </c>
      <c r="B1007" s="215" t="s">
        <v>1537</v>
      </c>
      <c r="C1007" s="215" t="s">
        <v>1703</v>
      </c>
      <c r="D1007" s="215" t="s">
        <v>1713</v>
      </c>
      <c r="E1007" s="215" t="s">
        <v>1714</v>
      </c>
      <c r="F1007" s="65" t="s">
        <v>1715</v>
      </c>
      <c r="G1007" s="65" t="s">
        <v>168</v>
      </c>
      <c r="H1007" s="65" t="s">
        <v>168</v>
      </c>
      <c r="I1007" s="65"/>
      <c r="J1007" s="65" t="s">
        <v>9</v>
      </c>
      <c r="K1007" s="97" t="s">
        <v>9</v>
      </c>
      <c r="L1007" s="129">
        <v>1.0</v>
      </c>
      <c r="M1007" s="180">
        <f t="shared" si="586"/>
        <v>1.75</v>
      </c>
      <c r="N1007" s="129">
        <v>2.5</v>
      </c>
      <c r="O1007" s="129">
        <f t="shared" si="643"/>
        <v>1.75</v>
      </c>
      <c r="P1007" s="159">
        <v>0.15</v>
      </c>
      <c r="Q1007" s="208">
        <f t="shared" si="644"/>
        <v>2.0125</v>
      </c>
      <c r="R1007" s="132">
        <v>4.0</v>
      </c>
      <c r="S1007" s="132">
        <v>2.0</v>
      </c>
      <c r="T1007" s="65" t="s">
        <v>32</v>
      </c>
      <c r="U1007" s="26"/>
      <c r="V1007" s="26"/>
      <c r="W1007" s="26"/>
      <c r="X1007" s="26"/>
      <c r="Y1007" s="26"/>
      <c r="Z1007" s="26"/>
      <c r="AA1007" s="26"/>
      <c r="AB1007" s="26"/>
      <c r="AC1007" s="26"/>
    </row>
    <row r="1008" ht="33.75" customHeight="1">
      <c r="A1008" s="65" t="s">
        <v>1718</v>
      </c>
      <c r="B1008" s="215" t="s">
        <v>1537</v>
      </c>
      <c r="C1008" s="215" t="s">
        <v>1703</v>
      </c>
      <c r="D1008" s="215" t="s">
        <v>1713</v>
      </c>
      <c r="E1008" s="215" t="s">
        <v>1714</v>
      </c>
      <c r="F1008" s="65" t="s">
        <v>1715</v>
      </c>
      <c r="G1008" s="65" t="s">
        <v>168</v>
      </c>
      <c r="H1008" s="65" t="s">
        <v>168</v>
      </c>
      <c r="I1008" s="65"/>
      <c r="J1008" s="65" t="s">
        <v>9</v>
      </c>
      <c r="K1008" s="97" t="s">
        <v>9</v>
      </c>
      <c r="L1008" s="129">
        <v>0.25</v>
      </c>
      <c r="M1008" s="180">
        <f t="shared" si="586"/>
        <v>0.625</v>
      </c>
      <c r="N1008" s="129">
        <v>1.0</v>
      </c>
      <c r="O1008" s="129">
        <f t="shared" si="643"/>
        <v>0.625</v>
      </c>
      <c r="P1008" s="159">
        <v>0.1</v>
      </c>
      <c r="Q1008" s="208">
        <f t="shared" si="644"/>
        <v>0.6875</v>
      </c>
      <c r="R1008" s="132">
        <v>4.0</v>
      </c>
      <c r="S1008" s="132">
        <v>2.0</v>
      </c>
      <c r="T1008" s="65" t="s">
        <v>70</v>
      </c>
      <c r="U1008" s="26"/>
      <c r="V1008" s="26"/>
      <c r="W1008" s="26"/>
      <c r="X1008" s="26"/>
      <c r="Y1008" s="26"/>
      <c r="Z1008" s="26"/>
      <c r="AA1008" s="26"/>
      <c r="AB1008" s="26"/>
      <c r="AC1008" s="26"/>
    </row>
    <row r="1009" ht="33.75" customHeight="1">
      <c r="A1009" s="54" t="s">
        <v>1719</v>
      </c>
      <c r="B1009" s="209" t="s">
        <v>1537</v>
      </c>
      <c r="C1009" s="209" t="s">
        <v>1703</v>
      </c>
      <c r="D1009" s="209" t="s">
        <v>1720</v>
      </c>
      <c r="E1009" s="209" t="s">
        <v>1721</v>
      </c>
      <c r="F1009" s="54" t="s">
        <v>1722</v>
      </c>
      <c r="G1009" s="54" t="s">
        <v>168</v>
      </c>
      <c r="H1009" s="54" t="s">
        <v>168</v>
      </c>
      <c r="I1009" s="54"/>
      <c r="J1009" s="54" t="s">
        <v>9</v>
      </c>
      <c r="K1009" s="119" t="s">
        <v>9</v>
      </c>
      <c r="L1009" s="202">
        <f>IF(COUNT(L1010:N1012)=0,"",SUM(L1010:L1012))</f>
        <v>1.25</v>
      </c>
      <c r="M1009" s="174">
        <f t="shared" si="586"/>
        <v>2.875</v>
      </c>
      <c r="N1009" s="202">
        <f>IF(COUNT(L1010:N1012)=0,"",SUM(N1010:N1012))</f>
        <v>4.5</v>
      </c>
      <c r="O1009" s="202">
        <f>IF(COUNT(O1010:O1012)=0,"",SUM(O1010:O1012))</f>
        <v>2.875</v>
      </c>
      <c r="P1009" s="210"/>
      <c r="Q1009" s="202">
        <f>IF(COUNT(Q1010:Q1012)=0,"",SUM(Q1010:Q1012))</f>
        <v>3.2125</v>
      </c>
      <c r="R1009" s="163"/>
      <c r="S1009" s="163"/>
      <c r="T1009" s="54" t="s">
        <v>65</v>
      </c>
      <c r="U1009" s="179"/>
      <c r="V1009" s="179"/>
      <c r="W1009" s="179"/>
      <c r="X1009" s="105"/>
      <c r="Y1009" s="105"/>
      <c r="Z1009" s="105"/>
      <c r="AA1009" s="105"/>
      <c r="AB1009" s="105"/>
      <c r="AC1009" s="105"/>
    </row>
    <row r="1010" ht="33.75" customHeight="1">
      <c r="A1010" s="65" t="s">
        <v>1723</v>
      </c>
      <c r="B1010" s="215" t="s">
        <v>1537</v>
      </c>
      <c r="C1010" s="215" t="s">
        <v>1703</v>
      </c>
      <c r="D1010" s="215" t="s">
        <v>1720</v>
      </c>
      <c r="E1010" s="215" t="s">
        <v>1721</v>
      </c>
      <c r="F1010" s="65" t="s">
        <v>1722</v>
      </c>
      <c r="G1010" s="65" t="s">
        <v>168</v>
      </c>
      <c r="H1010" s="65" t="s">
        <v>168</v>
      </c>
      <c r="I1010" s="65"/>
      <c r="J1010" s="65" t="s">
        <v>9</v>
      </c>
      <c r="K1010" s="97" t="s">
        <v>9</v>
      </c>
      <c r="L1010" s="129">
        <v>0.25</v>
      </c>
      <c r="M1010" s="180">
        <f t="shared" si="586"/>
        <v>0.625</v>
      </c>
      <c r="N1010" s="129">
        <v>1.0</v>
      </c>
      <c r="O1010" s="129">
        <f t="shared" ref="O1010:O1012" si="645">IF(COUNT(L1010:N1010)=0,"",(L1010+4*M1010+N1010)/6)</f>
        <v>0.625</v>
      </c>
      <c r="P1010" s="159">
        <v>0.05</v>
      </c>
      <c r="Q1010" s="208">
        <f t="shared" ref="Q1010:Q1012" si="646">IF(O1010="","",IF(P1010="",O1010,O1010*(1+P1010)))</f>
        <v>0.65625</v>
      </c>
      <c r="R1010" s="132">
        <v>5.0</v>
      </c>
      <c r="S1010" s="132">
        <v>1.0</v>
      </c>
      <c r="T1010" s="65" t="s">
        <v>31</v>
      </c>
      <c r="U1010" s="26"/>
      <c r="V1010" s="26"/>
      <c r="W1010" s="26"/>
      <c r="X1010" s="26"/>
      <c r="Y1010" s="26"/>
      <c r="Z1010" s="26"/>
      <c r="AA1010" s="26"/>
      <c r="AB1010" s="26"/>
      <c r="AC1010" s="26"/>
    </row>
    <row r="1011" ht="33.75" customHeight="1">
      <c r="A1011" s="65" t="s">
        <v>1724</v>
      </c>
      <c r="B1011" s="215" t="s">
        <v>1537</v>
      </c>
      <c r="C1011" s="215" t="s">
        <v>1703</v>
      </c>
      <c r="D1011" s="215" t="s">
        <v>1720</v>
      </c>
      <c r="E1011" s="215" t="s">
        <v>1721</v>
      </c>
      <c r="F1011" s="65" t="s">
        <v>1722</v>
      </c>
      <c r="G1011" s="65" t="s">
        <v>168</v>
      </c>
      <c r="H1011" s="65" t="s">
        <v>168</v>
      </c>
      <c r="I1011" s="65"/>
      <c r="J1011" s="65" t="s">
        <v>9</v>
      </c>
      <c r="K1011" s="97" t="s">
        <v>9</v>
      </c>
      <c r="L1011" s="129">
        <v>0.75</v>
      </c>
      <c r="M1011" s="180">
        <f t="shared" si="586"/>
        <v>1.625</v>
      </c>
      <c r="N1011" s="129">
        <v>2.5</v>
      </c>
      <c r="O1011" s="129">
        <f t="shared" si="645"/>
        <v>1.625</v>
      </c>
      <c r="P1011" s="159">
        <v>0.15</v>
      </c>
      <c r="Q1011" s="208">
        <f t="shared" si="646"/>
        <v>1.86875</v>
      </c>
      <c r="R1011" s="132">
        <v>4.0</v>
      </c>
      <c r="S1011" s="132">
        <v>2.0</v>
      </c>
      <c r="T1011" s="65" t="s">
        <v>32</v>
      </c>
      <c r="U1011" s="26"/>
      <c r="V1011" s="26"/>
      <c r="W1011" s="26"/>
      <c r="X1011" s="26"/>
      <c r="Y1011" s="26"/>
      <c r="Z1011" s="26"/>
      <c r="AA1011" s="26"/>
      <c r="AB1011" s="26"/>
      <c r="AC1011" s="26"/>
    </row>
    <row r="1012" ht="33.75" customHeight="1">
      <c r="A1012" s="65" t="s">
        <v>1725</v>
      </c>
      <c r="B1012" s="215" t="s">
        <v>1537</v>
      </c>
      <c r="C1012" s="215" t="s">
        <v>1703</v>
      </c>
      <c r="D1012" s="215" t="s">
        <v>1720</v>
      </c>
      <c r="E1012" s="215" t="s">
        <v>1721</v>
      </c>
      <c r="F1012" s="65" t="s">
        <v>1722</v>
      </c>
      <c r="G1012" s="65" t="s">
        <v>168</v>
      </c>
      <c r="H1012" s="65" t="s">
        <v>168</v>
      </c>
      <c r="I1012" s="65"/>
      <c r="J1012" s="65" t="s">
        <v>9</v>
      </c>
      <c r="K1012" s="97" t="s">
        <v>9</v>
      </c>
      <c r="L1012" s="129">
        <v>0.25</v>
      </c>
      <c r="M1012" s="180">
        <f t="shared" si="586"/>
        <v>0.625</v>
      </c>
      <c r="N1012" s="129">
        <v>1.0</v>
      </c>
      <c r="O1012" s="129">
        <f t="shared" si="645"/>
        <v>0.625</v>
      </c>
      <c r="P1012" s="159">
        <v>0.1</v>
      </c>
      <c r="Q1012" s="208">
        <f t="shared" si="646"/>
        <v>0.6875</v>
      </c>
      <c r="R1012" s="132">
        <v>4.0</v>
      </c>
      <c r="S1012" s="132">
        <v>2.0</v>
      </c>
      <c r="T1012" s="65" t="s">
        <v>70</v>
      </c>
      <c r="U1012" s="26"/>
      <c r="V1012" s="26"/>
      <c r="W1012" s="26"/>
      <c r="X1012" s="26"/>
      <c r="Y1012" s="26"/>
      <c r="Z1012" s="26"/>
      <c r="AA1012" s="26"/>
      <c r="AB1012" s="26"/>
      <c r="AC1012" s="26"/>
    </row>
    <row r="1013" ht="33.75" customHeight="1">
      <c r="A1013" s="27" t="s">
        <v>1726</v>
      </c>
      <c r="B1013" s="28"/>
      <c r="C1013" s="28"/>
      <c r="D1013" s="28"/>
      <c r="E1013" s="29"/>
      <c r="F1013" s="30"/>
      <c r="G1013" s="30"/>
      <c r="H1013" s="30"/>
      <c r="I1013" s="30"/>
      <c r="J1013" s="30"/>
      <c r="K1013" s="31"/>
      <c r="L1013" s="32">
        <f t="shared" ref="L1013:O1013" si="647">SUM(X1014:X1086)</f>
        <v>9.75</v>
      </c>
      <c r="M1013" s="32">
        <f t="shared" si="647"/>
        <v>19.875</v>
      </c>
      <c r="N1013" s="32">
        <f t="shared" si="647"/>
        <v>30</v>
      </c>
      <c r="O1013" s="32">
        <f t="shared" si="647"/>
        <v>19.875</v>
      </c>
      <c r="P1013" s="33"/>
      <c r="Q1013" s="32">
        <f>SUM(AC1014:AC1086)</f>
        <v>22.14375</v>
      </c>
      <c r="R1013" s="34"/>
      <c r="S1013" s="34"/>
      <c r="T1013" s="35" t="s">
        <v>59</v>
      </c>
      <c r="U1013" s="26"/>
      <c r="V1013" s="26"/>
      <c r="W1013" s="26"/>
      <c r="X1013" s="26"/>
      <c r="Y1013" s="26"/>
      <c r="Z1013" s="26"/>
      <c r="AA1013" s="26"/>
      <c r="AB1013" s="26"/>
      <c r="AC1013" s="26"/>
    </row>
    <row r="1014" ht="33.75" customHeight="1">
      <c r="A1014" s="45" t="s">
        <v>1727</v>
      </c>
      <c r="B1014" s="212" t="s">
        <v>1728</v>
      </c>
      <c r="C1014" s="212" t="s">
        <v>1729</v>
      </c>
      <c r="D1014" s="212" t="s">
        <v>1729</v>
      </c>
      <c r="E1014" s="212" t="s">
        <v>1730</v>
      </c>
      <c r="F1014" s="45"/>
      <c r="G1014" s="45"/>
      <c r="H1014" s="45"/>
      <c r="I1014" s="45"/>
      <c r="J1014" s="45"/>
      <c r="K1014" s="123"/>
      <c r="L1014" s="213">
        <f>IF(COUNT(L1015,L1019,L1023,L1027)=0,"",SUM(L1015,L1019,L1023,L1027))</f>
        <v>7</v>
      </c>
      <c r="M1014" s="213">
        <f t="shared" ref="M1014:M1086" si="650">(N1014+L1014)/2</f>
        <v>13.75</v>
      </c>
      <c r="N1014" s="213">
        <f t="shared" ref="N1014:O1014" si="648">IF(COUNT(N1015,N1019,N1023,N1027)=0,"",SUM(N1015,N1019,N1023,N1027))</f>
        <v>20.5</v>
      </c>
      <c r="O1014" s="213">
        <f t="shared" si="648"/>
        <v>13.75</v>
      </c>
      <c r="P1014" s="214"/>
      <c r="Q1014" s="213">
        <f>IF(COUNT(Q1015,Q1019,Q1023,Q1027)=0,"",SUM(Q1015,Q1019,Q1023,Q1027))</f>
        <v>15.2875</v>
      </c>
      <c r="R1014" s="126"/>
      <c r="S1014" s="126"/>
      <c r="T1014" s="45" t="s">
        <v>62</v>
      </c>
      <c r="U1014" s="26"/>
      <c r="V1014" s="26"/>
      <c r="W1014" s="26"/>
      <c r="X1014" s="46">
        <f t="shared" ref="X1014:AA1014" si="649">L1014</f>
        <v>7</v>
      </c>
      <c r="Y1014" s="46">
        <f t="shared" si="649"/>
        <v>13.75</v>
      </c>
      <c r="Z1014" s="46">
        <f t="shared" si="649"/>
        <v>20.5</v>
      </c>
      <c r="AA1014" s="46">
        <f t="shared" si="649"/>
        <v>13.75</v>
      </c>
      <c r="AB1014" s="26"/>
      <c r="AC1014" s="46">
        <f>Q1014</f>
        <v>15.2875</v>
      </c>
    </row>
    <row r="1015" ht="45.0" customHeight="1">
      <c r="A1015" s="54" t="s">
        <v>1731</v>
      </c>
      <c r="B1015" s="209" t="s">
        <v>1728</v>
      </c>
      <c r="C1015" s="209" t="s">
        <v>1729</v>
      </c>
      <c r="D1015" s="209" t="s">
        <v>1732</v>
      </c>
      <c r="E1015" s="209" t="s">
        <v>1733</v>
      </c>
      <c r="F1015" s="54" t="s">
        <v>1734</v>
      </c>
      <c r="G1015" s="54" t="s">
        <v>168</v>
      </c>
      <c r="H1015" s="54" t="s">
        <v>168</v>
      </c>
      <c r="I1015" s="54"/>
      <c r="J1015" s="54" t="s">
        <v>9</v>
      </c>
      <c r="K1015" s="119" t="s">
        <v>9</v>
      </c>
      <c r="L1015" s="202">
        <f>IF(COUNT(L1016:N1018)=0,"",SUM(L1016:L1018))</f>
        <v>2.25</v>
      </c>
      <c r="M1015" s="174">
        <f t="shared" si="650"/>
        <v>4.375</v>
      </c>
      <c r="N1015" s="202">
        <f>IF(COUNT(L1016:N1018)=0,"",SUM(N1016:N1018))</f>
        <v>6.5</v>
      </c>
      <c r="O1015" s="202">
        <f>IF(COUNT(O1016:O1018)=0,"",SUM(O1016:O1018))</f>
        <v>4.375</v>
      </c>
      <c r="P1015" s="210"/>
      <c r="Q1015" s="202">
        <f>IF(COUNT(Q1016:Q1018)=0,"",SUM(Q1016:Q1018))</f>
        <v>4.89375</v>
      </c>
      <c r="R1015" s="163"/>
      <c r="S1015" s="163"/>
      <c r="T1015" s="54" t="s">
        <v>65</v>
      </c>
      <c r="U1015" s="179"/>
      <c r="V1015" s="179"/>
      <c r="W1015" s="179"/>
      <c r="X1015" s="105"/>
      <c r="Y1015" s="105"/>
      <c r="Z1015" s="105"/>
      <c r="AA1015" s="105"/>
      <c r="AB1015" s="105"/>
      <c r="AC1015" s="105"/>
    </row>
    <row r="1016" ht="45.75" customHeight="1">
      <c r="A1016" s="65" t="s">
        <v>1735</v>
      </c>
      <c r="B1016" s="215" t="s">
        <v>1728</v>
      </c>
      <c r="C1016" s="215" t="s">
        <v>1729</v>
      </c>
      <c r="D1016" s="215" t="s">
        <v>1732</v>
      </c>
      <c r="E1016" s="215" t="s">
        <v>1733</v>
      </c>
      <c r="F1016" s="65" t="s">
        <v>1734</v>
      </c>
      <c r="G1016" s="65" t="s">
        <v>168</v>
      </c>
      <c r="H1016" s="65" t="s">
        <v>168</v>
      </c>
      <c r="I1016" s="65"/>
      <c r="J1016" s="65" t="s">
        <v>9</v>
      </c>
      <c r="K1016" s="97" t="s">
        <v>9</v>
      </c>
      <c r="L1016" s="129">
        <v>1.0</v>
      </c>
      <c r="M1016" s="180">
        <f t="shared" si="650"/>
        <v>1.75</v>
      </c>
      <c r="N1016" s="129">
        <v>2.5</v>
      </c>
      <c r="O1016" s="129">
        <f t="shared" ref="O1016:O1018" si="651">IF(COUNT(L1016:N1016)=0,"",(L1016+4*M1016+N1016)/6)</f>
        <v>1.75</v>
      </c>
      <c r="P1016" s="159">
        <v>0.1</v>
      </c>
      <c r="Q1016" s="208">
        <f t="shared" ref="Q1016:Q1018" si="652">IF(O1016="","",IF(P1016="",O1016,O1016*(1+P1016)))</f>
        <v>1.925</v>
      </c>
      <c r="R1016" s="132">
        <v>4.0</v>
      </c>
      <c r="S1016" s="132">
        <v>2.0</v>
      </c>
      <c r="T1016" s="65" t="s">
        <v>31</v>
      </c>
      <c r="U1016" s="26"/>
      <c r="V1016" s="26"/>
      <c r="W1016" s="26"/>
      <c r="X1016" s="26"/>
      <c r="Y1016" s="26"/>
      <c r="Z1016" s="26"/>
      <c r="AA1016" s="26"/>
      <c r="AB1016" s="26"/>
      <c r="AC1016" s="26"/>
    </row>
    <row r="1017" ht="48.0" customHeight="1">
      <c r="A1017" s="65" t="s">
        <v>1736</v>
      </c>
      <c r="B1017" s="215" t="s">
        <v>1728</v>
      </c>
      <c r="C1017" s="215" t="s">
        <v>1729</v>
      </c>
      <c r="D1017" s="215" t="s">
        <v>1732</v>
      </c>
      <c r="E1017" s="215" t="s">
        <v>1733</v>
      </c>
      <c r="F1017" s="65" t="s">
        <v>1734</v>
      </c>
      <c r="G1017" s="65" t="s">
        <v>168</v>
      </c>
      <c r="H1017" s="65" t="s">
        <v>168</v>
      </c>
      <c r="I1017" s="65"/>
      <c r="J1017" s="65" t="s">
        <v>9</v>
      </c>
      <c r="K1017" s="97" t="s">
        <v>9</v>
      </c>
      <c r="L1017" s="129">
        <v>0.75</v>
      </c>
      <c r="M1017" s="180">
        <f t="shared" si="650"/>
        <v>1.625</v>
      </c>
      <c r="N1017" s="129">
        <v>2.5</v>
      </c>
      <c r="O1017" s="129">
        <f t="shared" si="651"/>
        <v>1.625</v>
      </c>
      <c r="P1017" s="159">
        <v>0.15</v>
      </c>
      <c r="Q1017" s="208">
        <f t="shared" si="652"/>
        <v>1.86875</v>
      </c>
      <c r="R1017" s="132">
        <v>4.0</v>
      </c>
      <c r="S1017" s="132">
        <v>2.0</v>
      </c>
      <c r="T1017" s="65" t="s">
        <v>32</v>
      </c>
      <c r="U1017" s="26"/>
      <c r="V1017" s="26"/>
      <c r="W1017" s="26"/>
      <c r="X1017" s="26"/>
      <c r="Y1017" s="26"/>
      <c r="Z1017" s="26"/>
      <c r="AA1017" s="26"/>
      <c r="AB1017" s="26"/>
      <c r="AC1017" s="26"/>
    </row>
    <row r="1018" ht="41.25" customHeight="1">
      <c r="A1018" s="65" t="s">
        <v>1737</v>
      </c>
      <c r="B1018" s="215" t="s">
        <v>1728</v>
      </c>
      <c r="C1018" s="215" t="s">
        <v>1729</v>
      </c>
      <c r="D1018" s="215" t="s">
        <v>1732</v>
      </c>
      <c r="E1018" s="215" t="s">
        <v>1733</v>
      </c>
      <c r="F1018" s="65" t="s">
        <v>1734</v>
      </c>
      <c r="G1018" s="65" t="s">
        <v>168</v>
      </c>
      <c r="H1018" s="65" t="s">
        <v>168</v>
      </c>
      <c r="I1018" s="65"/>
      <c r="J1018" s="65" t="s">
        <v>9</v>
      </c>
      <c r="K1018" s="97" t="s">
        <v>9</v>
      </c>
      <c r="L1018" s="129">
        <v>0.5</v>
      </c>
      <c r="M1018" s="180">
        <f t="shared" si="650"/>
        <v>1</v>
      </c>
      <c r="N1018" s="129">
        <v>1.5</v>
      </c>
      <c r="O1018" s="129">
        <f t="shared" si="651"/>
        <v>1</v>
      </c>
      <c r="P1018" s="159">
        <v>0.1</v>
      </c>
      <c r="Q1018" s="208">
        <f t="shared" si="652"/>
        <v>1.1</v>
      </c>
      <c r="R1018" s="132">
        <v>4.0</v>
      </c>
      <c r="S1018" s="132">
        <v>2.0</v>
      </c>
      <c r="T1018" s="65" t="s">
        <v>70</v>
      </c>
      <c r="U1018" s="26"/>
      <c r="V1018" s="26"/>
      <c r="W1018" s="26"/>
      <c r="X1018" s="26"/>
      <c r="Y1018" s="26"/>
      <c r="Z1018" s="26"/>
      <c r="AA1018" s="26"/>
      <c r="AB1018" s="26"/>
      <c r="AC1018" s="26"/>
    </row>
    <row r="1019" ht="33.75" customHeight="1">
      <c r="A1019" s="54" t="s">
        <v>1738</v>
      </c>
      <c r="B1019" s="209" t="s">
        <v>1728</v>
      </c>
      <c r="C1019" s="209" t="s">
        <v>1729</v>
      </c>
      <c r="D1019" s="209" t="s">
        <v>1739</v>
      </c>
      <c r="E1019" s="209" t="s">
        <v>1740</v>
      </c>
      <c r="F1019" s="54" t="s">
        <v>1741</v>
      </c>
      <c r="G1019" s="54" t="s">
        <v>168</v>
      </c>
      <c r="H1019" s="54" t="s">
        <v>168</v>
      </c>
      <c r="I1019" s="54"/>
      <c r="J1019" s="54" t="s">
        <v>9</v>
      </c>
      <c r="K1019" s="119" t="s">
        <v>9</v>
      </c>
      <c r="L1019" s="202">
        <f>IF(COUNT(L1020:N1022)=0,"",SUM(L1020:L1022))</f>
        <v>1.5</v>
      </c>
      <c r="M1019" s="174">
        <f t="shared" si="650"/>
        <v>3</v>
      </c>
      <c r="N1019" s="202">
        <f>IF(COUNT(L1020:N1022)=0,"",SUM(N1020:N1022))</f>
        <v>4.5</v>
      </c>
      <c r="O1019" s="202">
        <f>IF(COUNT(O1020:O1022)=0,"",SUM(O1020:O1022))</f>
        <v>3</v>
      </c>
      <c r="P1019" s="210"/>
      <c r="Q1019" s="202">
        <f>IF(COUNT(Q1020:Q1022)=0,"",SUM(Q1020:Q1022))</f>
        <v>3.2375</v>
      </c>
      <c r="R1019" s="163"/>
      <c r="S1019" s="163"/>
      <c r="T1019" s="54" t="s">
        <v>65</v>
      </c>
      <c r="U1019" s="179"/>
      <c r="V1019" s="179"/>
      <c r="W1019" s="179"/>
      <c r="X1019" s="105"/>
      <c r="Y1019" s="105"/>
      <c r="Z1019" s="105"/>
      <c r="AA1019" s="105"/>
      <c r="AB1019" s="105"/>
      <c r="AC1019" s="105"/>
    </row>
    <row r="1020" ht="33.75" customHeight="1">
      <c r="A1020" s="65" t="s">
        <v>1742</v>
      </c>
      <c r="B1020" s="215" t="s">
        <v>1728</v>
      </c>
      <c r="C1020" s="215" t="s">
        <v>1729</v>
      </c>
      <c r="D1020" s="215" t="s">
        <v>1739</v>
      </c>
      <c r="E1020" s="215" t="s">
        <v>1740</v>
      </c>
      <c r="F1020" s="65" t="s">
        <v>1741</v>
      </c>
      <c r="G1020" s="65" t="s">
        <v>168</v>
      </c>
      <c r="H1020" s="65" t="s">
        <v>168</v>
      </c>
      <c r="I1020" s="65"/>
      <c r="J1020" s="65" t="s">
        <v>9</v>
      </c>
      <c r="K1020" s="97" t="s">
        <v>9</v>
      </c>
      <c r="L1020" s="129">
        <v>1.0</v>
      </c>
      <c r="M1020" s="180">
        <f t="shared" si="650"/>
        <v>1.75</v>
      </c>
      <c r="N1020" s="129">
        <v>2.5</v>
      </c>
      <c r="O1020" s="129">
        <f t="shared" ref="O1020:O1022" si="653">IF(COUNT(L1020:N1020)=0,"",(L1020+4*M1020+N1020)/6)</f>
        <v>1.75</v>
      </c>
      <c r="P1020" s="159">
        <v>0.1</v>
      </c>
      <c r="Q1020" s="208">
        <f t="shared" ref="Q1020:Q1022" si="654">IF(O1020="","",IF(P1020="",O1020,O1020*(1+P1020)))</f>
        <v>1.925</v>
      </c>
      <c r="R1020" s="132">
        <v>4.0</v>
      </c>
      <c r="S1020" s="132">
        <v>2.0</v>
      </c>
      <c r="T1020" s="65" t="s">
        <v>31</v>
      </c>
      <c r="U1020" s="26"/>
      <c r="V1020" s="26"/>
      <c r="W1020" s="26"/>
      <c r="X1020" s="26"/>
      <c r="Y1020" s="26"/>
      <c r="Z1020" s="26"/>
      <c r="AA1020" s="26"/>
      <c r="AB1020" s="26"/>
      <c r="AC1020" s="26"/>
    </row>
    <row r="1021" ht="33.75" customHeight="1">
      <c r="A1021" s="65" t="s">
        <v>1743</v>
      </c>
      <c r="B1021" s="215" t="s">
        <v>1728</v>
      </c>
      <c r="C1021" s="215" t="s">
        <v>1729</v>
      </c>
      <c r="D1021" s="215" t="s">
        <v>1739</v>
      </c>
      <c r="E1021" s="215" t="s">
        <v>1740</v>
      </c>
      <c r="F1021" s="65" t="s">
        <v>1741</v>
      </c>
      <c r="G1021" s="65" t="s">
        <v>168</v>
      </c>
      <c r="H1021" s="65" t="s">
        <v>168</v>
      </c>
      <c r="I1021" s="65"/>
      <c r="J1021" s="65" t="s">
        <v>9</v>
      </c>
      <c r="K1021" s="97" t="s">
        <v>9</v>
      </c>
      <c r="L1021" s="129">
        <v>0.25</v>
      </c>
      <c r="M1021" s="180">
        <f t="shared" si="650"/>
        <v>0.625</v>
      </c>
      <c r="N1021" s="129">
        <v>1.0</v>
      </c>
      <c r="O1021" s="129">
        <f t="shared" si="653"/>
        <v>0.625</v>
      </c>
      <c r="P1021" s="159">
        <v>0.05</v>
      </c>
      <c r="Q1021" s="208">
        <f t="shared" si="654"/>
        <v>0.65625</v>
      </c>
      <c r="R1021" s="132">
        <v>5.0</v>
      </c>
      <c r="S1021" s="132">
        <v>1.0</v>
      </c>
      <c r="T1021" s="65" t="s">
        <v>32</v>
      </c>
      <c r="U1021" s="26"/>
      <c r="V1021" s="26"/>
      <c r="W1021" s="26"/>
      <c r="X1021" s="26"/>
      <c r="Y1021" s="26"/>
      <c r="Z1021" s="26"/>
      <c r="AA1021" s="26"/>
      <c r="AB1021" s="26"/>
      <c r="AC1021" s="26"/>
    </row>
    <row r="1022" ht="33.75" customHeight="1">
      <c r="A1022" s="65" t="s">
        <v>1744</v>
      </c>
      <c r="B1022" s="215" t="s">
        <v>1728</v>
      </c>
      <c r="C1022" s="215" t="s">
        <v>1729</v>
      </c>
      <c r="D1022" s="215" t="s">
        <v>1739</v>
      </c>
      <c r="E1022" s="215" t="s">
        <v>1740</v>
      </c>
      <c r="F1022" s="65" t="s">
        <v>1741</v>
      </c>
      <c r="G1022" s="65" t="s">
        <v>168</v>
      </c>
      <c r="H1022" s="65" t="s">
        <v>168</v>
      </c>
      <c r="I1022" s="65"/>
      <c r="J1022" s="65" t="s">
        <v>9</v>
      </c>
      <c r="K1022" s="97" t="s">
        <v>9</v>
      </c>
      <c r="L1022" s="129">
        <v>0.25</v>
      </c>
      <c r="M1022" s="180">
        <f t="shared" si="650"/>
        <v>0.625</v>
      </c>
      <c r="N1022" s="129">
        <v>1.0</v>
      </c>
      <c r="O1022" s="129">
        <f t="shared" si="653"/>
        <v>0.625</v>
      </c>
      <c r="P1022" s="159">
        <v>0.05</v>
      </c>
      <c r="Q1022" s="208">
        <f t="shared" si="654"/>
        <v>0.65625</v>
      </c>
      <c r="R1022" s="132">
        <v>5.0</v>
      </c>
      <c r="S1022" s="132">
        <v>1.0</v>
      </c>
      <c r="T1022" s="65" t="s">
        <v>70</v>
      </c>
      <c r="U1022" s="26"/>
      <c r="V1022" s="26"/>
      <c r="W1022" s="26"/>
      <c r="X1022" s="26"/>
      <c r="Y1022" s="26"/>
      <c r="Z1022" s="26"/>
      <c r="AA1022" s="26"/>
      <c r="AB1022" s="26"/>
      <c r="AC1022" s="26"/>
    </row>
    <row r="1023" ht="33.75" customHeight="1">
      <c r="A1023" s="54" t="s">
        <v>1745</v>
      </c>
      <c r="B1023" s="209" t="s">
        <v>1728</v>
      </c>
      <c r="C1023" s="209" t="s">
        <v>1729</v>
      </c>
      <c r="D1023" s="209" t="s">
        <v>1746</v>
      </c>
      <c r="E1023" s="209" t="s">
        <v>1747</v>
      </c>
      <c r="F1023" s="54" t="s">
        <v>1748</v>
      </c>
      <c r="G1023" s="54" t="s">
        <v>168</v>
      </c>
      <c r="H1023" s="54" t="s">
        <v>168</v>
      </c>
      <c r="I1023" s="54"/>
      <c r="J1023" s="54" t="s">
        <v>9</v>
      </c>
      <c r="K1023" s="119" t="s">
        <v>9</v>
      </c>
      <c r="L1023" s="202">
        <f>IF(COUNT(L1024:N1026)=0,"",SUM(L1024:L1026))</f>
        <v>1.75</v>
      </c>
      <c r="M1023" s="174">
        <f t="shared" si="650"/>
        <v>3.375</v>
      </c>
      <c r="N1023" s="202">
        <f>IF(COUNT(L1024:N1026)=0,"",SUM(N1024:N1026))</f>
        <v>5</v>
      </c>
      <c r="O1023" s="202">
        <f>IF(COUNT(O1024:O1026)=0,"",SUM(O1024:O1026))</f>
        <v>3.375</v>
      </c>
      <c r="P1023" s="210"/>
      <c r="Q1023" s="202">
        <f>IF(COUNT(Q1024:Q1026)=0,"",SUM(Q1024:Q1026))</f>
        <v>3.8</v>
      </c>
      <c r="R1023" s="163"/>
      <c r="S1023" s="163"/>
      <c r="T1023" s="54" t="s">
        <v>65</v>
      </c>
      <c r="U1023" s="179"/>
      <c r="V1023" s="179"/>
      <c r="W1023" s="179"/>
      <c r="X1023" s="105"/>
      <c r="Y1023" s="105"/>
      <c r="Z1023" s="105"/>
      <c r="AA1023" s="105"/>
      <c r="AB1023" s="105"/>
      <c r="AC1023" s="105"/>
    </row>
    <row r="1024" ht="33.75" customHeight="1">
      <c r="A1024" s="65" t="s">
        <v>1749</v>
      </c>
      <c r="B1024" s="215" t="s">
        <v>1728</v>
      </c>
      <c r="C1024" s="215" t="s">
        <v>1729</v>
      </c>
      <c r="D1024" s="215" t="s">
        <v>1746</v>
      </c>
      <c r="E1024" s="215" t="s">
        <v>1747</v>
      </c>
      <c r="F1024" s="65" t="s">
        <v>1748</v>
      </c>
      <c r="G1024" s="65" t="s">
        <v>168</v>
      </c>
      <c r="H1024" s="65" t="s">
        <v>168</v>
      </c>
      <c r="I1024" s="65"/>
      <c r="J1024" s="65" t="s">
        <v>9</v>
      </c>
      <c r="K1024" s="97" t="s">
        <v>9</v>
      </c>
      <c r="L1024" s="129">
        <v>0.5</v>
      </c>
      <c r="M1024" s="180">
        <f t="shared" si="650"/>
        <v>1</v>
      </c>
      <c r="N1024" s="129">
        <v>1.5</v>
      </c>
      <c r="O1024" s="129">
        <f t="shared" ref="O1024:O1026" si="655">IF(COUNT(L1024:N1024)=0,"",(L1024+4*M1024+N1024)/6)</f>
        <v>1</v>
      </c>
      <c r="P1024" s="159">
        <v>0.1</v>
      </c>
      <c r="Q1024" s="208">
        <f t="shared" ref="Q1024:Q1026" si="656">IF(O1024="","",IF(P1024="",O1024,O1024*(1+P1024)))</f>
        <v>1.1</v>
      </c>
      <c r="R1024" s="132">
        <v>4.0</v>
      </c>
      <c r="S1024" s="132">
        <v>2.0</v>
      </c>
      <c r="T1024" s="65" t="s">
        <v>31</v>
      </c>
      <c r="U1024" s="26"/>
      <c r="V1024" s="26"/>
      <c r="W1024" s="26"/>
      <c r="X1024" s="26"/>
      <c r="Y1024" s="26"/>
      <c r="Z1024" s="26"/>
      <c r="AA1024" s="26"/>
      <c r="AB1024" s="26"/>
      <c r="AC1024" s="26"/>
    </row>
    <row r="1025" ht="33.75" customHeight="1">
      <c r="A1025" s="65" t="s">
        <v>1750</v>
      </c>
      <c r="B1025" s="215" t="s">
        <v>1728</v>
      </c>
      <c r="C1025" s="215" t="s">
        <v>1729</v>
      </c>
      <c r="D1025" s="215" t="s">
        <v>1746</v>
      </c>
      <c r="E1025" s="215" t="s">
        <v>1747</v>
      </c>
      <c r="F1025" s="65" t="s">
        <v>1748</v>
      </c>
      <c r="G1025" s="65" t="s">
        <v>168</v>
      </c>
      <c r="H1025" s="65" t="s">
        <v>168</v>
      </c>
      <c r="I1025" s="65"/>
      <c r="J1025" s="65" t="s">
        <v>9</v>
      </c>
      <c r="K1025" s="97" t="s">
        <v>9</v>
      </c>
      <c r="L1025" s="129">
        <v>1.0</v>
      </c>
      <c r="M1025" s="180">
        <f t="shared" si="650"/>
        <v>1.75</v>
      </c>
      <c r="N1025" s="129">
        <v>2.5</v>
      </c>
      <c r="O1025" s="129">
        <f t="shared" si="655"/>
        <v>1.75</v>
      </c>
      <c r="P1025" s="159">
        <v>0.15</v>
      </c>
      <c r="Q1025" s="208">
        <f t="shared" si="656"/>
        <v>2.0125</v>
      </c>
      <c r="R1025" s="132">
        <v>4.0</v>
      </c>
      <c r="S1025" s="132">
        <v>2.0</v>
      </c>
      <c r="T1025" s="65" t="s">
        <v>32</v>
      </c>
      <c r="U1025" s="26"/>
      <c r="V1025" s="26"/>
      <c r="W1025" s="26"/>
      <c r="X1025" s="26"/>
      <c r="Y1025" s="26"/>
      <c r="Z1025" s="26"/>
      <c r="AA1025" s="26"/>
      <c r="AB1025" s="26"/>
      <c r="AC1025" s="26"/>
    </row>
    <row r="1026" ht="33.75" customHeight="1">
      <c r="A1026" s="65" t="s">
        <v>1751</v>
      </c>
      <c r="B1026" s="215" t="s">
        <v>1728</v>
      </c>
      <c r="C1026" s="215" t="s">
        <v>1729</v>
      </c>
      <c r="D1026" s="215" t="s">
        <v>1746</v>
      </c>
      <c r="E1026" s="215" t="s">
        <v>1747</v>
      </c>
      <c r="F1026" s="65" t="s">
        <v>1748</v>
      </c>
      <c r="G1026" s="65" t="s">
        <v>168</v>
      </c>
      <c r="H1026" s="65" t="s">
        <v>168</v>
      </c>
      <c r="I1026" s="65"/>
      <c r="J1026" s="65" t="s">
        <v>9</v>
      </c>
      <c r="K1026" s="97" t="s">
        <v>9</v>
      </c>
      <c r="L1026" s="129">
        <v>0.25</v>
      </c>
      <c r="M1026" s="180">
        <f t="shared" si="650"/>
        <v>0.625</v>
      </c>
      <c r="N1026" s="129">
        <v>1.0</v>
      </c>
      <c r="O1026" s="129">
        <f t="shared" si="655"/>
        <v>0.625</v>
      </c>
      <c r="P1026" s="159">
        <v>0.1</v>
      </c>
      <c r="Q1026" s="208">
        <f t="shared" si="656"/>
        <v>0.6875</v>
      </c>
      <c r="R1026" s="132">
        <v>4.0</v>
      </c>
      <c r="S1026" s="132">
        <v>2.0</v>
      </c>
      <c r="T1026" s="65" t="s">
        <v>70</v>
      </c>
      <c r="U1026" s="26"/>
      <c r="V1026" s="26"/>
      <c r="W1026" s="26"/>
      <c r="X1026" s="26"/>
      <c r="Y1026" s="26"/>
      <c r="Z1026" s="26"/>
      <c r="AA1026" s="26"/>
      <c r="AB1026" s="26"/>
      <c r="AC1026" s="26"/>
    </row>
    <row r="1027" ht="33.75" customHeight="1">
      <c r="A1027" s="54" t="s">
        <v>1752</v>
      </c>
      <c r="B1027" s="209" t="s">
        <v>1728</v>
      </c>
      <c r="C1027" s="209" t="s">
        <v>1729</v>
      </c>
      <c r="D1027" s="209" t="s">
        <v>1753</v>
      </c>
      <c r="E1027" s="209" t="s">
        <v>1754</v>
      </c>
      <c r="F1027" s="54" t="s">
        <v>1755</v>
      </c>
      <c r="G1027" s="54" t="s">
        <v>168</v>
      </c>
      <c r="H1027" s="54" t="s">
        <v>168</v>
      </c>
      <c r="I1027" s="54"/>
      <c r="J1027" s="54" t="s">
        <v>9</v>
      </c>
      <c r="K1027" s="119" t="s">
        <v>9</v>
      </c>
      <c r="L1027" s="202">
        <f>IF(COUNT(L1028:N1030)=0,"",SUM(L1028:L1030))</f>
        <v>1.5</v>
      </c>
      <c r="M1027" s="174">
        <f t="shared" si="650"/>
        <v>3</v>
      </c>
      <c r="N1027" s="202">
        <f>IF(COUNT(L1028:N1030)=0,"",SUM(N1028:N1030))</f>
        <v>4.5</v>
      </c>
      <c r="O1027" s="202">
        <f>IF(COUNT(O1028:O1030)=0,"",SUM(O1028:O1030))</f>
        <v>3</v>
      </c>
      <c r="P1027" s="210"/>
      <c r="Q1027" s="202">
        <f>IF(COUNT(Q1028:Q1030)=0,"",SUM(Q1028:Q1030))</f>
        <v>3.35625</v>
      </c>
      <c r="R1027" s="163"/>
      <c r="S1027" s="163"/>
      <c r="T1027" s="54" t="s">
        <v>65</v>
      </c>
      <c r="U1027" s="179"/>
      <c r="V1027" s="179"/>
      <c r="W1027" s="179"/>
      <c r="X1027" s="105"/>
      <c r="Y1027" s="105"/>
      <c r="Z1027" s="105"/>
      <c r="AA1027" s="105"/>
      <c r="AB1027" s="105"/>
      <c r="AC1027" s="105"/>
    </row>
    <row r="1028" ht="33.75" customHeight="1">
      <c r="A1028" s="65" t="s">
        <v>1756</v>
      </c>
      <c r="B1028" s="215" t="s">
        <v>1728</v>
      </c>
      <c r="C1028" s="215" t="s">
        <v>1729</v>
      </c>
      <c r="D1028" s="215" t="s">
        <v>1753</v>
      </c>
      <c r="E1028" s="215" t="s">
        <v>1754</v>
      </c>
      <c r="F1028" s="65" t="s">
        <v>1755</v>
      </c>
      <c r="G1028" s="65" t="s">
        <v>168</v>
      </c>
      <c r="H1028" s="65" t="s">
        <v>168</v>
      </c>
      <c r="I1028" s="65"/>
      <c r="J1028" s="65" t="s">
        <v>9</v>
      </c>
      <c r="K1028" s="97" t="s">
        <v>9</v>
      </c>
      <c r="L1028" s="129">
        <v>0.25</v>
      </c>
      <c r="M1028" s="180">
        <f t="shared" si="650"/>
        <v>0.625</v>
      </c>
      <c r="N1028" s="129">
        <v>1.0</v>
      </c>
      <c r="O1028" s="129">
        <f t="shared" ref="O1028:O1030" si="657">IF(COUNT(L1028:N1028)=0,"",(L1028+4*M1028+N1028)/6)</f>
        <v>0.625</v>
      </c>
      <c r="P1028" s="159">
        <v>0.05</v>
      </c>
      <c r="Q1028" s="208">
        <f t="shared" ref="Q1028:Q1030" si="658">IF(O1028="","",IF(P1028="",O1028,O1028*(1+P1028)))</f>
        <v>0.65625</v>
      </c>
      <c r="R1028" s="132">
        <v>5.0</v>
      </c>
      <c r="S1028" s="132">
        <v>1.0</v>
      </c>
      <c r="T1028" s="65" t="s">
        <v>31</v>
      </c>
      <c r="U1028" s="26"/>
      <c r="V1028" s="26"/>
      <c r="W1028" s="26"/>
      <c r="X1028" s="26"/>
      <c r="Y1028" s="26"/>
      <c r="Z1028" s="26"/>
      <c r="AA1028" s="26"/>
      <c r="AB1028" s="26"/>
      <c r="AC1028" s="26"/>
    </row>
    <row r="1029" ht="33.75" customHeight="1">
      <c r="A1029" s="65" t="s">
        <v>1757</v>
      </c>
      <c r="B1029" s="215" t="s">
        <v>1728</v>
      </c>
      <c r="C1029" s="215" t="s">
        <v>1729</v>
      </c>
      <c r="D1029" s="215" t="s">
        <v>1753</v>
      </c>
      <c r="E1029" s="215" t="s">
        <v>1754</v>
      </c>
      <c r="F1029" s="65" t="s">
        <v>1755</v>
      </c>
      <c r="G1029" s="65" t="s">
        <v>168</v>
      </c>
      <c r="H1029" s="65" t="s">
        <v>168</v>
      </c>
      <c r="I1029" s="65"/>
      <c r="J1029" s="65" t="s">
        <v>9</v>
      </c>
      <c r="K1029" s="97" t="s">
        <v>9</v>
      </c>
      <c r="L1029" s="129">
        <v>1.0</v>
      </c>
      <c r="M1029" s="180">
        <f t="shared" si="650"/>
        <v>1.75</v>
      </c>
      <c r="N1029" s="129">
        <v>2.5</v>
      </c>
      <c r="O1029" s="129">
        <f t="shared" si="657"/>
        <v>1.75</v>
      </c>
      <c r="P1029" s="159">
        <v>0.15</v>
      </c>
      <c r="Q1029" s="208">
        <f t="shared" si="658"/>
        <v>2.0125</v>
      </c>
      <c r="R1029" s="132">
        <v>4.0</v>
      </c>
      <c r="S1029" s="132">
        <v>2.0</v>
      </c>
      <c r="T1029" s="65" t="s">
        <v>32</v>
      </c>
      <c r="U1029" s="26"/>
      <c r="V1029" s="26"/>
      <c r="W1029" s="26"/>
      <c r="X1029" s="26"/>
      <c r="Y1029" s="26"/>
      <c r="Z1029" s="26"/>
      <c r="AA1029" s="26"/>
      <c r="AB1029" s="26"/>
      <c r="AC1029" s="26"/>
    </row>
    <row r="1030" ht="33.75" customHeight="1">
      <c r="A1030" s="65" t="s">
        <v>1758</v>
      </c>
      <c r="B1030" s="215" t="s">
        <v>1728</v>
      </c>
      <c r="C1030" s="215" t="s">
        <v>1729</v>
      </c>
      <c r="D1030" s="215" t="s">
        <v>1753</v>
      </c>
      <c r="E1030" s="215" t="s">
        <v>1754</v>
      </c>
      <c r="F1030" s="65" t="s">
        <v>1755</v>
      </c>
      <c r="G1030" s="65" t="s">
        <v>168</v>
      </c>
      <c r="H1030" s="65" t="s">
        <v>168</v>
      </c>
      <c r="I1030" s="65"/>
      <c r="J1030" s="65" t="s">
        <v>9</v>
      </c>
      <c r="K1030" s="97" t="s">
        <v>9</v>
      </c>
      <c r="L1030" s="129">
        <v>0.25</v>
      </c>
      <c r="M1030" s="180">
        <f t="shared" si="650"/>
        <v>0.625</v>
      </c>
      <c r="N1030" s="129">
        <v>1.0</v>
      </c>
      <c r="O1030" s="129">
        <f t="shared" si="657"/>
        <v>0.625</v>
      </c>
      <c r="P1030" s="159">
        <v>0.1</v>
      </c>
      <c r="Q1030" s="208">
        <f t="shared" si="658"/>
        <v>0.6875</v>
      </c>
      <c r="R1030" s="132">
        <v>4.0</v>
      </c>
      <c r="S1030" s="132">
        <v>2.0</v>
      </c>
      <c r="T1030" s="65" t="s">
        <v>70</v>
      </c>
      <c r="U1030" s="26"/>
      <c r="V1030" s="26"/>
      <c r="W1030" s="26"/>
      <c r="X1030" s="26"/>
      <c r="Y1030" s="26"/>
      <c r="Z1030" s="26"/>
      <c r="AA1030" s="26"/>
      <c r="AB1030" s="26"/>
      <c r="AC1030" s="26"/>
    </row>
    <row r="1031" ht="33.75" customHeight="1">
      <c r="A1031" s="45" t="s">
        <v>1759</v>
      </c>
      <c r="B1031" s="212" t="s">
        <v>1728</v>
      </c>
      <c r="C1031" s="212" t="s">
        <v>1760</v>
      </c>
      <c r="D1031" s="212" t="s">
        <v>1760</v>
      </c>
      <c r="E1031" s="212" t="s">
        <v>1761</v>
      </c>
      <c r="F1031" s="45"/>
      <c r="G1031" s="45"/>
      <c r="H1031" s="45"/>
      <c r="I1031" s="45"/>
      <c r="J1031" s="45"/>
      <c r="K1031" s="123"/>
      <c r="L1031" s="213">
        <f>IF(COUNT(L1032,L1036,L1040,L1044,L1048)=0,"",SUM(L1032,L1036,L1040,L1044,L1048))</f>
        <v>0</v>
      </c>
      <c r="M1031" s="213">
        <f t="shared" si="650"/>
        <v>0</v>
      </c>
      <c r="N1031" s="213">
        <f t="shared" ref="N1031:O1031" si="659">IF(COUNT(N1032,N1036,N1040,N1044,N1048)=0,"",SUM(N1032,N1036,N1040,N1044,N1048))</f>
        <v>0</v>
      </c>
      <c r="O1031" s="213">
        <f t="shared" si="659"/>
        <v>0</v>
      </c>
      <c r="P1031" s="214"/>
      <c r="Q1031" s="213">
        <f>IF(COUNT(Q1032,Q1036,Q1040,Q1044,Q1048)=0,"",SUM(Q1032,Q1036,Q1040,Q1044,Q1048))</f>
        <v>0</v>
      </c>
      <c r="R1031" s="126"/>
      <c r="S1031" s="126"/>
      <c r="T1031" s="45" t="s">
        <v>62</v>
      </c>
      <c r="U1031" s="26"/>
      <c r="V1031" s="26"/>
      <c r="W1031" s="26"/>
      <c r="X1031" s="46">
        <f t="shared" ref="X1031:AA1031" si="660">L1031</f>
        <v>0</v>
      </c>
      <c r="Y1031" s="46">
        <f t="shared" si="660"/>
        <v>0</v>
      </c>
      <c r="Z1031" s="46">
        <f t="shared" si="660"/>
        <v>0</v>
      </c>
      <c r="AA1031" s="46">
        <f t="shared" si="660"/>
        <v>0</v>
      </c>
      <c r="AB1031" s="26"/>
      <c r="AC1031" s="46">
        <f>Q1031</f>
        <v>0</v>
      </c>
    </row>
    <row r="1032" ht="33.75" customHeight="1">
      <c r="A1032" s="98" t="s">
        <v>1762</v>
      </c>
      <c r="B1032" s="99" t="s">
        <v>1728</v>
      </c>
      <c r="C1032" s="99" t="s">
        <v>1760</v>
      </c>
      <c r="D1032" s="99" t="s">
        <v>1763</v>
      </c>
      <c r="E1032" s="99" t="s">
        <v>1764</v>
      </c>
      <c r="F1032" s="98" t="s">
        <v>583</v>
      </c>
      <c r="G1032" s="98" t="s">
        <v>168</v>
      </c>
      <c r="H1032" s="98" t="s">
        <v>168</v>
      </c>
      <c r="I1032" s="98"/>
      <c r="J1032" s="98" t="s">
        <v>14</v>
      </c>
      <c r="K1032" s="100" t="s">
        <v>14</v>
      </c>
      <c r="L1032" s="101">
        <f>IF(COUNT(L1033:N1035)=0,"",SUM(L1033:L1035))</f>
        <v>0</v>
      </c>
      <c r="M1032" s="102">
        <f t="shared" si="650"/>
        <v>0</v>
      </c>
      <c r="N1032" s="101">
        <f>IF(COUNT(L1033:N1035)=0,"",SUM(N1033:N1035))</f>
        <v>0</v>
      </c>
      <c r="O1032" s="101">
        <f>IF(COUNT(O1033:O1035)=0,"",SUM(O1033:O1035))</f>
        <v>0</v>
      </c>
      <c r="P1032" s="103"/>
      <c r="Q1032" s="101">
        <f>IF(COUNT(Q1033:Q1035)=0,"",SUM(Q1033:Q1035))</f>
        <v>0</v>
      </c>
      <c r="R1032" s="104"/>
      <c r="S1032" s="104"/>
      <c r="T1032" s="98" t="s">
        <v>65</v>
      </c>
      <c r="U1032" s="179"/>
      <c r="V1032" s="179"/>
      <c r="W1032" s="179"/>
      <c r="X1032" s="105"/>
      <c r="Y1032" s="105"/>
      <c r="Z1032" s="105"/>
      <c r="AA1032" s="105"/>
      <c r="AB1032" s="105"/>
      <c r="AC1032" s="105"/>
    </row>
    <row r="1033" ht="33.75" customHeight="1">
      <c r="A1033" s="106" t="s">
        <v>1765</v>
      </c>
      <c r="B1033" s="107" t="s">
        <v>1728</v>
      </c>
      <c r="C1033" s="107" t="s">
        <v>1760</v>
      </c>
      <c r="D1033" s="107" t="s">
        <v>1763</v>
      </c>
      <c r="E1033" s="107" t="s">
        <v>1764</v>
      </c>
      <c r="F1033" s="106" t="s">
        <v>583</v>
      </c>
      <c r="G1033" s="106" t="s">
        <v>168</v>
      </c>
      <c r="H1033" s="106" t="s">
        <v>168</v>
      </c>
      <c r="I1033" s="106"/>
      <c r="J1033" s="106" t="s">
        <v>14</v>
      </c>
      <c r="K1033" s="108" t="s">
        <v>14</v>
      </c>
      <c r="L1033" s="109"/>
      <c r="M1033" s="109">
        <f t="shared" si="650"/>
        <v>0</v>
      </c>
      <c r="N1033" s="109"/>
      <c r="O1033" s="109">
        <f t="shared" ref="O1033:O1035" si="661">IF(COUNT(L1033:N1033)=0,"",(L1033+4*M1033+N1033)/6)</f>
        <v>0</v>
      </c>
      <c r="P1033" s="110"/>
      <c r="Q1033" s="109">
        <f t="shared" ref="Q1033:Q1035" si="662">IF(O1033="","",IF(P1033="",O1033,O1033*(1+P1033)))</f>
        <v>0</v>
      </c>
      <c r="R1033" s="111"/>
      <c r="S1033" s="111"/>
      <c r="T1033" s="106" t="s">
        <v>31</v>
      </c>
      <c r="U1033" s="26"/>
      <c r="V1033" s="26"/>
      <c r="W1033" s="26"/>
      <c r="X1033" s="26"/>
      <c r="Y1033" s="26"/>
      <c r="Z1033" s="26"/>
      <c r="AA1033" s="26"/>
      <c r="AB1033" s="26"/>
      <c r="AC1033" s="26"/>
    </row>
    <row r="1034" ht="33.75" customHeight="1">
      <c r="A1034" s="106" t="s">
        <v>1766</v>
      </c>
      <c r="B1034" s="107" t="s">
        <v>1728</v>
      </c>
      <c r="C1034" s="107" t="s">
        <v>1760</v>
      </c>
      <c r="D1034" s="107" t="s">
        <v>1763</v>
      </c>
      <c r="E1034" s="107" t="s">
        <v>1764</v>
      </c>
      <c r="F1034" s="106" t="s">
        <v>583</v>
      </c>
      <c r="G1034" s="106" t="s">
        <v>168</v>
      </c>
      <c r="H1034" s="106" t="s">
        <v>168</v>
      </c>
      <c r="I1034" s="106"/>
      <c r="J1034" s="106" t="s">
        <v>14</v>
      </c>
      <c r="K1034" s="108" t="s">
        <v>14</v>
      </c>
      <c r="L1034" s="109"/>
      <c r="M1034" s="109">
        <f t="shared" si="650"/>
        <v>0</v>
      </c>
      <c r="N1034" s="109"/>
      <c r="O1034" s="109">
        <f t="shared" si="661"/>
        <v>0</v>
      </c>
      <c r="P1034" s="110"/>
      <c r="Q1034" s="109">
        <f t="shared" si="662"/>
        <v>0</v>
      </c>
      <c r="R1034" s="111"/>
      <c r="S1034" s="111"/>
      <c r="T1034" s="106" t="s">
        <v>32</v>
      </c>
      <c r="U1034" s="26"/>
      <c r="V1034" s="26"/>
      <c r="W1034" s="26"/>
      <c r="X1034" s="26"/>
      <c r="Y1034" s="26"/>
      <c r="Z1034" s="26"/>
      <c r="AA1034" s="26"/>
      <c r="AB1034" s="26"/>
      <c r="AC1034" s="26"/>
    </row>
    <row r="1035" ht="33.75" customHeight="1">
      <c r="A1035" s="106" t="s">
        <v>1767</v>
      </c>
      <c r="B1035" s="107" t="s">
        <v>1728</v>
      </c>
      <c r="C1035" s="107" t="s">
        <v>1760</v>
      </c>
      <c r="D1035" s="107" t="s">
        <v>1763</v>
      </c>
      <c r="E1035" s="107" t="s">
        <v>1764</v>
      </c>
      <c r="F1035" s="106" t="s">
        <v>583</v>
      </c>
      <c r="G1035" s="106" t="s">
        <v>168</v>
      </c>
      <c r="H1035" s="106" t="s">
        <v>168</v>
      </c>
      <c r="I1035" s="106"/>
      <c r="J1035" s="106" t="s">
        <v>14</v>
      </c>
      <c r="K1035" s="108" t="s">
        <v>14</v>
      </c>
      <c r="L1035" s="109"/>
      <c r="M1035" s="109">
        <f t="shared" si="650"/>
        <v>0</v>
      </c>
      <c r="N1035" s="109"/>
      <c r="O1035" s="109">
        <f t="shared" si="661"/>
        <v>0</v>
      </c>
      <c r="P1035" s="110"/>
      <c r="Q1035" s="109">
        <f t="shared" si="662"/>
        <v>0</v>
      </c>
      <c r="R1035" s="111"/>
      <c r="S1035" s="111"/>
      <c r="T1035" s="106" t="s">
        <v>70</v>
      </c>
      <c r="U1035" s="26"/>
      <c r="V1035" s="26"/>
      <c r="W1035" s="26"/>
      <c r="X1035" s="26"/>
      <c r="Y1035" s="26"/>
      <c r="Z1035" s="26"/>
      <c r="AA1035" s="26"/>
      <c r="AB1035" s="26"/>
      <c r="AC1035" s="26"/>
    </row>
    <row r="1036" ht="33.75" customHeight="1">
      <c r="A1036" s="98" t="s">
        <v>1768</v>
      </c>
      <c r="B1036" s="99" t="s">
        <v>1728</v>
      </c>
      <c r="C1036" s="99" t="s">
        <v>1760</v>
      </c>
      <c r="D1036" s="99" t="s">
        <v>1769</v>
      </c>
      <c r="E1036" s="99" t="s">
        <v>1770</v>
      </c>
      <c r="F1036" s="98" t="s">
        <v>1762</v>
      </c>
      <c r="G1036" s="98" t="s">
        <v>200</v>
      </c>
      <c r="H1036" s="98" t="s">
        <v>200</v>
      </c>
      <c r="I1036" s="98"/>
      <c r="J1036" s="98" t="s">
        <v>14</v>
      </c>
      <c r="K1036" s="100" t="s">
        <v>14</v>
      </c>
      <c r="L1036" s="101">
        <f>IF(COUNT(L1037:N1039)=0,"",SUM(L1037:L1039))</f>
        <v>0</v>
      </c>
      <c r="M1036" s="102">
        <f t="shared" si="650"/>
        <v>0</v>
      </c>
      <c r="N1036" s="101">
        <f>IF(COUNT(L1037:N1039)=0,"",SUM(N1037:N1039))</f>
        <v>0</v>
      </c>
      <c r="O1036" s="101">
        <f>IF(COUNT(O1037:O1039)=0,"",SUM(O1037:O1039))</f>
        <v>0</v>
      </c>
      <c r="P1036" s="103"/>
      <c r="Q1036" s="101">
        <f>IF(COUNT(Q1037:Q1039)=0,"",SUM(Q1037:Q1039))</f>
        <v>0</v>
      </c>
      <c r="R1036" s="104"/>
      <c r="S1036" s="104"/>
      <c r="T1036" s="98" t="s">
        <v>65</v>
      </c>
      <c r="U1036" s="179"/>
      <c r="V1036" s="179"/>
      <c r="W1036" s="179"/>
      <c r="X1036" s="105"/>
      <c r="Y1036" s="105"/>
      <c r="Z1036" s="105"/>
      <c r="AA1036" s="105"/>
      <c r="AB1036" s="105"/>
      <c r="AC1036" s="105"/>
    </row>
    <row r="1037" ht="33.75" customHeight="1">
      <c r="A1037" s="106" t="s">
        <v>1771</v>
      </c>
      <c r="B1037" s="107" t="s">
        <v>1728</v>
      </c>
      <c r="C1037" s="107" t="s">
        <v>1760</v>
      </c>
      <c r="D1037" s="107" t="s">
        <v>1769</v>
      </c>
      <c r="E1037" s="107" t="s">
        <v>1770</v>
      </c>
      <c r="F1037" s="106" t="s">
        <v>1762</v>
      </c>
      <c r="G1037" s="106" t="s">
        <v>200</v>
      </c>
      <c r="H1037" s="106" t="s">
        <v>200</v>
      </c>
      <c r="I1037" s="106"/>
      <c r="J1037" s="106" t="s">
        <v>14</v>
      </c>
      <c r="K1037" s="108" t="s">
        <v>14</v>
      </c>
      <c r="L1037" s="109"/>
      <c r="M1037" s="109">
        <f t="shared" si="650"/>
        <v>0</v>
      </c>
      <c r="N1037" s="109"/>
      <c r="O1037" s="109">
        <f t="shared" ref="O1037:O1039" si="663">IF(COUNT(L1037:N1037)=0,"",(L1037+4*M1037+N1037)/6)</f>
        <v>0</v>
      </c>
      <c r="P1037" s="110"/>
      <c r="Q1037" s="109">
        <f t="shared" ref="Q1037:Q1039" si="664">IF(O1037="","",IF(P1037="",O1037,O1037*(1+P1037)))</f>
        <v>0</v>
      </c>
      <c r="R1037" s="111"/>
      <c r="S1037" s="111"/>
      <c r="T1037" s="106" t="s">
        <v>31</v>
      </c>
      <c r="U1037" s="26"/>
      <c r="V1037" s="26"/>
      <c r="W1037" s="26"/>
      <c r="X1037" s="26"/>
      <c r="Y1037" s="26"/>
      <c r="Z1037" s="26"/>
      <c r="AA1037" s="26"/>
      <c r="AB1037" s="26"/>
      <c r="AC1037" s="26"/>
    </row>
    <row r="1038" ht="33.75" customHeight="1">
      <c r="A1038" s="106" t="s">
        <v>1772</v>
      </c>
      <c r="B1038" s="107" t="s">
        <v>1728</v>
      </c>
      <c r="C1038" s="107" t="s">
        <v>1760</v>
      </c>
      <c r="D1038" s="107" t="s">
        <v>1769</v>
      </c>
      <c r="E1038" s="107" t="s">
        <v>1770</v>
      </c>
      <c r="F1038" s="106" t="s">
        <v>1762</v>
      </c>
      <c r="G1038" s="106" t="s">
        <v>200</v>
      </c>
      <c r="H1038" s="106" t="s">
        <v>200</v>
      </c>
      <c r="I1038" s="106"/>
      <c r="J1038" s="106" t="s">
        <v>14</v>
      </c>
      <c r="K1038" s="108" t="s">
        <v>14</v>
      </c>
      <c r="L1038" s="109"/>
      <c r="M1038" s="109">
        <f t="shared" si="650"/>
        <v>0</v>
      </c>
      <c r="N1038" s="109"/>
      <c r="O1038" s="109">
        <f t="shared" si="663"/>
        <v>0</v>
      </c>
      <c r="P1038" s="110"/>
      <c r="Q1038" s="109">
        <f t="shared" si="664"/>
        <v>0</v>
      </c>
      <c r="R1038" s="111"/>
      <c r="S1038" s="111"/>
      <c r="T1038" s="106" t="s">
        <v>32</v>
      </c>
      <c r="U1038" s="26"/>
      <c r="V1038" s="26"/>
      <c r="W1038" s="26"/>
      <c r="X1038" s="26"/>
      <c r="Y1038" s="26"/>
      <c r="Z1038" s="26"/>
      <c r="AA1038" s="26"/>
      <c r="AB1038" s="26"/>
      <c r="AC1038" s="26"/>
    </row>
    <row r="1039" ht="33.75" customHeight="1">
      <c r="A1039" s="106" t="s">
        <v>1773</v>
      </c>
      <c r="B1039" s="107" t="s">
        <v>1728</v>
      </c>
      <c r="C1039" s="107" t="s">
        <v>1760</v>
      </c>
      <c r="D1039" s="107" t="s">
        <v>1769</v>
      </c>
      <c r="E1039" s="107" t="s">
        <v>1770</v>
      </c>
      <c r="F1039" s="106" t="s">
        <v>1762</v>
      </c>
      <c r="G1039" s="106" t="s">
        <v>200</v>
      </c>
      <c r="H1039" s="106" t="s">
        <v>200</v>
      </c>
      <c r="I1039" s="106"/>
      <c r="J1039" s="106" t="s">
        <v>14</v>
      </c>
      <c r="K1039" s="108" t="s">
        <v>14</v>
      </c>
      <c r="L1039" s="109"/>
      <c r="M1039" s="109">
        <f t="shared" si="650"/>
        <v>0</v>
      </c>
      <c r="N1039" s="109"/>
      <c r="O1039" s="109">
        <f t="shared" si="663"/>
        <v>0</v>
      </c>
      <c r="P1039" s="110"/>
      <c r="Q1039" s="109">
        <f t="shared" si="664"/>
        <v>0</v>
      </c>
      <c r="R1039" s="111"/>
      <c r="S1039" s="111"/>
      <c r="T1039" s="106" t="s">
        <v>70</v>
      </c>
      <c r="U1039" s="26"/>
      <c r="V1039" s="26"/>
      <c r="W1039" s="26"/>
      <c r="X1039" s="26"/>
      <c r="Y1039" s="26"/>
      <c r="Z1039" s="26"/>
      <c r="AA1039" s="26"/>
      <c r="AB1039" s="26"/>
      <c r="AC1039" s="26"/>
    </row>
    <row r="1040" ht="33.75" customHeight="1">
      <c r="A1040" s="98" t="s">
        <v>1774</v>
      </c>
      <c r="B1040" s="99" t="s">
        <v>1728</v>
      </c>
      <c r="C1040" s="99" t="s">
        <v>1760</v>
      </c>
      <c r="D1040" s="99" t="s">
        <v>1775</v>
      </c>
      <c r="E1040" s="99" t="s">
        <v>1776</v>
      </c>
      <c r="F1040" s="98" t="s">
        <v>1768</v>
      </c>
      <c r="G1040" s="98" t="s">
        <v>200</v>
      </c>
      <c r="H1040" s="98" t="s">
        <v>200</v>
      </c>
      <c r="I1040" s="98"/>
      <c r="J1040" s="98" t="s">
        <v>14</v>
      </c>
      <c r="K1040" s="100" t="s">
        <v>14</v>
      </c>
      <c r="L1040" s="101">
        <f>IF(COUNT(L1041:N1043)=0,"",SUM(L1041:L1043))</f>
        <v>0</v>
      </c>
      <c r="M1040" s="102">
        <f t="shared" si="650"/>
        <v>0</v>
      </c>
      <c r="N1040" s="101">
        <f>IF(COUNT(L1041:N1043)=0,"",SUM(N1041:N1043))</f>
        <v>0</v>
      </c>
      <c r="O1040" s="101">
        <f>IF(COUNT(O1041:O1043)=0,"",SUM(O1041:O1043))</f>
        <v>0</v>
      </c>
      <c r="P1040" s="103"/>
      <c r="Q1040" s="101">
        <f>IF(COUNT(Q1041:Q1043)=0,"",SUM(Q1041:Q1043))</f>
        <v>0</v>
      </c>
      <c r="R1040" s="104"/>
      <c r="S1040" s="104"/>
      <c r="T1040" s="98" t="s">
        <v>65</v>
      </c>
      <c r="U1040" s="179"/>
      <c r="V1040" s="179"/>
      <c r="W1040" s="179"/>
      <c r="X1040" s="105"/>
      <c r="Y1040" s="105"/>
      <c r="Z1040" s="105"/>
      <c r="AA1040" s="105"/>
      <c r="AB1040" s="105"/>
      <c r="AC1040" s="105"/>
    </row>
    <row r="1041" ht="33.75" customHeight="1">
      <c r="A1041" s="106" t="s">
        <v>1777</v>
      </c>
      <c r="B1041" s="107" t="s">
        <v>1728</v>
      </c>
      <c r="C1041" s="107" t="s">
        <v>1760</v>
      </c>
      <c r="D1041" s="107" t="s">
        <v>1775</v>
      </c>
      <c r="E1041" s="107" t="s">
        <v>1776</v>
      </c>
      <c r="F1041" s="106" t="s">
        <v>1768</v>
      </c>
      <c r="G1041" s="106" t="s">
        <v>200</v>
      </c>
      <c r="H1041" s="106" t="s">
        <v>200</v>
      </c>
      <c r="I1041" s="106"/>
      <c r="J1041" s="106" t="s">
        <v>14</v>
      </c>
      <c r="K1041" s="108" t="s">
        <v>14</v>
      </c>
      <c r="L1041" s="109"/>
      <c r="M1041" s="109">
        <f t="shared" si="650"/>
        <v>0</v>
      </c>
      <c r="N1041" s="109"/>
      <c r="O1041" s="109">
        <f t="shared" ref="O1041:O1043" si="665">IF(COUNT(L1041:N1041)=0,"",(L1041+4*M1041+N1041)/6)</f>
        <v>0</v>
      </c>
      <c r="P1041" s="110"/>
      <c r="Q1041" s="109">
        <f t="shared" ref="Q1041:Q1043" si="666">IF(O1041="","",IF(P1041="",O1041,O1041*(1+P1041)))</f>
        <v>0</v>
      </c>
      <c r="R1041" s="111"/>
      <c r="S1041" s="111"/>
      <c r="T1041" s="106" t="s">
        <v>31</v>
      </c>
      <c r="U1041" s="26"/>
      <c r="V1041" s="26"/>
      <c r="W1041" s="26"/>
      <c r="X1041" s="26"/>
      <c r="Y1041" s="26"/>
      <c r="Z1041" s="26"/>
      <c r="AA1041" s="26"/>
      <c r="AB1041" s="26"/>
      <c r="AC1041" s="26"/>
    </row>
    <row r="1042" ht="33.75" customHeight="1">
      <c r="A1042" s="106" t="s">
        <v>1778</v>
      </c>
      <c r="B1042" s="107" t="s">
        <v>1728</v>
      </c>
      <c r="C1042" s="107" t="s">
        <v>1760</v>
      </c>
      <c r="D1042" s="107" t="s">
        <v>1775</v>
      </c>
      <c r="E1042" s="107" t="s">
        <v>1776</v>
      </c>
      <c r="F1042" s="106" t="s">
        <v>1768</v>
      </c>
      <c r="G1042" s="106" t="s">
        <v>200</v>
      </c>
      <c r="H1042" s="106" t="s">
        <v>200</v>
      </c>
      <c r="I1042" s="106"/>
      <c r="J1042" s="106" t="s">
        <v>14</v>
      </c>
      <c r="K1042" s="108" t="s">
        <v>14</v>
      </c>
      <c r="L1042" s="109"/>
      <c r="M1042" s="109">
        <f t="shared" si="650"/>
        <v>0</v>
      </c>
      <c r="N1042" s="109"/>
      <c r="O1042" s="109">
        <f t="shared" si="665"/>
        <v>0</v>
      </c>
      <c r="P1042" s="110"/>
      <c r="Q1042" s="109">
        <f t="shared" si="666"/>
        <v>0</v>
      </c>
      <c r="R1042" s="111"/>
      <c r="S1042" s="111"/>
      <c r="T1042" s="106" t="s">
        <v>32</v>
      </c>
      <c r="U1042" s="26"/>
      <c r="V1042" s="26"/>
      <c r="W1042" s="26"/>
      <c r="X1042" s="26"/>
      <c r="Y1042" s="26"/>
      <c r="Z1042" s="26"/>
      <c r="AA1042" s="26"/>
      <c r="AB1042" s="26"/>
      <c r="AC1042" s="26"/>
    </row>
    <row r="1043" ht="33.75" customHeight="1">
      <c r="A1043" s="106" t="s">
        <v>1779</v>
      </c>
      <c r="B1043" s="107" t="s">
        <v>1728</v>
      </c>
      <c r="C1043" s="107" t="s">
        <v>1760</v>
      </c>
      <c r="D1043" s="107" t="s">
        <v>1775</v>
      </c>
      <c r="E1043" s="107" t="s">
        <v>1776</v>
      </c>
      <c r="F1043" s="106" t="s">
        <v>1768</v>
      </c>
      <c r="G1043" s="106" t="s">
        <v>200</v>
      </c>
      <c r="H1043" s="106" t="s">
        <v>200</v>
      </c>
      <c r="I1043" s="106"/>
      <c r="J1043" s="106" t="s">
        <v>14</v>
      </c>
      <c r="K1043" s="108" t="s">
        <v>14</v>
      </c>
      <c r="L1043" s="109"/>
      <c r="M1043" s="109">
        <f t="shared" si="650"/>
        <v>0</v>
      </c>
      <c r="N1043" s="109"/>
      <c r="O1043" s="109">
        <f t="shared" si="665"/>
        <v>0</v>
      </c>
      <c r="P1043" s="110"/>
      <c r="Q1043" s="109">
        <f t="shared" si="666"/>
        <v>0</v>
      </c>
      <c r="R1043" s="111"/>
      <c r="S1043" s="111"/>
      <c r="T1043" s="106" t="s">
        <v>70</v>
      </c>
      <c r="U1043" s="26"/>
      <c r="V1043" s="26"/>
      <c r="W1043" s="26"/>
      <c r="X1043" s="26"/>
      <c r="Y1043" s="26"/>
      <c r="Z1043" s="26"/>
      <c r="AA1043" s="26"/>
      <c r="AB1043" s="26"/>
      <c r="AC1043" s="26"/>
    </row>
    <row r="1044" ht="33.75" customHeight="1">
      <c r="A1044" s="98" t="s">
        <v>1780</v>
      </c>
      <c r="B1044" s="99" t="s">
        <v>1728</v>
      </c>
      <c r="C1044" s="99" t="s">
        <v>1760</v>
      </c>
      <c r="D1044" s="99" t="s">
        <v>1781</v>
      </c>
      <c r="E1044" s="99" t="s">
        <v>1782</v>
      </c>
      <c r="F1044" s="98" t="s">
        <v>1774</v>
      </c>
      <c r="G1044" s="98" t="s">
        <v>200</v>
      </c>
      <c r="H1044" s="98" t="s">
        <v>200</v>
      </c>
      <c r="I1044" s="98"/>
      <c r="J1044" s="98" t="s">
        <v>14</v>
      </c>
      <c r="K1044" s="100" t="s">
        <v>14</v>
      </c>
      <c r="L1044" s="101">
        <f>IF(COUNT(L1045:N1047)=0,"",SUM(L1045:L1047))</f>
        <v>0</v>
      </c>
      <c r="M1044" s="102">
        <f t="shared" si="650"/>
        <v>0</v>
      </c>
      <c r="N1044" s="101">
        <f>IF(COUNT(L1045:N1047)=0,"",SUM(N1045:N1047))</f>
        <v>0</v>
      </c>
      <c r="O1044" s="101">
        <f>IF(COUNT(O1045:O1047)=0,"",SUM(O1045:O1047))</f>
        <v>0</v>
      </c>
      <c r="P1044" s="103"/>
      <c r="Q1044" s="101">
        <f>IF(COUNT(Q1045:Q1047)=0,"",SUM(Q1045:Q1047))</f>
        <v>0</v>
      </c>
      <c r="R1044" s="104"/>
      <c r="S1044" s="104"/>
      <c r="T1044" s="98" t="s">
        <v>65</v>
      </c>
      <c r="U1044" s="179"/>
      <c r="V1044" s="179"/>
      <c r="W1044" s="179"/>
      <c r="X1044" s="105"/>
      <c r="Y1044" s="105"/>
      <c r="Z1044" s="105"/>
      <c r="AA1044" s="105"/>
      <c r="AB1044" s="105"/>
      <c r="AC1044" s="105"/>
    </row>
    <row r="1045" ht="33.75" customHeight="1">
      <c r="A1045" s="106" t="s">
        <v>1783</v>
      </c>
      <c r="B1045" s="107" t="s">
        <v>1728</v>
      </c>
      <c r="C1045" s="107" t="s">
        <v>1760</v>
      </c>
      <c r="D1045" s="107" t="s">
        <v>1781</v>
      </c>
      <c r="E1045" s="107" t="s">
        <v>1782</v>
      </c>
      <c r="F1045" s="106" t="s">
        <v>1774</v>
      </c>
      <c r="G1045" s="106" t="s">
        <v>200</v>
      </c>
      <c r="H1045" s="106" t="s">
        <v>200</v>
      </c>
      <c r="I1045" s="106"/>
      <c r="J1045" s="106" t="s">
        <v>14</v>
      </c>
      <c r="K1045" s="108" t="s">
        <v>14</v>
      </c>
      <c r="L1045" s="109"/>
      <c r="M1045" s="109">
        <f t="shared" si="650"/>
        <v>0</v>
      </c>
      <c r="N1045" s="109"/>
      <c r="O1045" s="109">
        <f t="shared" ref="O1045:O1047" si="667">IF(COUNT(L1045:N1045)=0,"",(L1045+4*M1045+N1045)/6)</f>
        <v>0</v>
      </c>
      <c r="P1045" s="110"/>
      <c r="Q1045" s="109">
        <f t="shared" ref="Q1045:Q1047" si="668">IF(O1045="","",IF(P1045="",O1045,O1045*(1+P1045)))</f>
        <v>0</v>
      </c>
      <c r="R1045" s="111"/>
      <c r="S1045" s="111"/>
      <c r="T1045" s="106" t="s">
        <v>31</v>
      </c>
      <c r="U1045" s="26"/>
      <c r="V1045" s="26"/>
      <c r="W1045" s="26"/>
      <c r="X1045" s="26"/>
      <c r="Y1045" s="26"/>
      <c r="Z1045" s="26"/>
      <c r="AA1045" s="26"/>
      <c r="AB1045" s="26"/>
      <c r="AC1045" s="26"/>
    </row>
    <row r="1046" ht="33.75" customHeight="1">
      <c r="A1046" s="106" t="s">
        <v>1784</v>
      </c>
      <c r="B1046" s="107" t="s">
        <v>1728</v>
      </c>
      <c r="C1046" s="107" t="s">
        <v>1760</v>
      </c>
      <c r="D1046" s="107" t="s">
        <v>1781</v>
      </c>
      <c r="E1046" s="107" t="s">
        <v>1782</v>
      </c>
      <c r="F1046" s="106" t="s">
        <v>1774</v>
      </c>
      <c r="G1046" s="106" t="s">
        <v>200</v>
      </c>
      <c r="H1046" s="106" t="s">
        <v>200</v>
      </c>
      <c r="I1046" s="106"/>
      <c r="J1046" s="106" t="s">
        <v>14</v>
      </c>
      <c r="K1046" s="108" t="s">
        <v>14</v>
      </c>
      <c r="L1046" s="109"/>
      <c r="M1046" s="109">
        <f t="shared" si="650"/>
        <v>0</v>
      </c>
      <c r="N1046" s="109"/>
      <c r="O1046" s="109">
        <f t="shared" si="667"/>
        <v>0</v>
      </c>
      <c r="P1046" s="110"/>
      <c r="Q1046" s="109">
        <f t="shared" si="668"/>
        <v>0</v>
      </c>
      <c r="R1046" s="111"/>
      <c r="S1046" s="111"/>
      <c r="T1046" s="106" t="s">
        <v>32</v>
      </c>
      <c r="U1046" s="26"/>
      <c r="V1046" s="26"/>
      <c r="W1046" s="26"/>
      <c r="X1046" s="26"/>
      <c r="Y1046" s="26"/>
      <c r="Z1046" s="26"/>
      <c r="AA1046" s="26"/>
      <c r="AB1046" s="26"/>
      <c r="AC1046" s="26"/>
    </row>
    <row r="1047" ht="33.75" customHeight="1">
      <c r="A1047" s="106" t="s">
        <v>1785</v>
      </c>
      <c r="B1047" s="107" t="s">
        <v>1728</v>
      </c>
      <c r="C1047" s="107" t="s">
        <v>1760</v>
      </c>
      <c r="D1047" s="107" t="s">
        <v>1781</v>
      </c>
      <c r="E1047" s="107" t="s">
        <v>1782</v>
      </c>
      <c r="F1047" s="106" t="s">
        <v>1774</v>
      </c>
      <c r="G1047" s="106" t="s">
        <v>200</v>
      </c>
      <c r="H1047" s="106" t="s">
        <v>200</v>
      </c>
      <c r="I1047" s="106"/>
      <c r="J1047" s="106" t="s">
        <v>14</v>
      </c>
      <c r="K1047" s="108" t="s">
        <v>14</v>
      </c>
      <c r="L1047" s="109"/>
      <c r="M1047" s="109">
        <f t="shared" si="650"/>
        <v>0</v>
      </c>
      <c r="N1047" s="109"/>
      <c r="O1047" s="109">
        <f t="shared" si="667"/>
        <v>0</v>
      </c>
      <c r="P1047" s="110"/>
      <c r="Q1047" s="109">
        <f t="shared" si="668"/>
        <v>0</v>
      </c>
      <c r="R1047" s="111"/>
      <c r="S1047" s="111"/>
      <c r="T1047" s="106" t="s">
        <v>70</v>
      </c>
      <c r="U1047" s="26"/>
      <c r="V1047" s="26"/>
      <c r="W1047" s="26"/>
      <c r="X1047" s="26"/>
      <c r="Y1047" s="26"/>
      <c r="Z1047" s="26"/>
      <c r="AA1047" s="26"/>
      <c r="AB1047" s="26"/>
      <c r="AC1047" s="26"/>
    </row>
    <row r="1048" ht="33.75" customHeight="1">
      <c r="A1048" s="98" t="s">
        <v>1786</v>
      </c>
      <c r="B1048" s="99" t="s">
        <v>1728</v>
      </c>
      <c r="C1048" s="99" t="s">
        <v>1760</v>
      </c>
      <c r="D1048" s="99" t="s">
        <v>1787</v>
      </c>
      <c r="E1048" s="99" t="s">
        <v>1788</v>
      </c>
      <c r="F1048" s="98" t="s">
        <v>1762</v>
      </c>
      <c r="G1048" s="98" t="s">
        <v>168</v>
      </c>
      <c r="H1048" s="98" t="s">
        <v>168</v>
      </c>
      <c r="I1048" s="98"/>
      <c r="J1048" s="98" t="s">
        <v>14</v>
      </c>
      <c r="K1048" s="100" t="s">
        <v>14</v>
      </c>
      <c r="L1048" s="101">
        <f>IF(COUNT(L1049:N1051)=0,"",SUM(L1049:L1051))</f>
        <v>0</v>
      </c>
      <c r="M1048" s="102">
        <f t="shared" si="650"/>
        <v>0</v>
      </c>
      <c r="N1048" s="101">
        <f>IF(COUNT(L1049:N1051)=0,"",SUM(N1049:N1051))</f>
        <v>0</v>
      </c>
      <c r="O1048" s="101">
        <f>IF(COUNT(O1049:O1051)=0,"",SUM(O1049:O1051))</f>
        <v>0</v>
      </c>
      <c r="P1048" s="103"/>
      <c r="Q1048" s="101">
        <f>IF(COUNT(Q1049:Q1051)=0,"",SUM(Q1049:Q1051))</f>
        <v>0</v>
      </c>
      <c r="R1048" s="104"/>
      <c r="S1048" s="104"/>
      <c r="T1048" s="98" t="s">
        <v>65</v>
      </c>
      <c r="U1048" s="179"/>
      <c r="V1048" s="179"/>
      <c r="W1048" s="179"/>
      <c r="X1048" s="105"/>
      <c r="Y1048" s="105"/>
      <c r="Z1048" s="105"/>
      <c r="AA1048" s="105"/>
      <c r="AB1048" s="105"/>
      <c r="AC1048" s="105"/>
    </row>
    <row r="1049" ht="33.75" customHeight="1">
      <c r="A1049" s="106" t="s">
        <v>1789</v>
      </c>
      <c r="B1049" s="107" t="s">
        <v>1728</v>
      </c>
      <c r="C1049" s="107" t="s">
        <v>1760</v>
      </c>
      <c r="D1049" s="107" t="s">
        <v>1787</v>
      </c>
      <c r="E1049" s="107" t="s">
        <v>1788</v>
      </c>
      <c r="F1049" s="106" t="s">
        <v>1762</v>
      </c>
      <c r="G1049" s="106" t="s">
        <v>168</v>
      </c>
      <c r="H1049" s="106" t="s">
        <v>168</v>
      </c>
      <c r="I1049" s="106"/>
      <c r="J1049" s="106" t="s">
        <v>14</v>
      </c>
      <c r="K1049" s="108" t="s">
        <v>14</v>
      </c>
      <c r="L1049" s="109"/>
      <c r="M1049" s="109">
        <f t="shared" si="650"/>
        <v>0</v>
      </c>
      <c r="N1049" s="109"/>
      <c r="O1049" s="109">
        <f t="shared" ref="O1049:O1051" si="669">IF(COUNT(L1049:N1049)=0,"",(L1049+4*M1049+N1049)/6)</f>
        <v>0</v>
      </c>
      <c r="P1049" s="110"/>
      <c r="Q1049" s="109">
        <f t="shared" ref="Q1049:Q1051" si="670">IF(O1049="","",IF(P1049="",O1049,O1049*(1+P1049)))</f>
        <v>0</v>
      </c>
      <c r="R1049" s="111"/>
      <c r="S1049" s="111"/>
      <c r="T1049" s="106" t="s">
        <v>31</v>
      </c>
      <c r="U1049" s="26"/>
      <c r="V1049" s="26"/>
      <c r="W1049" s="26"/>
      <c r="X1049" s="26"/>
      <c r="Y1049" s="26"/>
      <c r="Z1049" s="26"/>
      <c r="AA1049" s="26"/>
      <c r="AB1049" s="26"/>
      <c r="AC1049" s="26"/>
    </row>
    <row r="1050" ht="33.75" customHeight="1">
      <c r="A1050" s="106" t="s">
        <v>1790</v>
      </c>
      <c r="B1050" s="107" t="s">
        <v>1728</v>
      </c>
      <c r="C1050" s="107" t="s">
        <v>1760</v>
      </c>
      <c r="D1050" s="107" t="s">
        <v>1787</v>
      </c>
      <c r="E1050" s="107" t="s">
        <v>1788</v>
      </c>
      <c r="F1050" s="106" t="s">
        <v>1762</v>
      </c>
      <c r="G1050" s="106" t="s">
        <v>168</v>
      </c>
      <c r="H1050" s="106" t="s">
        <v>168</v>
      </c>
      <c r="I1050" s="106"/>
      <c r="J1050" s="106" t="s">
        <v>14</v>
      </c>
      <c r="K1050" s="108" t="s">
        <v>14</v>
      </c>
      <c r="L1050" s="109"/>
      <c r="M1050" s="109">
        <f t="shared" si="650"/>
        <v>0</v>
      </c>
      <c r="N1050" s="109"/>
      <c r="O1050" s="109">
        <f t="shared" si="669"/>
        <v>0</v>
      </c>
      <c r="P1050" s="110"/>
      <c r="Q1050" s="109">
        <f t="shared" si="670"/>
        <v>0</v>
      </c>
      <c r="R1050" s="111"/>
      <c r="S1050" s="111"/>
      <c r="T1050" s="106" t="s">
        <v>32</v>
      </c>
      <c r="U1050" s="26"/>
      <c r="V1050" s="26"/>
      <c r="W1050" s="26"/>
      <c r="X1050" s="26"/>
      <c r="Y1050" s="26"/>
      <c r="Z1050" s="26"/>
      <c r="AA1050" s="26"/>
      <c r="AB1050" s="26"/>
      <c r="AC1050" s="26"/>
    </row>
    <row r="1051" ht="33.75" customHeight="1">
      <c r="A1051" s="106" t="s">
        <v>1791</v>
      </c>
      <c r="B1051" s="107" t="s">
        <v>1728</v>
      </c>
      <c r="C1051" s="107" t="s">
        <v>1760</v>
      </c>
      <c r="D1051" s="107" t="s">
        <v>1787</v>
      </c>
      <c r="E1051" s="107" t="s">
        <v>1788</v>
      </c>
      <c r="F1051" s="106" t="s">
        <v>1762</v>
      </c>
      <c r="G1051" s="106" t="s">
        <v>168</v>
      </c>
      <c r="H1051" s="106" t="s">
        <v>168</v>
      </c>
      <c r="I1051" s="106"/>
      <c r="J1051" s="106" t="s">
        <v>14</v>
      </c>
      <c r="K1051" s="108" t="s">
        <v>14</v>
      </c>
      <c r="L1051" s="109"/>
      <c r="M1051" s="109">
        <f t="shared" si="650"/>
        <v>0</v>
      </c>
      <c r="N1051" s="109"/>
      <c r="O1051" s="109">
        <f t="shared" si="669"/>
        <v>0</v>
      </c>
      <c r="P1051" s="110"/>
      <c r="Q1051" s="109">
        <f t="shared" si="670"/>
        <v>0</v>
      </c>
      <c r="R1051" s="111"/>
      <c r="S1051" s="111"/>
      <c r="T1051" s="106" t="s">
        <v>70</v>
      </c>
      <c r="U1051" s="26"/>
      <c r="V1051" s="26"/>
      <c r="W1051" s="26"/>
      <c r="X1051" s="26"/>
      <c r="Y1051" s="26"/>
      <c r="Z1051" s="26"/>
      <c r="AA1051" s="26"/>
      <c r="AB1051" s="26"/>
      <c r="AC1051" s="26"/>
    </row>
    <row r="1052" ht="33.75" customHeight="1">
      <c r="A1052" s="186" t="s">
        <v>1792</v>
      </c>
      <c r="B1052" s="227" t="s">
        <v>1728</v>
      </c>
      <c r="C1052" s="227" t="s">
        <v>1793</v>
      </c>
      <c r="D1052" s="227" t="s">
        <v>1793</v>
      </c>
      <c r="E1052" s="227" t="s">
        <v>1794</v>
      </c>
      <c r="F1052" s="186"/>
      <c r="G1052" s="186"/>
      <c r="H1052" s="186"/>
      <c r="I1052" s="186"/>
      <c r="J1052" s="186"/>
      <c r="K1052" s="185"/>
      <c r="L1052" s="228">
        <f>IF(COUNT(L1053,L1057,L1061)=0,"",SUM(L1053,L1057,L1061))</f>
        <v>0</v>
      </c>
      <c r="M1052" s="228">
        <f t="shared" si="650"/>
        <v>0</v>
      </c>
      <c r="N1052" s="228">
        <f t="shared" ref="N1052:O1052" si="671">IF(COUNT(N1053,N1057,N1061)=0,"",SUM(N1053,N1057,N1061))</f>
        <v>0</v>
      </c>
      <c r="O1052" s="228">
        <f t="shared" si="671"/>
        <v>0</v>
      </c>
      <c r="P1052" s="229"/>
      <c r="Q1052" s="228">
        <f>IF(COUNT(Q1053,Q1057,Q1061)=0,"",SUM(Q1053,Q1057,Q1061))</f>
        <v>0</v>
      </c>
      <c r="R1052" s="198"/>
      <c r="S1052" s="198"/>
      <c r="T1052" s="186" t="s">
        <v>62</v>
      </c>
      <c r="U1052" s="26"/>
      <c r="V1052" s="26"/>
      <c r="W1052" s="26"/>
      <c r="X1052" s="46">
        <f t="shared" ref="X1052:AA1052" si="672">L1052</f>
        <v>0</v>
      </c>
      <c r="Y1052" s="46">
        <f t="shared" si="672"/>
        <v>0</v>
      </c>
      <c r="Z1052" s="46">
        <f t="shared" si="672"/>
        <v>0</v>
      </c>
      <c r="AA1052" s="46">
        <f t="shared" si="672"/>
        <v>0</v>
      </c>
      <c r="AB1052" s="26"/>
      <c r="AC1052" s="46">
        <f>Q1052</f>
        <v>0</v>
      </c>
    </row>
    <row r="1053" ht="33.75" customHeight="1">
      <c r="A1053" s="98" t="s">
        <v>1795</v>
      </c>
      <c r="B1053" s="99" t="s">
        <v>1728</v>
      </c>
      <c r="C1053" s="99" t="s">
        <v>1793</v>
      </c>
      <c r="D1053" s="99" t="s">
        <v>1796</v>
      </c>
      <c r="E1053" s="99" t="s">
        <v>1797</v>
      </c>
      <c r="F1053" s="98" t="s">
        <v>1768</v>
      </c>
      <c r="G1053" s="98" t="s">
        <v>534</v>
      </c>
      <c r="H1053" s="98" t="s">
        <v>534</v>
      </c>
      <c r="I1053" s="98"/>
      <c r="J1053" s="98" t="s">
        <v>14</v>
      </c>
      <c r="K1053" s="100" t="s">
        <v>14</v>
      </c>
      <c r="L1053" s="101">
        <f>IF(COUNT(L1054:N1056)=0,"",SUM(L1054:L1056))</f>
        <v>0</v>
      </c>
      <c r="M1053" s="102">
        <f t="shared" si="650"/>
        <v>0</v>
      </c>
      <c r="N1053" s="101">
        <f>IF(COUNT(L1054:N1056)=0,"",SUM(N1054:N1056))</f>
        <v>0</v>
      </c>
      <c r="O1053" s="101">
        <f>IF(COUNT(O1054:O1056)=0,"",SUM(O1054:O1056))</f>
        <v>0</v>
      </c>
      <c r="P1053" s="103"/>
      <c r="Q1053" s="101">
        <f>IF(COUNT(Q1054:Q1056)=0,"",SUM(Q1054:Q1056))</f>
        <v>0</v>
      </c>
      <c r="R1053" s="104"/>
      <c r="S1053" s="104"/>
      <c r="T1053" s="98" t="s">
        <v>65</v>
      </c>
      <c r="U1053" s="179"/>
      <c r="V1053" s="179"/>
      <c r="W1053" s="179"/>
      <c r="X1053" s="105"/>
      <c r="Y1053" s="105"/>
      <c r="Z1053" s="105"/>
      <c r="AA1053" s="105"/>
      <c r="AB1053" s="105"/>
      <c r="AC1053" s="105"/>
    </row>
    <row r="1054" ht="33.75" customHeight="1">
      <c r="A1054" s="106" t="s">
        <v>1798</v>
      </c>
      <c r="B1054" s="107" t="s">
        <v>1728</v>
      </c>
      <c r="C1054" s="107" t="s">
        <v>1793</v>
      </c>
      <c r="D1054" s="107" t="s">
        <v>1796</v>
      </c>
      <c r="E1054" s="107" t="s">
        <v>1797</v>
      </c>
      <c r="F1054" s="106" t="s">
        <v>1768</v>
      </c>
      <c r="G1054" s="106" t="s">
        <v>534</v>
      </c>
      <c r="H1054" s="106" t="s">
        <v>534</v>
      </c>
      <c r="I1054" s="106"/>
      <c r="J1054" s="106" t="s">
        <v>14</v>
      </c>
      <c r="K1054" s="108" t="s">
        <v>14</v>
      </c>
      <c r="L1054" s="109"/>
      <c r="M1054" s="109">
        <f t="shared" si="650"/>
        <v>0</v>
      </c>
      <c r="N1054" s="109"/>
      <c r="O1054" s="109">
        <f t="shared" ref="O1054:O1056" si="673">IF(COUNT(L1054:N1054)=0,"",(L1054+4*M1054+N1054)/6)</f>
        <v>0</v>
      </c>
      <c r="P1054" s="110"/>
      <c r="Q1054" s="109">
        <f t="shared" ref="Q1054:Q1056" si="674">IF(O1054="","",IF(P1054="",O1054,O1054*(1+P1054)))</f>
        <v>0</v>
      </c>
      <c r="R1054" s="111"/>
      <c r="S1054" s="111"/>
      <c r="T1054" s="106" t="s">
        <v>31</v>
      </c>
      <c r="U1054" s="26"/>
      <c r="V1054" s="26"/>
      <c r="W1054" s="26"/>
      <c r="X1054" s="26"/>
      <c r="Y1054" s="26"/>
      <c r="Z1054" s="26"/>
      <c r="AA1054" s="26"/>
      <c r="AB1054" s="26"/>
      <c r="AC1054" s="26"/>
    </row>
    <row r="1055" ht="33.75" customHeight="1">
      <c r="A1055" s="106" t="s">
        <v>1799</v>
      </c>
      <c r="B1055" s="107" t="s">
        <v>1728</v>
      </c>
      <c r="C1055" s="107" t="s">
        <v>1793</v>
      </c>
      <c r="D1055" s="107" t="s">
        <v>1796</v>
      </c>
      <c r="E1055" s="107" t="s">
        <v>1797</v>
      </c>
      <c r="F1055" s="106" t="s">
        <v>1768</v>
      </c>
      <c r="G1055" s="106" t="s">
        <v>534</v>
      </c>
      <c r="H1055" s="106" t="s">
        <v>534</v>
      </c>
      <c r="I1055" s="106"/>
      <c r="J1055" s="106" t="s">
        <v>14</v>
      </c>
      <c r="K1055" s="108" t="s">
        <v>14</v>
      </c>
      <c r="L1055" s="109"/>
      <c r="M1055" s="109">
        <f t="shared" si="650"/>
        <v>0</v>
      </c>
      <c r="N1055" s="109"/>
      <c r="O1055" s="109">
        <f t="shared" si="673"/>
        <v>0</v>
      </c>
      <c r="P1055" s="110"/>
      <c r="Q1055" s="109">
        <f t="shared" si="674"/>
        <v>0</v>
      </c>
      <c r="R1055" s="111"/>
      <c r="S1055" s="111"/>
      <c r="T1055" s="106" t="s">
        <v>32</v>
      </c>
      <c r="U1055" s="26"/>
      <c r="V1055" s="26"/>
      <c r="W1055" s="26"/>
      <c r="X1055" s="26"/>
      <c r="Y1055" s="26"/>
      <c r="Z1055" s="26"/>
      <c r="AA1055" s="26"/>
      <c r="AB1055" s="26"/>
      <c r="AC1055" s="26"/>
    </row>
    <row r="1056" ht="33.75" customHeight="1">
      <c r="A1056" s="106" t="s">
        <v>1800</v>
      </c>
      <c r="B1056" s="107" t="s">
        <v>1728</v>
      </c>
      <c r="C1056" s="107" t="s">
        <v>1793</v>
      </c>
      <c r="D1056" s="107" t="s">
        <v>1796</v>
      </c>
      <c r="E1056" s="107" t="s">
        <v>1797</v>
      </c>
      <c r="F1056" s="106" t="s">
        <v>1768</v>
      </c>
      <c r="G1056" s="106" t="s">
        <v>534</v>
      </c>
      <c r="H1056" s="106" t="s">
        <v>534</v>
      </c>
      <c r="I1056" s="106"/>
      <c r="J1056" s="106" t="s">
        <v>14</v>
      </c>
      <c r="K1056" s="108" t="s">
        <v>14</v>
      </c>
      <c r="L1056" s="109"/>
      <c r="M1056" s="109">
        <f t="shared" si="650"/>
        <v>0</v>
      </c>
      <c r="N1056" s="109"/>
      <c r="O1056" s="109">
        <f t="shared" si="673"/>
        <v>0</v>
      </c>
      <c r="P1056" s="110"/>
      <c r="Q1056" s="109">
        <f t="shared" si="674"/>
        <v>0</v>
      </c>
      <c r="R1056" s="111"/>
      <c r="S1056" s="111"/>
      <c r="T1056" s="106" t="s">
        <v>70</v>
      </c>
      <c r="U1056" s="26"/>
      <c r="V1056" s="26"/>
      <c r="W1056" s="26"/>
      <c r="X1056" s="26"/>
      <c r="Y1056" s="26"/>
      <c r="Z1056" s="26"/>
      <c r="AA1056" s="26"/>
      <c r="AB1056" s="26"/>
      <c r="AC1056" s="26"/>
    </row>
    <row r="1057" ht="33.75" customHeight="1">
      <c r="A1057" s="98" t="s">
        <v>1801</v>
      </c>
      <c r="B1057" s="99" t="s">
        <v>1728</v>
      </c>
      <c r="C1057" s="99" t="s">
        <v>1793</v>
      </c>
      <c r="D1057" s="99" t="s">
        <v>1802</v>
      </c>
      <c r="E1057" s="99" t="s">
        <v>1803</v>
      </c>
      <c r="F1057" s="98" t="s">
        <v>1804</v>
      </c>
      <c r="G1057" s="98" t="s">
        <v>534</v>
      </c>
      <c r="H1057" s="98" t="s">
        <v>534</v>
      </c>
      <c r="I1057" s="98"/>
      <c r="J1057" s="98" t="s">
        <v>14</v>
      </c>
      <c r="K1057" s="100" t="s">
        <v>14</v>
      </c>
      <c r="L1057" s="101">
        <f>IF(COUNT(L1058:N1060)=0,"",SUM(L1058:L1060))</f>
        <v>0</v>
      </c>
      <c r="M1057" s="102">
        <f t="shared" si="650"/>
        <v>0</v>
      </c>
      <c r="N1057" s="101">
        <f>IF(COUNT(L1058:N1060)=0,"",SUM(N1058:N1060))</f>
        <v>0</v>
      </c>
      <c r="O1057" s="101">
        <f>IF(COUNT(O1058:O1060)=0,"",SUM(O1058:O1060))</f>
        <v>0</v>
      </c>
      <c r="P1057" s="103"/>
      <c r="Q1057" s="101">
        <f>IF(COUNT(Q1058:Q1060)=0,"",SUM(Q1058:Q1060))</f>
        <v>0</v>
      </c>
      <c r="R1057" s="104"/>
      <c r="S1057" s="104"/>
      <c r="T1057" s="98" t="s">
        <v>65</v>
      </c>
      <c r="U1057" s="179"/>
      <c r="V1057" s="179"/>
      <c r="W1057" s="179"/>
      <c r="X1057" s="105"/>
      <c r="Y1057" s="105"/>
      <c r="Z1057" s="105"/>
      <c r="AA1057" s="105"/>
      <c r="AB1057" s="105"/>
      <c r="AC1057" s="105"/>
    </row>
    <row r="1058" ht="33.75" customHeight="1">
      <c r="A1058" s="106" t="s">
        <v>1805</v>
      </c>
      <c r="B1058" s="107" t="s">
        <v>1728</v>
      </c>
      <c r="C1058" s="107" t="s">
        <v>1793</v>
      </c>
      <c r="D1058" s="107" t="s">
        <v>1802</v>
      </c>
      <c r="E1058" s="107" t="s">
        <v>1803</v>
      </c>
      <c r="F1058" s="106" t="s">
        <v>1804</v>
      </c>
      <c r="G1058" s="106" t="s">
        <v>534</v>
      </c>
      <c r="H1058" s="106" t="s">
        <v>534</v>
      </c>
      <c r="I1058" s="106"/>
      <c r="J1058" s="106" t="s">
        <v>14</v>
      </c>
      <c r="K1058" s="108" t="s">
        <v>14</v>
      </c>
      <c r="L1058" s="109"/>
      <c r="M1058" s="109">
        <f t="shared" si="650"/>
        <v>0</v>
      </c>
      <c r="N1058" s="109"/>
      <c r="O1058" s="109">
        <f t="shared" ref="O1058:O1060" si="675">IF(COUNT(L1058:N1058)=0,"",(L1058+4*M1058+N1058)/6)</f>
        <v>0</v>
      </c>
      <c r="P1058" s="110"/>
      <c r="Q1058" s="109">
        <f t="shared" ref="Q1058:Q1060" si="676">IF(O1058="","",IF(P1058="",O1058,O1058*(1+P1058)))</f>
        <v>0</v>
      </c>
      <c r="R1058" s="111"/>
      <c r="S1058" s="111"/>
      <c r="T1058" s="106" t="s">
        <v>31</v>
      </c>
      <c r="U1058" s="26"/>
      <c r="V1058" s="26"/>
      <c r="W1058" s="26"/>
      <c r="X1058" s="26"/>
      <c r="Y1058" s="26"/>
      <c r="Z1058" s="26"/>
      <c r="AA1058" s="26"/>
      <c r="AB1058" s="26"/>
      <c r="AC1058" s="26"/>
    </row>
    <row r="1059" ht="33.75" customHeight="1">
      <c r="A1059" s="106" t="s">
        <v>1806</v>
      </c>
      <c r="B1059" s="107" t="s">
        <v>1728</v>
      </c>
      <c r="C1059" s="107" t="s">
        <v>1793</v>
      </c>
      <c r="D1059" s="107" t="s">
        <v>1802</v>
      </c>
      <c r="E1059" s="107" t="s">
        <v>1803</v>
      </c>
      <c r="F1059" s="106" t="s">
        <v>1804</v>
      </c>
      <c r="G1059" s="106" t="s">
        <v>534</v>
      </c>
      <c r="H1059" s="106" t="s">
        <v>534</v>
      </c>
      <c r="I1059" s="106"/>
      <c r="J1059" s="106" t="s">
        <v>14</v>
      </c>
      <c r="K1059" s="108" t="s">
        <v>14</v>
      </c>
      <c r="L1059" s="109"/>
      <c r="M1059" s="109">
        <f t="shared" si="650"/>
        <v>0</v>
      </c>
      <c r="N1059" s="109"/>
      <c r="O1059" s="109">
        <f t="shared" si="675"/>
        <v>0</v>
      </c>
      <c r="P1059" s="110"/>
      <c r="Q1059" s="109">
        <f t="shared" si="676"/>
        <v>0</v>
      </c>
      <c r="R1059" s="111"/>
      <c r="S1059" s="111"/>
      <c r="T1059" s="106" t="s">
        <v>32</v>
      </c>
      <c r="U1059" s="26"/>
      <c r="V1059" s="26"/>
      <c r="W1059" s="26"/>
      <c r="X1059" s="26"/>
      <c r="Y1059" s="26"/>
      <c r="Z1059" s="26"/>
      <c r="AA1059" s="26"/>
      <c r="AB1059" s="26"/>
      <c r="AC1059" s="26"/>
    </row>
    <row r="1060" ht="33.75" customHeight="1">
      <c r="A1060" s="106" t="s">
        <v>1807</v>
      </c>
      <c r="B1060" s="107" t="s">
        <v>1728</v>
      </c>
      <c r="C1060" s="107" t="s">
        <v>1793</v>
      </c>
      <c r="D1060" s="107" t="s">
        <v>1802</v>
      </c>
      <c r="E1060" s="107" t="s">
        <v>1803</v>
      </c>
      <c r="F1060" s="106" t="s">
        <v>1804</v>
      </c>
      <c r="G1060" s="106" t="s">
        <v>534</v>
      </c>
      <c r="H1060" s="106" t="s">
        <v>534</v>
      </c>
      <c r="I1060" s="106"/>
      <c r="J1060" s="106" t="s">
        <v>14</v>
      </c>
      <c r="K1060" s="108" t="s">
        <v>14</v>
      </c>
      <c r="L1060" s="109"/>
      <c r="M1060" s="109">
        <f t="shared" si="650"/>
        <v>0</v>
      </c>
      <c r="N1060" s="109"/>
      <c r="O1060" s="109">
        <f t="shared" si="675"/>
        <v>0</v>
      </c>
      <c r="P1060" s="110"/>
      <c r="Q1060" s="109">
        <f t="shared" si="676"/>
        <v>0</v>
      </c>
      <c r="R1060" s="111"/>
      <c r="S1060" s="111"/>
      <c r="T1060" s="106" t="s">
        <v>70</v>
      </c>
      <c r="U1060" s="26"/>
      <c r="V1060" s="26"/>
      <c r="W1060" s="26"/>
      <c r="X1060" s="26"/>
      <c r="Y1060" s="26"/>
      <c r="Z1060" s="26"/>
      <c r="AA1060" s="26"/>
      <c r="AB1060" s="26"/>
      <c r="AC1060" s="26"/>
    </row>
    <row r="1061" ht="33.75" customHeight="1">
      <c r="A1061" s="98" t="s">
        <v>1808</v>
      </c>
      <c r="B1061" s="99" t="s">
        <v>1728</v>
      </c>
      <c r="C1061" s="99" t="s">
        <v>1793</v>
      </c>
      <c r="D1061" s="99" t="s">
        <v>1809</v>
      </c>
      <c r="E1061" s="99" t="s">
        <v>1810</v>
      </c>
      <c r="F1061" s="98" t="s">
        <v>1768</v>
      </c>
      <c r="G1061" s="98" t="s">
        <v>200</v>
      </c>
      <c r="H1061" s="98" t="s">
        <v>200</v>
      </c>
      <c r="I1061" s="98"/>
      <c r="J1061" s="98" t="s">
        <v>14</v>
      </c>
      <c r="K1061" s="100" t="s">
        <v>14</v>
      </c>
      <c r="L1061" s="101">
        <f>IF(COUNT(L1062:N1064)=0,"",SUM(L1062:L1064))</f>
        <v>0</v>
      </c>
      <c r="M1061" s="102">
        <f t="shared" si="650"/>
        <v>0</v>
      </c>
      <c r="N1061" s="101">
        <f>IF(COUNT(L1062:N1064)=0,"",SUM(N1062:N1064))</f>
        <v>0</v>
      </c>
      <c r="O1061" s="101">
        <f>IF(COUNT(O1062:O1064)=0,"",SUM(O1062:O1064))</f>
        <v>0</v>
      </c>
      <c r="P1061" s="103"/>
      <c r="Q1061" s="101">
        <f>IF(COUNT(Q1062:Q1064)=0,"",SUM(Q1062:Q1064))</f>
        <v>0</v>
      </c>
      <c r="R1061" s="104"/>
      <c r="S1061" s="104"/>
      <c r="T1061" s="98" t="s">
        <v>65</v>
      </c>
      <c r="U1061" s="179"/>
      <c r="V1061" s="179"/>
      <c r="W1061" s="179"/>
      <c r="X1061" s="105"/>
      <c r="Y1061" s="105"/>
      <c r="Z1061" s="105"/>
      <c r="AA1061" s="105"/>
      <c r="AB1061" s="105"/>
      <c r="AC1061" s="105"/>
    </row>
    <row r="1062" ht="33.75" customHeight="1">
      <c r="A1062" s="106" t="s">
        <v>1811</v>
      </c>
      <c r="B1062" s="107" t="s">
        <v>1728</v>
      </c>
      <c r="C1062" s="107" t="s">
        <v>1793</v>
      </c>
      <c r="D1062" s="107" t="s">
        <v>1809</v>
      </c>
      <c r="E1062" s="107" t="s">
        <v>1810</v>
      </c>
      <c r="F1062" s="106" t="s">
        <v>1768</v>
      </c>
      <c r="G1062" s="106" t="s">
        <v>200</v>
      </c>
      <c r="H1062" s="106" t="s">
        <v>200</v>
      </c>
      <c r="I1062" s="106"/>
      <c r="J1062" s="106" t="s">
        <v>14</v>
      </c>
      <c r="K1062" s="108" t="s">
        <v>14</v>
      </c>
      <c r="L1062" s="109"/>
      <c r="M1062" s="109">
        <f t="shared" si="650"/>
        <v>0</v>
      </c>
      <c r="N1062" s="109"/>
      <c r="O1062" s="109">
        <f t="shared" ref="O1062:O1064" si="677">IF(COUNT(L1062:N1062)=0,"",(L1062+4*M1062+N1062)/6)</f>
        <v>0</v>
      </c>
      <c r="P1062" s="110"/>
      <c r="Q1062" s="109">
        <f t="shared" ref="Q1062:Q1064" si="678">IF(O1062="","",IF(P1062="",O1062,O1062*(1+P1062)))</f>
        <v>0</v>
      </c>
      <c r="R1062" s="111"/>
      <c r="S1062" s="111"/>
      <c r="T1062" s="106" t="s">
        <v>31</v>
      </c>
      <c r="U1062" s="26"/>
      <c r="V1062" s="26"/>
      <c r="W1062" s="26"/>
      <c r="X1062" s="26"/>
      <c r="Y1062" s="26"/>
      <c r="Z1062" s="26"/>
      <c r="AA1062" s="26"/>
      <c r="AB1062" s="26"/>
      <c r="AC1062" s="26"/>
    </row>
    <row r="1063" ht="33.75" customHeight="1">
      <c r="A1063" s="106" t="s">
        <v>1812</v>
      </c>
      <c r="B1063" s="107" t="s">
        <v>1728</v>
      </c>
      <c r="C1063" s="107" t="s">
        <v>1793</v>
      </c>
      <c r="D1063" s="107" t="s">
        <v>1809</v>
      </c>
      <c r="E1063" s="107" t="s">
        <v>1810</v>
      </c>
      <c r="F1063" s="106" t="s">
        <v>1768</v>
      </c>
      <c r="G1063" s="106" t="s">
        <v>200</v>
      </c>
      <c r="H1063" s="106" t="s">
        <v>200</v>
      </c>
      <c r="I1063" s="106"/>
      <c r="J1063" s="106" t="s">
        <v>14</v>
      </c>
      <c r="K1063" s="108" t="s">
        <v>14</v>
      </c>
      <c r="L1063" s="109"/>
      <c r="M1063" s="109">
        <f t="shared" si="650"/>
        <v>0</v>
      </c>
      <c r="N1063" s="109"/>
      <c r="O1063" s="109">
        <f t="shared" si="677"/>
        <v>0</v>
      </c>
      <c r="P1063" s="110"/>
      <c r="Q1063" s="109">
        <f t="shared" si="678"/>
        <v>0</v>
      </c>
      <c r="R1063" s="111"/>
      <c r="S1063" s="111"/>
      <c r="T1063" s="106" t="s">
        <v>32</v>
      </c>
      <c r="U1063" s="26"/>
      <c r="V1063" s="26"/>
      <c r="W1063" s="26"/>
      <c r="X1063" s="26"/>
      <c r="Y1063" s="26"/>
      <c r="Z1063" s="26"/>
      <c r="AA1063" s="26"/>
      <c r="AB1063" s="26"/>
      <c r="AC1063" s="26"/>
    </row>
    <row r="1064" ht="33.75" customHeight="1">
      <c r="A1064" s="106" t="s">
        <v>1813</v>
      </c>
      <c r="B1064" s="107" t="s">
        <v>1728</v>
      </c>
      <c r="C1064" s="107" t="s">
        <v>1793</v>
      </c>
      <c r="D1064" s="107" t="s">
        <v>1809</v>
      </c>
      <c r="E1064" s="107" t="s">
        <v>1810</v>
      </c>
      <c r="F1064" s="106" t="s">
        <v>1768</v>
      </c>
      <c r="G1064" s="106" t="s">
        <v>200</v>
      </c>
      <c r="H1064" s="106" t="s">
        <v>200</v>
      </c>
      <c r="I1064" s="106"/>
      <c r="J1064" s="106" t="s">
        <v>14</v>
      </c>
      <c r="K1064" s="108" t="s">
        <v>14</v>
      </c>
      <c r="L1064" s="109"/>
      <c r="M1064" s="109">
        <f t="shared" si="650"/>
        <v>0</v>
      </c>
      <c r="N1064" s="109"/>
      <c r="O1064" s="109">
        <f t="shared" si="677"/>
        <v>0</v>
      </c>
      <c r="P1064" s="110"/>
      <c r="Q1064" s="109">
        <f t="shared" si="678"/>
        <v>0</v>
      </c>
      <c r="R1064" s="111"/>
      <c r="S1064" s="111"/>
      <c r="T1064" s="106" t="s">
        <v>70</v>
      </c>
      <c r="U1064" s="26"/>
      <c r="V1064" s="26"/>
      <c r="W1064" s="26"/>
      <c r="X1064" s="26"/>
      <c r="Y1064" s="26"/>
      <c r="Z1064" s="26"/>
      <c r="AA1064" s="26"/>
      <c r="AB1064" s="26"/>
      <c r="AC1064" s="26"/>
    </row>
    <row r="1065" ht="33.75" customHeight="1">
      <c r="A1065" s="186" t="s">
        <v>1814</v>
      </c>
      <c r="B1065" s="227" t="s">
        <v>1728</v>
      </c>
      <c r="C1065" s="227" t="s">
        <v>1815</v>
      </c>
      <c r="D1065" s="227" t="s">
        <v>1815</v>
      </c>
      <c r="E1065" s="227" t="s">
        <v>1816</v>
      </c>
      <c r="F1065" s="186"/>
      <c r="G1065" s="186"/>
      <c r="H1065" s="186"/>
      <c r="I1065" s="186"/>
      <c r="J1065" s="186"/>
      <c r="K1065" s="185"/>
      <c r="L1065" s="228">
        <f>IF(COUNT(L1066,L1070,L1074)=0,"",SUM(L1066,L1070,L1074))</f>
        <v>0</v>
      </c>
      <c r="M1065" s="228">
        <f t="shared" si="650"/>
        <v>0</v>
      </c>
      <c r="N1065" s="228">
        <f t="shared" ref="N1065:O1065" si="679">IF(COUNT(N1066,N1070,N1074)=0,"",SUM(N1066,N1070,N1074))</f>
        <v>0</v>
      </c>
      <c r="O1065" s="228">
        <f t="shared" si="679"/>
        <v>0</v>
      </c>
      <c r="P1065" s="229"/>
      <c r="Q1065" s="228">
        <f>IF(COUNT(Q1066,Q1070,Q1074)=0,"",SUM(Q1066,Q1070,Q1074))</f>
        <v>0</v>
      </c>
      <c r="R1065" s="198"/>
      <c r="S1065" s="198"/>
      <c r="T1065" s="186" t="s">
        <v>62</v>
      </c>
      <c r="U1065" s="26"/>
      <c r="V1065" s="26"/>
      <c r="W1065" s="26"/>
      <c r="X1065" s="46">
        <f t="shared" ref="X1065:AA1065" si="680">L1065</f>
        <v>0</v>
      </c>
      <c r="Y1065" s="46">
        <f t="shared" si="680"/>
        <v>0</v>
      </c>
      <c r="Z1065" s="46">
        <f t="shared" si="680"/>
        <v>0</v>
      </c>
      <c r="AA1065" s="46">
        <f t="shared" si="680"/>
        <v>0</v>
      </c>
      <c r="AB1065" s="26"/>
      <c r="AC1065" s="46">
        <f>Q1065</f>
        <v>0</v>
      </c>
    </row>
    <row r="1066" ht="33.75" customHeight="1">
      <c r="A1066" s="98" t="s">
        <v>1817</v>
      </c>
      <c r="B1066" s="99" t="s">
        <v>1728</v>
      </c>
      <c r="C1066" s="99" t="s">
        <v>1815</v>
      </c>
      <c r="D1066" s="99" t="s">
        <v>1818</v>
      </c>
      <c r="E1066" s="99" t="s">
        <v>1819</v>
      </c>
      <c r="F1066" s="98" t="s">
        <v>1780</v>
      </c>
      <c r="G1066" s="98" t="s">
        <v>168</v>
      </c>
      <c r="H1066" s="98" t="s">
        <v>168</v>
      </c>
      <c r="I1066" s="98"/>
      <c r="J1066" s="98" t="s">
        <v>14</v>
      </c>
      <c r="K1066" s="100" t="s">
        <v>14</v>
      </c>
      <c r="L1066" s="101">
        <f>IF(COUNT(L1067:N1069)=0,"",SUM(L1067:L1069))</f>
        <v>0</v>
      </c>
      <c r="M1066" s="102">
        <f t="shared" si="650"/>
        <v>0</v>
      </c>
      <c r="N1066" s="101">
        <f>IF(COUNT(L1067:N1069)=0,"",SUM(N1067:N1069))</f>
        <v>0</v>
      </c>
      <c r="O1066" s="101">
        <f>IF(COUNT(O1067:O1069)=0,"",SUM(O1067:O1069))</f>
        <v>0</v>
      </c>
      <c r="P1066" s="103"/>
      <c r="Q1066" s="101">
        <f>IF(COUNT(Q1067:Q1069)=0,"",SUM(Q1067:Q1069))</f>
        <v>0</v>
      </c>
      <c r="R1066" s="104"/>
      <c r="S1066" s="104"/>
      <c r="T1066" s="98" t="s">
        <v>65</v>
      </c>
      <c r="U1066" s="179"/>
      <c r="V1066" s="179"/>
      <c r="W1066" s="179"/>
      <c r="X1066" s="105"/>
      <c r="Y1066" s="105"/>
      <c r="Z1066" s="105"/>
      <c r="AA1066" s="105"/>
      <c r="AB1066" s="105"/>
      <c r="AC1066" s="105"/>
    </row>
    <row r="1067" ht="33.75" customHeight="1">
      <c r="A1067" s="106" t="s">
        <v>1820</v>
      </c>
      <c r="B1067" s="107" t="s">
        <v>1728</v>
      </c>
      <c r="C1067" s="107" t="s">
        <v>1815</v>
      </c>
      <c r="D1067" s="107" t="s">
        <v>1818</v>
      </c>
      <c r="E1067" s="107" t="s">
        <v>1819</v>
      </c>
      <c r="F1067" s="106" t="s">
        <v>1780</v>
      </c>
      <c r="G1067" s="106" t="s">
        <v>168</v>
      </c>
      <c r="H1067" s="106" t="s">
        <v>168</v>
      </c>
      <c r="I1067" s="106"/>
      <c r="J1067" s="106" t="s">
        <v>14</v>
      </c>
      <c r="K1067" s="108" t="s">
        <v>14</v>
      </c>
      <c r="L1067" s="109"/>
      <c r="M1067" s="109">
        <f t="shared" si="650"/>
        <v>0</v>
      </c>
      <c r="N1067" s="109"/>
      <c r="O1067" s="109">
        <f t="shared" ref="O1067:O1069" si="681">IF(COUNT(L1067:N1067)=0,"",(L1067+4*M1067+N1067)/6)</f>
        <v>0</v>
      </c>
      <c r="P1067" s="110"/>
      <c r="Q1067" s="109">
        <f t="shared" ref="Q1067:Q1069" si="682">IF(O1067="","",IF(P1067="",O1067,O1067*(1+P1067)))</f>
        <v>0</v>
      </c>
      <c r="R1067" s="111"/>
      <c r="S1067" s="111"/>
      <c r="T1067" s="106" t="s">
        <v>31</v>
      </c>
      <c r="U1067" s="26"/>
      <c r="V1067" s="26"/>
      <c r="W1067" s="26"/>
      <c r="X1067" s="26"/>
      <c r="Y1067" s="26"/>
      <c r="Z1067" s="26"/>
      <c r="AA1067" s="26"/>
      <c r="AB1067" s="26"/>
      <c r="AC1067" s="26"/>
    </row>
    <row r="1068" ht="33.75" customHeight="1">
      <c r="A1068" s="106" t="s">
        <v>1821</v>
      </c>
      <c r="B1068" s="107" t="s">
        <v>1728</v>
      </c>
      <c r="C1068" s="107" t="s">
        <v>1815</v>
      </c>
      <c r="D1068" s="107" t="s">
        <v>1818</v>
      </c>
      <c r="E1068" s="107" t="s">
        <v>1819</v>
      </c>
      <c r="F1068" s="106" t="s">
        <v>1780</v>
      </c>
      <c r="G1068" s="106" t="s">
        <v>168</v>
      </c>
      <c r="H1068" s="106" t="s">
        <v>168</v>
      </c>
      <c r="I1068" s="106"/>
      <c r="J1068" s="106" t="s">
        <v>14</v>
      </c>
      <c r="K1068" s="108" t="s">
        <v>14</v>
      </c>
      <c r="L1068" s="109"/>
      <c r="M1068" s="109">
        <f t="shared" si="650"/>
        <v>0</v>
      </c>
      <c r="N1068" s="109"/>
      <c r="O1068" s="109">
        <f t="shared" si="681"/>
        <v>0</v>
      </c>
      <c r="P1068" s="110"/>
      <c r="Q1068" s="109">
        <f t="shared" si="682"/>
        <v>0</v>
      </c>
      <c r="R1068" s="111"/>
      <c r="S1068" s="111"/>
      <c r="T1068" s="106" t="s">
        <v>32</v>
      </c>
      <c r="U1068" s="26"/>
      <c r="V1068" s="26"/>
      <c r="W1068" s="26"/>
      <c r="X1068" s="26"/>
      <c r="Y1068" s="26"/>
      <c r="Z1068" s="26"/>
      <c r="AA1068" s="26"/>
      <c r="AB1068" s="26"/>
      <c r="AC1068" s="26"/>
    </row>
    <row r="1069" ht="33.75" customHeight="1">
      <c r="A1069" s="106" t="s">
        <v>1822</v>
      </c>
      <c r="B1069" s="107" t="s">
        <v>1728</v>
      </c>
      <c r="C1069" s="107" t="s">
        <v>1815</v>
      </c>
      <c r="D1069" s="107" t="s">
        <v>1818</v>
      </c>
      <c r="E1069" s="107" t="s">
        <v>1819</v>
      </c>
      <c r="F1069" s="106" t="s">
        <v>1780</v>
      </c>
      <c r="G1069" s="106" t="s">
        <v>168</v>
      </c>
      <c r="H1069" s="106" t="s">
        <v>168</v>
      </c>
      <c r="I1069" s="106"/>
      <c r="J1069" s="106" t="s">
        <v>14</v>
      </c>
      <c r="K1069" s="108" t="s">
        <v>14</v>
      </c>
      <c r="L1069" s="109"/>
      <c r="M1069" s="109">
        <f t="shared" si="650"/>
        <v>0</v>
      </c>
      <c r="N1069" s="109"/>
      <c r="O1069" s="109">
        <f t="shared" si="681"/>
        <v>0</v>
      </c>
      <c r="P1069" s="110"/>
      <c r="Q1069" s="109">
        <f t="shared" si="682"/>
        <v>0</v>
      </c>
      <c r="R1069" s="111"/>
      <c r="S1069" s="111"/>
      <c r="T1069" s="106" t="s">
        <v>70</v>
      </c>
      <c r="U1069" s="26"/>
      <c r="V1069" s="26"/>
      <c r="W1069" s="26"/>
      <c r="X1069" s="26"/>
      <c r="Y1069" s="26"/>
      <c r="Z1069" s="26"/>
      <c r="AA1069" s="26"/>
      <c r="AB1069" s="26"/>
      <c r="AC1069" s="26"/>
    </row>
    <row r="1070" ht="33.75" customHeight="1">
      <c r="A1070" s="98" t="s">
        <v>1823</v>
      </c>
      <c r="B1070" s="99" t="s">
        <v>1728</v>
      </c>
      <c r="C1070" s="99" t="s">
        <v>1815</v>
      </c>
      <c r="D1070" s="99" t="s">
        <v>1824</v>
      </c>
      <c r="E1070" s="99" t="s">
        <v>1825</v>
      </c>
      <c r="F1070" s="98" t="s">
        <v>1780</v>
      </c>
      <c r="G1070" s="98" t="s">
        <v>200</v>
      </c>
      <c r="H1070" s="98" t="s">
        <v>200</v>
      </c>
      <c r="I1070" s="98"/>
      <c r="J1070" s="98" t="s">
        <v>14</v>
      </c>
      <c r="K1070" s="100" t="s">
        <v>14</v>
      </c>
      <c r="L1070" s="101">
        <f>IF(COUNT(L1071:N1073)=0,"",SUM(L1071:L1073))</f>
        <v>0</v>
      </c>
      <c r="M1070" s="102">
        <f t="shared" si="650"/>
        <v>0</v>
      </c>
      <c r="N1070" s="101">
        <f>IF(COUNT(L1071:N1073)=0,"",SUM(N1071:N1073))</f>
        <v>0</v>
      </c>
      <c r="O1070" s="101">
        <f>IF(COUNT(O1071:O1073)=0,"",SUM(O1071:O1073))</f>
        <v>0</v>
      </c>
      <c r="P1070" s="103"/>
      <c r="Q1070" s="101">
        <f>IF(COUNT(Q1071:Q1073)=0,"",SUM(Q1071:Q1073))</f>
        <v>0</v>
      </c>
      <c r="R1070" s="104"/>
      <c r="S1070" s="104"/>
      <c r="T1070" s="98" t="s">
        <v>65</v>
      </c>
      <c r="U1070" s="179"/>
      <c r="V1070" s="179"/>
      <c r="W1070" s="179"/>
      <c r="X1070" s="105"/>
      <c r="Y1070" s="105"/>
      <c r="Z1070" s="105"/>
      <c r="AA1070" s="105"/>
      <c r="AB1070" s="105"/>
      <c r="AC1070" s="105"/>
    </row>
    <row r="1071" ht="33.75" customHeight="1">
      <c r="A1071" s="106" t="s">
        <v>1826</v>
      </c>
      <c r="B1071" s="107" t="s">
        <v>1728</v>
      </c>
      <c r="C1071" s="107" t="s">
        <v>1815</v>
      </c>
      <c r="D1071" s="107" t="s">
        <v>1824</v>
      </c>
      <c r="E1071" s="107" t="s">
        <v>1825</v>
      </c>
      <c r="F1071" s="106" t="s">
        <v>1780</v>
      </c>
      <c r="G1071" s="106" t="s">
        <v>200</v>
      </c>
      <c r="H1071" s="106" t="s">
        <v>200</v>
      </c>
      <c r="I1071" s="106"/>
      <c r="J1071" s="106" t="s">
        <v>14</v>
      </c>
      <c r="K1071" s="108" t="s">
        <v>14</v>
      </c>
      <c r="L1071" s="109"/>
      <c r="M1071" s="109">
        <f t="shared" si="650"/>
        <v>0</v>
      </c>
      <c r="N1071" s="109"/>
      <c r="O1071" s="109">
        <f t="shared" ref="O1071:O1073" si="683">IF(COUNT(L1071:N1071)=0,"",(L1071+4*M1071+N1071)/6)</f>
        <v>0</v>
      </c>
      <c r="P1071" s="110"/>
      <c r="Q1071" s="109">
        <f t="shared" ref="Q1071:Q1073" si="684">IF(O1071="","",IF(P1071="",O1071,O1071*(1+P1071)))</f>
        <v>0</v>
      </c>
      <c r="R1071" s="111"/>
      <c r="S1071" s="111"/>
      <c r="T1071" s="106" t="s">
        <v>31</v>
      </c>
      <c r="U1071" s="26"/>
      <c r="V1071" s="26"/>
      <c r="W1071" s="26"/>
      <c r="X1071" s="26"/>
      <c r="Y1071" s="26"/>
      <c r="Z1071" s="26"/>
      <c r="AA1071" s="26"/>
      <c r="AB1071" s="26"/>
      <c r="AC1071" s="26"/>
    </row>
    <row r="1072" ht="33.75" customHeight="1">
      <c r="A1072" s="106" t="s">
        <v>1827</v>
      </c>
      <c r="B1072" s="107" t="s">
        <v>1728</v>
      </c>
      <c r="C1072" s="107" t="s">
        <v>1815</v>
      </c>
      <c r="D1072" s="107" t="s">
        <v>1824</v>
      </c>
      <c r="E1072" s="107" t="s">
        <v>1825</v>
      </c>
      <c r="F1072" s="106" t="s">
        <v>1780</v>
      </c>
      <c r="G1072" s="106" t="s">
        <v>200</v>
      </c>
      <c r="H1072" s="106" t="s">
        <v>200</v>
      </c>
      <c r="I1072" s="106"/>
      <c r="J1072" s="106" t="s">
        <v>14</v>
      </c>
      <c r="K1072" s="108" t="s">
        <v>14</v>
      </c>
      <c r="L1072" s="109"/>
      <c r="M1072" s="109">
        <f t="shared" si="650"/>
        <v>0</v>
      </c>
      <c r="N1072" s="109"/>
      <c r="O1072" s="109">
        <f t="shared" si="683"/>
        <v>0</v>
      </c>
      <c r="P1072" s="110"/>
      <c r="Q1072" s="109">
        <f t="shared" si="684"/>
        <v>0</v>
      </c>
      <c r="R1072" s="111"/>
      <c r="S1072" s="111"/>
      <c r="T1072" s="106" t="s">
        <v>32</v>
      </c>
      <c r="U1072" s="26"/>
      <c r="V1072" s="26"/>
      <c r="W1072" s="26"/>
      <c r="X1072" s="26"/>
      <c r="Y1072" s="26"/>
      <c r="Z1072" s="26"/>
      <c r="AA1072" s="26"/>
      <c r="AB1072" s="26"/>
      <c r="AC1072" s="26"/>
    </row>
    <row r="1073" ht="33.75" customHeight="1">
      <c r="A1073" s="106" t="s">
        <v>1828</v>
      </c>
      <c r="B1073" s="107" t="s">
        <v>1728</v>
      </c>
      <c r="C1073" s="107" t="s">
        <v>1815</v>
      </c>
      <c r="D1073" s="107" t="s">
        <v>1824</v>
      </c>
      <c r="E1073" s="107" t="s">
        <v>1825</v>
      </c>
      <c r="F1073" s="106" t="s">
        <v>1780</v>
      </c>
      <c r="G1073" s="106" t="s">
        <v>200</v>
      </c>
      <c r="H1073" s="106" t="s">
        <v>200</v>
      </c>
      <c r="I1073" s="106"/>
      <c r="J1073" s="106" t="s">
        <v>14</v>
      </c>
      <c r="K1073" s="108" t="s">
        <v>14</v>
      </c>
      <c r="L1073" s="109"/>
      <c r="M1073" s="109">
        <f t="shared" si="650"/>
        <v>0</v>
      </c>
      <c r="N1073" s="109"/>
      <c r="O1073" s="109">
        <f t="shared" si="683"/>
        <v>0</v>
      </c>
      <c r="P1073" s="110"/>
      <c r="Q1073" s="109">
        <f t="shared" si="684"/>
        <v>0</v>
      </c>
      <c r="R1073" s="111"/>
      <c r="S1073" s="111"/>
      <c r="T1073" s="106" t="s">
        <v>70</v>
      </c>
      <c r="U1073" s="26"/>
      <c r="V1073" s="26"/>
      <c r="W1073" s="26"/>
      <c r="X1073" s="26"/>
      <c r="Y1073" s="26"/>
      <c r="Z1073" s="26"/>
      <c r="AA1073" s="26"/>
      <c r="AB1073" s="26"/>
      <c r="AC1073" s="26"/>
    </row>
    <row r="1074" ht="33.75" customHeight="1">
      <c r="A1074" s="98" t="s">
        <v>1829</v>
      </c>
      <c r="B1074" s="99" t="s">
        <v>1728</v>
      </c>
      <c r="C1074" s="99" t="s">
        <v>1815</v>
      </c>
      <c r="D1074" s="99" t="s">
        <v>1830</v>
      </c>
      <c r="E1074" s="99" t="s">
        <v>1831</v>
      </c>
      <c r="F1074" s="98" t="s">
        <v>1768</v>
      </c>
      <c r="G1074" s="98" t="s">
        <v>168</v>
      </c>
      <c r="H1074" s="98" t="s">
        <v>168</v>
      </c>
      <c r="I1074" s="98"/>
      <c r="J1074" s="98" t="s">
        <v>14</v>
      </c>
      <c r="K1074" s="100" t="s">
        <v>14</v>
      </c>
      <c r="L1074" s="101">
        <f>IF(COUNT(L1075:N1077)=0,"",SUM(L1075:L1077))</f>
        <v>0</v>
      </c>
      <c r="M1074" s="102">
        <f t="shared" si="650"/>
        <v>0</v>
      </c>
      <c r="N1074" s="101">
        <f>IF(COUNT(L1075:N1077)=0,"",SUM(N1075:N1077))</f>
        <v>0</v>
      </c>
      <c r="O1074" s="101">
        <f>IF(COUNT(O1075:O1077)=0,"",SUM(O1075:O1077))</f>
        <v>0</v>
      </c>
      <c r="P1074" s="103"/>
      <c r="Q1074" s="101">
        <f>IF(COUNT(Q1075:Q1077)=0,"",SUM(Q1075:Q1077))</f>
        <v>0</v>
      </c>
      <c r="R1074" s="104"/>
      <c r="S1074" s="104"/>
      <c r="T1074" s="98" t="s">
        <v>65</v>
      </c>
      <c r="U1074" s="179"/>
      <c r="V1074" s="179"/>
      <c r="W1074" s="179"/>
      <c r="X1074" s="105"/>
      <c r="Y1074" s="105"/>
      <c r="Z1074" s="105"/>
      <c r="AA1074" s="105"/>
      <c r="AB1074" s="105"/>
      <c r="AC1074" s="105"/>
    </row>
    <row r="1075" ht="33.75" customHeight="1">
      <c r="A1075" s="106" t="s">
        <v>1832</v>
      </c>
      <c r="B1075" s="107" t="s">
        <v>1728</v>
      </c>
      <c r="C1075" s="107" t="s">
        <v>1815</v>
      </c>
      <c r="D1075" s="107" t="s">
        <v>1830</v>
      </c>
      <c r="E1075" s="107" t="s">
        <v>1831</v>
      </c>
      <c r="F1075" s="106" t="s">
        <v>1768</v>
      </c>
      <c r="G1075" s="106" t="s">
        <v>168</v>
      </c>
      <c r="H1075" s="106" t="s">
        <v>168</v>
      </c>
      <c r="I1075" s="106"/>
      <c r="J1075" s="106" t="s">
        <v>14</v>
      </c>
      <c r="K1075" s="108" t="s">
        <v>14</v>
      </c>
      <c r="L1075" s="109"/>
      <c r="M1075" s="109">
        <f t="shared" si="650"/>
        <v>0</v>
      </c>
      <c r="N1075" s="109"/>
      <c r="O1075" s="109">
        <f t="shared" ref="O1075:O1077" si="685">IF(COUNT(L1075:N1075)=0,"",(L1075+4*M1075+N1075)/6)</f>
        <v>0</v>
      </c>
      <c r="P1075" s="110"/>
      <c r="Q1075" s="109">
        <f t="shared" ref="Q1075:Q1077" si="686">IF(O1075="","",IF(P1075="",O1075,O1075*(1+P1075)))</f>
        <v>0</v>
      </c>
      <c r="R1075" s="111"/>
      <c r="S1075" s="111"/>
      <c r="T1075" s="106" t="s">
        <v>31</v>
      </c>
      <c r="U1075" s="26"/>
      <c r="V1075" s="26"/>
      <c r="W1075" s="26"/>
      <c r="X1075" s="26"/>
      <c r="Y1075" s="26"/>
      <c r="Z1075" s="26"/>
      <c r="AA1075" s="26"/>
      <c r="AB1075" s="26"/>
      <c r="AC1075" s="26"/>
    </row>
    <row r="1076" ht="33.75" customHeight="1">
      <c r="A1076" s="106" t="s">
        <v>1833</v>
      </c>
      <c r="B1076" s="107" t="s">
        <v>1728</v>
      </c>
      <c r="C1076" s="107" t="s">
        <v>1815</v>
      </c>
      <c r="D1076" s="107" t="s">
        <v>1830</v>
      </c>
      <c r="E1076" s="107" t="s">
        <v>1831</v>
      </c>
      <c r="F1076" s="106" t="s">
        <v>1768</v>
      </c>
      <c r="G1076" s="106" t="s">
        <v>168</v>
      </c>
      <c r="H1076" s="106" t="s">
        <v>168</v>
      </c>
      <c r="I1076" s="106"/>
      <c r="J1076" s="106" t="s">
        <v>14</v>
      </c>
      <c r="K1076" s="108" t="s">
        <v>14</v>
      </c>
      <c r="L1076" s="109"/>
      <c r="M1076" s="109">
        <f t="shared" si="650"/>
        <v>0</v>
      </c>
      <c r="N1076" s="109"/>
      <c r="O1076" s="109">
        <f t="shared" si="685"/>
        <v>0</v>
      </c>
      <c r="P1076" s="110"/>
      <c r="Q1076" s="109">
        <f t="shared" si="686"/>
        <v>0</v>
      </c>
      <c r="R1076" s="111"/>
      <c r="S1076" s="111"/>
      <c r="T1076" s="106" t="s">
        <v>32</v>
      </c>
      <c r="U1076" s="26"/>
      <c r="V1076" s="26"/>
      <c r="W1076" s="26"/>
      <c r="X1076" s="26"/>
      <c r="Y1076" s="26"/>
      <c r="Z1076" s="26"/>
      <c r="AA1076" s="26"/>
      <c r="AB1076" s="26"/>
      <c r="AC1076" s="26"/>
    </row>
    <row r="1077" ht="33.75" customHeight="1">
      <c r="A1077" s="106" t="s">
        <v>1834</v>
      </c>
      <c r="B1077" s="107" t="s">
        <v>1728</v>
      </c>
      <c r="C1077" s="107" t="s">
        <v>1815</v>
      </c>
      <c r="D1077" s="107" t="s">
        <v>1830</v>
      </c>
      <c r="E1077" s="107" t="s">
        <v>1831</v>
      </c>
      <c r="F1077" s="106" t="s">
        <v>1768</v>
      </c>
      <c r="G1077" s="106" t="s">
        <v>168</v>
      </c>
      <c r="H1077" s="106" t="s">
        <v>168</v>
      </c>
      <c r="I1077" s="106"/>
      <c r="J1077" s="106" t="s">
        <v>14</v>
      </c>
      <c r="K1077" s="108" t="s">
        <v>14</v>
      </c>
      <c r="L1077" s="109"/>
      <c r="M1077" s="109">
        <f t="shared" si="650"/>
        <v>0</v>
      </c>
      <c r="N1077" s="109"/>
      <c r="O1077" s="109">
        <f t="shared" si="685"/>
        <v>0</v>
      </c>
      <c r="P1077" s="110"/>
      <c r="Q1077" s="109">
        <f t="shared" si="686"/>
        <v>0</v>
      </c>
      <c r="R1077" s="111"/>
      <c r="S1077" s="111"/>
      <c r="T1077" s="106" t="s">
        <v>70</v>
      </c>
      <c r="U1077" s="26"/>
      <c r="V1077" s="26"/>
      <c r="W1077" s="26"/>
      <c r="X1077" s="26"/>
      <c r="Y1077" s="26"/>
      <c r="Z1077" s="26"/>
      <c r="AA1077" s="26"/>
      <c r="AB1077" s="26"/>
      <c r="AC1077" s="26"/>
    </row>
    <row r="1078" ht="33.75" customHeight="1">
      <c r="A1078" s="45" t="s">
        <v>1835</v>
      </c>
      <c r="B1078" s="212" t="s">
        <v>1728</v>
      </c>
      <c r="C1078" s="212" t="s">
        <v>1836</v>
      </c>
      <c r="D1078" s="212" t="s">
        <v>1836</v>
      </c>
      <c r="E1078" s="212" t="s">
        <v>1837</v>
      </c>
      <c r="F1078" s="45"/>
      <c r="G1078" s="45"/>
      <c r="H1078" s="45"/>
      <c r="I1078" s="45"/>
      <c r="J1078" s="45"/>
      <c r="K1078" s="123"/>
      <c r="L1078" s="213">
        <f>IF(COUNT(L1079,L1083)=0,"",SUM(L1079,L1083))</f>
        <v>2.75</v>
      </c>
      <c r="M1078" s="213">
        <f t="shared" si="650"/>
        <v>6.125</v>
      </c>
      <c r="N1078" s="213">
        <f t="shared" ref="N1078:O1078" si="687">IF(COUNT(N1079,N1083)=0,"",SUM(N1079,N1083))</f>
        <v>9.5</v>
      </c>
      <c r="O1078" s="213">
        <f t="shared" si="687"/>
        <v>6.125</v>
      </c>
      <c r="P1078" s="214"/>
      <c r="Q1078" s="213">
        <f>IF(COUNT(Q1079,Q1083)=0,"",SUM(Q1079,Q1083))</f>
        <v>6.85625</v>
      </c>
      <c r="R1078" s="126"/>
      <c r="S1078" s="126"/>
      <c r="T1078" s="45" t="s">
        <v>62</v>
      </c>
      <c r="U1078" s="26"/>
      <c r="V1078" s="26"/>
      <c r="W1078" s="26"/>
      <c r="X1078" s="46">
        <f t="shared" ref="X1078:AA1078" si="688">L1078</f>
        <v>2.75</v>
      </c>
      <c r="Y1078" s="46">
        <f t="shared" si="688"/>
        <v>6.125</v>
      </c>
      <c r="Z1078" s="46">
        <f t="shared" si="688"/>
        <v>9.5</v>
      </c>
      <c r="AA1078" s="46">
        <f t="shared" si="688"/>
        <v>6.125</v>
      </c>
      <c r="AB1078" s="26"/>
      <c r="AC1078" s="46">
        <f>Q1078</f>
        <v>6.85625</v>
      </c>
    </row>
    <row r="1079" ht="33.75" customHeight="1">
      <c r="A1079" s="54" t="s">
        <v>1838</v>
      </c>
      <c r="B1079" s="209" t="s">
        <v>1728</v>
      </c>
      <c r="C1079" s="209" t="s">
        <v>1836</v>
      </c>
      <c r="D1079" s="209" t="s">
        <v>1839</v>
      </c>
      <c r="E1079" s="209" t="s">
        <v>1840</v>
      </c>
      <c r="F1079" s="54" t="s">
        <v>583</v>
      </c>
      <c r="G1079" s="54" t="s">
        <v>154</v>
      </c>
      <c r="H1079" s="54" t="s">
        <v>154</v>
      </c>
      <c r="I1079" s="54"/>
      <c r="J1079" s="54" t="s">
        <v>9</v>
      </c>
      <c r="K1079" s="119" t="s">
        <v>9</v>
      </c>
      <c r="L1079" s="202">
        <f>IF(COUNT(L1080:N1082)=0,"",SUM(L1080:L1082))</f>
        <v>1.25</v>
      </c>
      <c r="M1079" s="174">
        <f t="shared" si="650"/>
        <v>2.875</v>
      </c>
      <c r="N1079" s="202">
        <f>IF(COUNT(L1080:N1082)=0,"",SUM(N1080:N1082))</f>
        <v>4.5</v>
      </c>
      <c r="O1079" s="202">
        <f>IF(COUNT(O1080:O1082)=0,"",SUM(O1080:O1082))</f>
        <v>2.875</v>
      </c>
      <c r="P1079" s="210"/>
      <c r="Q1079" s="202">
        <f>IF(COUNT(Q1080:Q1082)=0,"",SUM(Q1080:Q1082))</f>
        <v>3.2125</v>
      </c>
      <c r="R1079" s="163"/>
      <c r="S1079" s="163"/>
      <c r="T1079" s="54" t="s">
        <v>65</v>
      </c>
      <c r="U1079" s="179"/>
      <c r="V1079" s="179"/>
      <c r="W1079" s="179"/>
      <c r="X1079" s="105"/>
      <c r="Y1079" s="105"/>
      <c r="Z1079" s="105"/>
      <c r="AA1079" s="105"/>
      <c r="AB1079" s="105"/>
      <c r="AC1079" s="105"/>
    </row>
    <row r="1080" ht="33.75" customHeight="1">
      <c r="A1080" s="65" t="s">
        <v>1841</v>
      </c>
      <c r="B1080" s="215" t="s">
        <v>1728</v>
      </c>
      <c r="C1080" s="215" t="s">
        <v>1836</v>
      </c>
      <c r="D1080" s="215" t="s">
        <v>1839</v>
      </c>
      <c r="E1080" s="215" t="s">
        <v>1840</v>
      </c>
      <c r="F1080" s="65" t="s">
        <v>583</v>
      </c>
      <c r="G1080" s="65" t="s">
        <v>154</v>
      </c>
      <c r="H1080" s="65" t="s">
        <v>154</v>
      </c>
      <c r="I1080" s="65"/>
      <c r="J1080" s="65" t="s">
        <v>9</v>
      </c>
      <c r="K1080" s="97" t="s">
        <v>9</v>
      </c>
      <c r="L1080" s="128">
        <v>0.25</v>
      </c>
      <c r="M1080" s="180">
        <f t="shared" si="650"/>
        <v>0.625</v>
      </c>
      <c r="N1080" s="128">
        <v>1.0</v>
      </c>
      <c r="O1080" s="129">
        <f t="shared" ref="O1080:O1082" si="689">IF(COUNT(L1080:N1080)=0,"",(L1080+4*M1080+N1080)/6)</f>
        <v>0.625</v>
      </c>
      <c r="P1080" s="159">
        <v>0.05</v>
      </c>
      <c r="Q1080" s="208">
        <f t="shared" ref="Q1080:Q1082" si="690">IF(O1080="","",IF(P1080="",O1080,O1080*(1+P1080)))</f>
        <v>0.65625</v>
      </c>
      <c r="R1080" s="132">
        <v>5.0</v>
      </c>
      <c r="S1080" s="132">
        <v>1.0</v>
      </c>
      <c r="T1080" s="65" t="s">
        <v>31</v>
      </c>
      <c r="U1080" s="26"/>
      <c r="V1080" s="26"/>
      <c r="W1080" s="26"/>
      <c r="X1080" s="26"/>
      <c r="Y1080" s="26"/>
      <c r="Z1080" s="26"/>
      <c r="AA1080" s="26"/>
      <c r="AB1080" s="26"/>
      <c r="AC1080" s="26"/>
    </row>
    <row r="1081" ht="33.75" customHeight="1">
      <c r="A1081" s="65" t="s">
        <v>1842</v>
      </c>
      <c r="B1081" s="215" t="s">
        <v>1728</v>
      </c>
      <c r="C1081" s="215" t="s">
        <v>1836</v>
      </c>
      <c r="D1081" s="215" t="s">
        <v>1839</v>
      </c>
      <c r="E1081" s="215" t="s">
        <v>1840</v>
      </c>
      <c r="F1081" s="65" t="s">
        <v>583</v>
      </c>
      <c r="G1081" s="65" t="s">
        <v>154</v>
      </c>
      <c r="H1081" s="65" t="s">
        <v>154</v>
      </c>
      <c r="I1081" s="65"/>
      <c r="J1081" s="65" t="s">
        <v>9</v>
      </c>
      <c r="K1081" s="97" t="s">
        <v>9</v>
      </c>
      <c r="L1081" s="128">
        <v>0.75</v>
      </c>
      <c r="M1081" s="180">
        <f t="shared" si="650"/>
        <v>1.625</v>
      </c>
      <c r="N1081" s="128">
        <v>2.5</v>
      </c>
      <c r="O1081" s="129">
        <f t="shared" si="689"/>
        <v>1.625</v>
      </c>
      <c r="P1081" s="159">
        <v>0.15</v>
      </c>
      <c r="Q1081" s="208">
        <f t="shared" si="690"/>
        <v>1.86875</v>
      </c>
      <c r="R1081" s="132">
        <v>4.0</v>
      </c>
      <c r="S1081" s="132">
        <v>2.0</v>
      </c>
      <c r="T1081" s="65" t="s">
        <v>32</v>
      </c>
      <c r="U1081" s="26"/>
      <c r="V1081" s="26"/>
      <c r="W1081" s="26"/>
      <c r="X1081" s="26"/>
      <c r="Y1081" s="26"/>
      <c r="Z1081" s="26"/>
      <c r="AA1081" s="26"/>
      <c r="AB1081" s="26"/>
      <c r="AC1081" s="26"/>
    </row>
    <row r="1082" ht="33.75" customHeight="1">
      <c r="A1082" s="65" t="s">
        <v>1843</v>
      </c>
      <c r="B1082" s="215" t="s">
        <v>1728</v>
      </c>
      <c r="C1082" s="215" t="s">
        <v>1836</v>
      </c>
      <c r="D1082" s="215" t="s">
        <v>1839</v>
      </c>
      <c r="E1082" s="215" t="s">
        <v>1840</v>
      </c>
      <c r="F1082" s="65" t="s">
        <v>583</v>
      </c>
      <c r="G1082" s="65" t="s">
        <v>154</v>
      </c>
      <c r="H1082" s="65" t="s">
        <v>154</v>
      </c>
      <c r="I1082" s="65"/>
      <c r="J1082" s="65" t="s">
        <v>9</v>
      </c>
      <c r="K1082" s="97" t="s">
        <v>9</v>
      </c>
      <c r="L1082" s="128">
        <v>0.25</v>
      </c>
      <c r="M1082" s="180">
        <f t="shared" si="650"/>
        <v>0.625</v>
      </c>
      <c r="N1082" s="128">
        <v>1.0</v>
      </c>
      <c r="O1082" s="129">
        <f t="shared" si="689"/>
        <v>0.625</v>
      </c>
      <c r="P1082" s="159">
        <v>0.1</v>
      </c>
      <c r="Q1082" s="208">
        <f t="shared" si="690"/>
        <v>0.6875</v>
      </c>
      <c r="R1082" s="132">
        <v>4.0</v>
      </c>
      <c r="S1082" s="132">
        <v>2.0</v>
      </c>
      <c r="T1082" s="65" t="s">
        <v>70</v>
      </c>
      <c r="U1082" s="26"/>
      <c r="V1082" s="26"/>
      <c r="W1082" s="26"/>
      <c r="X1082" s="26"/>
      <c r="Y1082" s="26"/>
      <c r="Z1082" s="26"/>
      <c r="AA1082" s="26"/>
      <c r="AB1082" s="26"/>
      <c r="AC1082" s="26"/>
    </row>
    <row r="1083" ht="33.75" customHeight="1">
      <c r="A1083" s="54" t="s">
        <v>1844</v>
      </c>
      <c r="B1083" s="209" t="s">
        <v>1728</v>
      </c>
      <c r="C1083" s="209" t="s">
        <v>1836</v>
      </c>
      <c r="D1083" s="209" t="s">
        <v>1845</v>
      </c>
      <c r="E1083" s="209" t="s">
        <v>1846</v>
      </c>
      <c r="F1083" s="54" t="s">
        <v>583</v>
      </c>
      <c r="G1083" s="54" t="s">
        <v>168</v>
      </c>
      <c r="H1083" s="54" t="s">
        <v>168</v>
      </c>
      <c r="I1083" s="54"/>
      <c r="J1083" s="54" t="s">
        <v>9</v>
      </c>
      <c r="K1083" s="119" t="s">
        <v>9</v>
      </c>
      <c r="L1083" s="202">
        <f>IF(COUNT(L1084:N1086)=0,"",SUM(L1084:L1086))</f>
        <v>1.5</v>
      </c>
      <c r="M1083" s="174">
        <f t="shared" si="650"/>
        <v>3.25</v>
      </c>
      <c r="N1083" s="202">
        <f>IF(COUNT(L1084:N1086)=0,"",SUM(N1084:N1086))</f>
        <v>5</v>
      </c>
      <c r="O1083" s="202">
        <f>IF(COUNT(O1084:O1086)=0,"",SUM(O1084:O1086))</f>
        <v>3.25</v>
      </c>
      <c r="P1083" s="210"/>
      <c r="Q1083" s="202">
        <f>IF(COUNT(Q1084:Q1086)=0,"",SUM(Q1084:Q1086))</f>
        <v>3.64375</v>
      </c>
      <c r="R1083" s="163"/>
      <c r="S1083" s="163"/>
      <c r="T1083" s="54" t="s">
        <v>65</v>
      </c>
      <c r="U1083" s="179"/>
      <c r="V1083" s="179"/>
      <c r="W1083" s="179"/>
      <c r="X1083" s="105"/>
      <c r="Y1083" s="105"/>
      <c r="Z1083" s="105"/>
      <c r="AA1083" s="105"/>
      <c r="AB1083" s="105"/>
      <c r="AC1083" s="105"/>
    </row>
    <row r="1084" ht="33.75" customHeight="1">
      <c r="A1084" s="65" t="s">
        <v>1847</v>
      </c>
      <c r="B1084" s="215" t="s">
        <v>1728</v>
      </c>
      <c r="C1084" s="215" t="s">
        <v>1836</v>
      </c>
      <c r="D1084" s="215" t="s">
        <v>1845</v>
      </c>
      <c r="E1084" s="215" t="s">
        <v>1846</v>
      </c>
      <c r="F1084" s="65" t="s">
        <v>583</v>
      </c>
      <c r="G1084" s="65" t="s">
        <v>168</v>
      </c>
      <c r="H1084" s="65" t="s">
        <v>168</v>
      </c>
      <c r="I1084" s="65"/>
      <c r="J1084" s="65" t="s">
        <v>9</v>
      </c>
      <c r="K1084" s="97" t="s">
        <v>9</v>
      </c>
      <c r="L1084" s="128">
        <v>0.25</v>
      </c>
      <c r="M1084" s="180">
        <f t="shared" si="650"/>
        <v>0.625</v>
      </c>
      <c r="N1084" s="128">
        <v>1.0</v>
      </c>
      <c r="O1084" s="129">
        <f t="shared" ref="O1084:O1086" si="691">IF(COUNT(L1084:N1084)=0,"",(L1084+4*M1084+N1084)/6)</f>
        <v>0.625</v>
      </c>
      <c r="P1084" s="159">
        <v>0.05</v>
      </c>
      <c r="Q1084" s="208">
        <f t="shared" ref="Q1084:Q1086" si="692">IF(O1084="","",IF(P1084="",O1084,O1084*(1+P1084)))</f>
        <v>0.65625</v>
      </c>
      <c r="R1084" s="132">
        <v>5.0</v>
      </c>
      <c r="S1084" s="132">
        <v>1.0</v>
      </c>
      <c r="T1084" s="65" t="s">
        <v>31</v>
      </c>
      <c r="U1084" s="26"/>
      <c r="V1084" s="26"/>
      <c r="W1084" s="26"/>
      <c r="X1084" s="26"/>
      <c r="Y1084" s="26"/>
      <c r="Z1084" s="26"/>
      <c r="AA1084" s="26"/>
      <c r="AB1084" s="26"/>
      <c r="AC1084" s="26"/>
    </row>
    <row r="1085" ht="33.75" customHeight="1">
      <c r="A1085" s="65" t="s">
        <v>1848</v>
      </c>
      <c r="B1085" s="215" t="s">
        <v>1728</v>
      </c>
      <c r="C1085" s="215" t="s">
        <v>1836</v>
      </c>
      <c r="D1085" s="215" t="s">
        <v>1845</v>
      </c>
      <c r="E1085" s="215" t="s">
        <v>1846</v>
      </c>
      <c r="F1085" s="65" t="s">
        <v>583</v>
      </c>
      <c r="G1085" s="65" t="s">
        <v>168</v>
      </c>
      <c r="H1085" s="65" t="s">
        <v>168</v>
      </c>
      <c r="I1085" s="65"/>
      <c r="J1085" s="65" t="s">
        <v>9</v>
      </c>
      <c r="K1085" s="97" t="s">
        <v>9</v>
      </c>
      <c r="L1085" s="128">
        <v>1.0</v>
      </c>
      <c r="M1085" s="180">
        <f t="shared" si="650"/>
        <v>2</v>
      </c>
      <c r="N1085" s="128">
        <v>3.0</v>
      </c>
      <c r="O1085" s="129">
        <f t="shared" si="691"/>
        <v>2</v>
      </c>
      <c r="P1085" s="159">
        <v>0.15</v>
      </c>
      <c r="Q1085" s="208">
        <f t="shared" si="692"/>
        <v>2.3</v>
      </c>
      <c r="R1085" s="132">
        <v>4.0</v>
      </c>
      <c r="S1085" s="132">
        <v>2.0</v>
      </c>
      <c r="T1085" s="65" t="s">
        <v>32</v>
      </c>
      <c r="U1085" s="26"/>
      <c r="V1085" s="26"/>
      <c r="W1085" s="26"/>
      <c r="X1085" s="26"/>
      <c r="Y1085" s="26"/>
      <c r="Z1085" s="26"/>
      <c r="AA1085" s="26"/>
      <c r="AB1085" s="26"/>
      <c r="AC1085" s="26"/>
    </row>
    <row r="1086" ht="33.75" customHeight="1">
      <c r="A1086" s="65" t="s">
        <v>1849</v>
      </c>
      <c r="B1086" s="215" t="s">
        <v>1728</v>
      </c>
      <c r="C1086" s="215" t="s">
        <v>1836</v>
      </c>
      <c r="D1086" s="215" t="s">
        <v>1845</v>
      </c>
      <c r="E1086" s="215" t="s">
        <v>1846</v>
      </c>
      <c r="F1086" s="65" t="s">
        <v>583</v>
      </c>
      <c r="G1086" s="65" t="s">
        <v>168</v>
      </c>
      <c r="H1086" s="65" t="s">
        <v>168</v>
      </c>
      <c r="I1086" s="65"/>
      <c r="J1086" s="65" t="s">
        <v>9</v>
      </c>
      <c r="K1086" s="97" t="s">
        <v>9</v>
      </c>
      <c r="L1086" s="128">
        <v>0.25</v>
      </c>
      <c r="M1086" s="180">
        <f t="shared" si="650"/>
        <v>0.625</v>
      </c>
      <c r="N1086" s="128">
        <v>1.0</v>
      </c>
      <c r="O1086" s="129">
        <f t="shared" si="691"/>
        <v>0.625</v>
      </c>
      <c r="P1086" s="159">
        <v>0.1</v>
      </c>
      <c r="Q1086" s="208">
        <f t="shared" si="692"/>
        <v>0.6875</v>
      </c>
      <c r="R1086" s="132">
        <v>4.0</v>
      </c>
      <c r="S1086" s="132">
        <v>2.0</v>
      </c>
      <c r="T1086" s="65" t="s">
        <v>70</v>
      </c>
      <c r="U1086" s="26"/>
      <c r="V1086" s="26"/>
      <c r="W1086" s="26"/>
      <c r="X1086" s="26"/>
      <c r="Y1086" s="26"/>
      <c r="Z1086" s="26"/>
      <c r="AA1086" s="26"/>
      <c r="AB1086" s="26"/>
      <c r="AC1086" s="26"/>
    </row>
    <row r="1087" ht="33.75" customHeight="1">
      <c r="A1087" s="27" t="s">
        <v>1850</v>
      </c>
      <c r="B1087" s="28"/>
      <c r="C1087" s="28"/>
      <c r="D1087" s="28"/>
      <c r="E1087" s="29"/>
      <c r="F1087" s="30"/>
      <c r="G1087" s="30"/>
      <c r="H1087" s="30"/>
      <c r="I1087" s="30"/>
      <c r="J1087" s="30"/>
      <c r="K1087" s="31"/>
      <c r="L1087" s="32">
        <f t="shared" ref="L1087:O1087" si="693">SUM(X1088:X1185)</f>
        <v>28.75</v>
      </c>
      <c r="M1087" s="32">
        <f t="shared" si="693"/>
        <v>40.125</v>
      </c>
      <c r="N1087" s="32">
        <f t="shared" si="693"/>
        <v>51.5</v>
      </c>
      <c r="O1087" s="32">
        <f t="shared" si="693"/>
        <v>40.125</v>
      </c>
      <c r="P1087" s="32"/>
      <c r="Q1087" s="32">
        <f>SUM(AC1088:AC1185)</f>
        <v>40.125</v>
      </c>
      <c r="R1087" s="34"/>
      <c r="S1087" s="34"/>
      <c r="T1087" s="35" t="s">
        <v>59</v>
      </c>
      <c r="U1087" s="26"/>
      <c r="V1087" s="26"/>
      <c r="W1087" s="26"/>
      <c r="X1087" s="26"/>
      <c r="Y1087" s="26"/>
      <c r="Z1087" s="26"/>
      <c r="AA1087" s="26"/>
      <c r="AB1087" s="26"/>
      <c r="AC1087" s="26"/>
    </row>
    <row r="1088" ht="33.75" customHeight="1">
      <c r="A1088" s="45" t="s">
        <v>1851</v>
      </c>
      <c r="B1088" s="212" t="s">
        <v>1852</v>
      </c>
      <c r="C1088" s="212" t="s">
        <v>1853</v>
      </c>
      <c r="D1088" s="212" t="s">
        <v>1853</v>
      </c>
      <c r="E1088" s="212" t="s">
        <v>1854</v>
      </c>
      <c r="F1088" s="45"/>
      <c r="G1088" s="45"/>
      <c r="H1088" s="45"/>
      <c r="I1088" s="45"/>
      <c r="J1088" s="45"/>
      <c r="K1088" s="123"/>
      <c r="L1088" s="213">
        <f>IF(COUNT(L1089,L1093,L1097,L1101)=0,"",SUM(L1089,L1093,L1097,L1101))</f>
        <v>4.5</v>
      </c>
      <c r="M1088" s="213">
        <f t="shared" ref="M1088:M1185" si="696">(N1088+L1088)/2</f>
        <v>6.625</v>
      </c>
      <c r="N1088" s="213">
        <f t="shared" ref="N1088:O1088" si="694">IF(COUNT(N1089,N1093,N1097,N1101)=0,"",SUM(N1089,N1093,N1097,N1101))</f>
        <v>8.75</v>
      </c>
      <c r="O1088" s="213">
        <f t="shared" si="694"/>
        <v>6.625</v>
      </c>
      <c r="P1088" s="214"/>
      <c r="Q1088" s="213">
        <f>IF(COUNT(Q1089,Q1093,Q1097,Q1101)=0,"",SUM(Q1089,Q1093,Q1097,Q1101))</f>
        <v>6.625</v>
      </c>
      <c r="R1088" s="126"/>
      <c r="S1088" s="126"/>
      <c r="T1088" s="45" t="s">
        <v>62</v>
      </c>
      <c r="U1088" s="26"/>
      <c r="V1088" s="26"/>
      <c r="W1088" s="26"/>
      <c r="X1088" s="46">
        <f t="shared" ref="X1088:AA1088" si="695">L1088</f>
        <v>4.5</v>
      </c>
      <c r="Y1088" s="46">
        <f t="shared" si="695"/>
        <v>6.625</v>
      </c>
      <c r="Z1088" s="46">
        <f t="shared" si="695"/>
        <v>8.75</v>
      </c>
      <c r="AA1088" s="46">
        <f t="shared" si="695"/>
        <v>6.625</v>
      </c>
      <c r="AB1088" s="26"/>
      <c r="AC1088" s="46">
        <f>Q1088</f>
        <v>6.625</v>
      </c>
    </row>
    <row r="1089" ht="33.75" customHeight="1">
      <c r="A1089" s="54" t="s">
        <v>1855</v>
      </c>
      <c r="B1089" s="209" t="s">
        <v>1852</v>
      </c>
      <c r="C1089" s="209" t="s">
        <v>1853</v>
      </c>
      <c r="D1089" s="209" t="s">
        <v>1856</v>
      </c>
      <c r="E1089" s="209" t="s">
        <v>1857</v>
      </c>
      <c r="F1089" s="54" t="s">
        <v>1205</v>
      </c>
      <c r="G1089" s="54" t="s">
        <v>200</v>
      </c>
      <c r="H1089" s="54" t="s">
        <v>200</v>
      </c>
      <c r="I1089" s="54"/>
      <c r="J1089" s="54" t="s">
        <v>9</v>
      </c>
      <c r="K1089" s="119" t="s">
        <v>9</v>
      </c>
      <c r="L1089" s="202">
        <f>IF(COUNT(L1090:N1092)=0,"",SUM(L1090:L1092))</f>
        <v>1</v>
      </c>
      <c r="M1089" s="174">
        <f t="shared" si="696"/>
        <v>1.5</v>
      </c>
      <c r="N1089" s="202">
        <f>IF(COUNT(L1090:N1092)=0,"",SUM(N1090:N1092))</f>
        <v>2</v>
      </c>
      <c r="O1089" s="202">
        <f>IF(COUNT(O1090:O1092)=0,"",SUM(O1090:O1092))</f>
        <v>1.5</v>
      </c>
      <c r="P1089" s="210"/>
      <c r="Q1089" s="202">
        <f>IF(COUNT(Q1090:Q1092)=0,"",SUM(Q1090:Q1092))</f>
        <v>1.5</v>
      </c>
      <c r="R1089" s="163"/>
      <c r="S1089" s="163"/>
      <c r="T1089" s="54" t="s">
        <v>65</v>
      </c>
      <c r="U1089" s="179"/>
      <c r="V1089" s="179"/>
      <c r="W1089" s="179"/>
      <c r="X1089" s="105"/>
      <c r="Y1089" s="105"/>
      <c r="Z1089" s="105"/>
      <c r="AA1089" s="105"/>
      <c r="AB1089" s="105"/>
      <c r="AC1089" s="105"/>
    </row>
    <row r="1090" ht="33.75" customHeight="1">
      <c r="A1090" s="65" t="s">
        <v>1858</v>
      </c>
      <c r="B1090" s="215" t="s">
        <v>1852</v>
      </c>
      <c r="C1090" s="215" t="s">
        <v>1853</v>
      </c>
      <c r="D1090" s="215" t="s">
        <v>1856</v>
      </c>
      <c r="E1090" s="215" t="s">
        <v>1857</v>
      </c>
      <c r="F1090" s="65" t="s">
        <v>1205</v>
      </c>
      <c r="G1090" s="65" t="s">
        <v>200</v>
      </c>
      <c r="H1090" s="65" t="s">
        <v>200</v>
      </c>
      <c r="I1090" s="65"/>
      <c r="J1090" s="65" t="s">
        <v>9</v>
      </c>
      <c r="K1090" s="97" t="s">
        <v>9</v>
      </c>
      <c r="L1090" s="128">
        <v>0.5</v>
      </c>
      <c r="M1090" s="180">
        <f t="shared" si="696"/>
        <v>0.75</v>
      </c>
      <c r="N1090" s="128">
        <v>1.0</v>
      </c>
      <c r="O1090" s="129">
        <f t="shared" ref="O1090:O1092" si="697">IF(COUNT(L1090:N1090)=0,"",(L1090+4*M1090+N1090)/6)</f>
        <v>0.75</v>
      </c>
      <c r="P1090" s="159"/>
      <c r="Q1090" s="208">
        <f t="shared" ref="Q1090:Q1092" si="698">IF(O1090="","",IF(P1090="",O1090,O1090*(1+P1090)))</f>
        <v>0.75</v>
      </c>
      <c r="R1090" s="132"/>
      <c r="S1090" s="132"/>
      <c r="T1090" s="65" t="s">
        <v>31</v>
      </c>
      <c r="U1090" s="26"/>
      <c r="V1090" s="26"/>
      <c r="W1090" s="26"/>
      <c r="X1090" s="26"/>
      <c r="Y1090" s="26"/>
      <c r="Z1090" s="26"/>
      <c r="AA1090" s="26"/>
      <c r="AB1090" s="26"/>
      <c r="AC1090" s="26"/>
    </row>
    <row r="1091" ht="33.75" customHeight="1">
      <c r="A1091" s="65" t="s">
        <v>1859</v>
      </c>
      <c r="B1091" s="215" t="s">
        <v>1852</v>
      </c>
      <c r="C1091" s="215" t="s">
        <v>1853</v>
      </c>
      <c r="D1091" s="215" t="s">
        <v>1856</v>
      </c>
      <c r="E1091" s="215" t="s">
        <v>1857</v>
      </c>
      <c r="F1091" s="65" t="s">
        <v>1205</v>
      </c>
      <c r="G1091" s="65" t="s">
        <v>200</v>
      </c>
      <c r="H1091" s="65" t="s">
        <v>200</v>
      </c>
      <c r="I1091" s="65"/>
      <c r="J1091" s="65" t="s">
        <v>9</v>
      </c>
      <c r="K1091" s="97" t="s">
        <v>9</v>
      </c>
      <c r="L1091" s="128">
        <v>0.25</v>
      </c>
      <c r="M1091" s="180">
        <f t="shared" si="696"/>
        <v>0.375</v>
      </c>
      <c r="N1091" s="128">
        <v>0.5</v>
      </c>
      <c r="O1091" s="129">
        <f t="shared" si="697"/>
        <v>0.375</v>
      </c>
      <c r="P1091" s="159"/>
      <c r="Q1091" s="208">
        <f t="shared" si="698"/>
        <v>0.375</v>
      </c>
      <c r="R1091" s="132"/>
      <c r="S1091" s="132"/>
      <c r="T1091" s="65" t="s">
        <v>32</v>
      </c>
      <c r="U1091" s="26"/>
      <c r="V1091" s="26"/>
      <c r="W1091" s="26"/>
      <c r="X1091" s="26"/>
      <c r="Y1091" s="26"/>
      <c r="Z1091" s="26"/>
      <c r="AA1091" s="26"/>
      <c r="AB1091" s="26"/>
      <c r="AC1091" s="26"/>
    </row>
    <row r="1092" ht="33.75" customHeight="1">
      <c r="A1092" s="65" t="s">
        <v>1860</v>
      </c>
      <c r="B1092" s="215" t="s">
        <v>1852</v>
      </c>
      <c r="C1092" s="215" t="s">
        <v>1853</v>
      </c>
      <c r="D1092" s="215" t="s">
        <v>1856</v>
      </c>
      <c r="E1092" s="215" t="s">
        <v>1857</v>
      </c>
      <c r="F1092" s="65" t="s">
        <v>1205</v>
      </c>
      <c r="G1092" s="65" t="s">
        <v>200</v>
      </c>
      <c r="H1092" s="65" t="s">
        <v>200</v>
      </c>
      <c r="I1092" s="65"/>
      <c r="J1092" s="65" t="s">
        <v>9</v>
      </c>
      <c r="K1092" s="97" t="s">
        <v>9</v>
      </c>
      <c r="L1092" s="128">
        <v>0.25</v>
      </c>
      <c r="M1092" s="180">
        <f t="shared" si="696"/>
        <v>0.375</v>
      </c>
      <c r="N1092" s="128">
        <v>0.5</v>
      </c>
      <c r="O1092" s="129">
        <f t="shared" si="697"/>
        <v>0.375</v>
      </c>
      <c r="P1092" s="159"/>
      <c r="Q1092" s="208">
        <f t="shared" si="698"/>
        <v>0.375</v>
      </c>
      <c r="R1092" s="132"/>
      <c r="S1092" s="132"/>
      <c r="T1092" s="65" t="s">
        <v>70</v>
      </c>
      <c r="U1092" s="26"/>
      <c r="V1092" s="26"/>
      <c r="W1092" s="26"/>
      <c r="X1092" s="26"/>
      <c r="Y1092" s="26"/>
      <c r="Z1092" s="26"/>
      <c r="AA1092" s="26"/>
      <c r="AB1092" s="26"/>
      <c r="AC1092" s="26"/>
    </row>
    <row r="1093" ht="33.75" customHeight="1">
      <c r="A1093" s="54" t="s">
        <v>1861</v>
      </c>
      <c r="B1093" s="209" t="s">
        <v>1852</v>
      </c>
      <c r="C1093" s="209" t="s">
        <v>1853</v>
      </c>
      <c r="D1093" s="209" t="s">
        <v>1862</v>
      </c>
      <c r="E1093" s="209" t="s">
        <v>1863</v>
      </c>
      <c r="F1093" s="54" t="s">
        <v>1855</v>
      </c>
      <c r="G1093" s="54" t="s">
        <v>154</v>
      </c>
      <c r="H1093" s="54" t="s">
        <v>154</v>
      </c>
      <c r="I1093" s="54"/>
      <c r="J1093" s="54" t="s">
        <v>9</v>
      </c>
      <c r="K1093" s="119" t="s">
        <v>9</v>
      </c>
      <c r="L1093" s="202">
        <f>IF(COUNT(L1094:N1096)=0,"",SUM(L1094:L1096))</f>
        <v>0.5</v>
      </c>
      <c r="M1093" s="174">
        <f t="shared" si="696"/>
        <v>0.75</v>
      </c>
      <c r="N1093" s="202">
        <f>IF(COUNT(L1094:N1096)=0,"",SUM(N1094:N1096))</f>
        <v>1</v>
      </c>
      <c r="O1093" s="202">
        <f>IF(COUNT(O1094:O1096)=0,"",SUM(O1094:O1096))</f>
        <v>0.75</v>
      </c>
      <c r="P1093" s="210"/>
      <c r="Q1093" s="202">
        <f>IF(COUNT(Q1094:Q1096)=0,"",SUM(Q1094:Q1096))</f>
        <v>0.75</v>
      </c>
      <c r="R1093" s="163"/>
      <c r="S1093" s="163"/>
      <c r="T1093" s="54" t="s">
        <v>65</v>
      </c>
      <c r="U1093" s="179"/>
      <c r="V1093" s="179"/>
      <c r="W1093" s="179"/>
      <c r="X1093" s="105"/>
      <c r="Y1093" s="105"/>
      <c r="Z1093" s="105"/>
      <c r="AA1093" s="105"/>
      <c r="AB1093" s="105"/>
      <c r="AC1093" s="105"/>
    </row>
    <row r="1094" ht="33.75" customHeight="1">
      <c r="A1094" s="65" t="s">
        <v>1864</v>
      </c>
      <c r="B1094" s="215" t="s">
        <v>1852</v>
      </c>
      <c r="C1094" s="215" t="s">
        <v>1853</v>
      </c>
      <c r="D1094" s="215" t="s">
        <v>1862</v>
      </c>
      <c r="E1094" s="215" t="s">
        <v>1863</v>
      </c>
      <c r="F1094" s="65" t="s">
        <v>1855</v>
      </c>
      <c r="G1094" s="65" t="s">
        <v>154</v>
      </c>
      <c r="H1094" s="65" t="s">
        <v>154</v>
      </c>
      <c r="I1094" s="65"/>
      <c r="J1094" s="65" t="s">
        <v>9</v>
      </c>
      <c r="K1094" s="97" t="s">
        <v>9</v>
      </c>
      <c r="L1094" s="128">
        <v>0.0</v>
      </c>
      <c r="M1094" s="180">
        <f t="shared" si="696"/>
        <v>0</v>
      </c>
      <c r="N1094" s="128">
        <v>0.0</v>
      </c>
      <c r="O1094" s="129">
        <f t="shared" ref="O1094:O1096" si="699">IF(COUNT(L1094:N1094)=0,"",(L1094+4*M1094+N1094)/6)</f>
        <v>0</v>
      </c>
      <c r="P1094" s="159"/>
      <c r="Q1094" s="208">
        <f t="shared" ref="Q1094:Q1096" si="700">IF(O1094="","",IF(P1094="",O1094,O1094*(1+P1094)))</f>
        <v>0</v>
      </c>
      <c r="R1094" s="132"/>
      <c r="S1094" s="132"/>
      <c r="T1094" s="65" t="s">
        <v>31</v>
      </c>
      <c r="U1094" s="26"/>
      <c r="V1094" s="26"/>
      <c r="W1094" s="26"/>
      <c r="X1094" s="26"/>
      <c r="Y1094" s="26"/>
      <c r="Z1094" s="26"/>
      <c r="AA1094" s="26"/>
      <c r="AB1094" s="26"/>
      <c r="AC1094" s="26"/>
    </row>
    <row r="1095" ht="33.75" customHeight="1">
      <c r="A1095" s="65" t="s">
        <v>1865</v>
      </c>
      <c r="B1095" s="215" t="s">
        <v>1852</v>
      </c>
      <c r="C1095" s="215" t="s">
        <v>1853</v>
      </c>
      <c r="D1095" s="215" t="s">
        <v>1862</v>
      </c>
      <c r="E1095" s="215" t="s">
        <v>1863</v>
      </c>
      <c r="F1095" s="65" t="s">
        <v>1855</v>
      </c>
      <c r="G1095" s="65" t="s">
        <v>154</v>
      </c>
      <c r="H1095" s="65" t="s">
        <v>154</v>
      </c>
      <c r="I1095" s="65"/>
      <c r="J1095" s="65" t="s">
        <v>9</v>
      </c>
      <c r="K1095" s="97" t="s">
        <v>9</v>
      </c>
      <c r="L1095" s="128">
        <v>0.5</v>
      </c>
      <c r="M1095" s="180">
        <f t="shared" si="696"/>
        <v>0.75</v>
      </c>
      <c r="N1095" s="128">
        <v>1.0</v>
      </c>
      <c r="O1095" s="129">
        <f t="shared" si="699"/>
        <v>0.75</v>
      </c>
      <c r="P1095" s="159"/>
      <c r="Q1095" s="208">
        <f t="shared" si="700"/>
        <v>0.75</v>
      </c>
      <c r="R1095" s="132"/>
      <c r="S1095" s="132"/>
      <c r="T1095" s="65" t="s">
        <v>32</v>
      </c>
      <c r="U1095" s="26"/>
      <c r="V1095" s="26"/>
      <c r="W1095" s="26"/>
      <c r="X1095" s="26"/>
      <c r="Y1095" s="26"/>
      <c r="Z1095" s="26"/>
      <c r="AA1095" s="26"/>
      <c r="AB1095" s="26"/>
      <c r="AC1095" s="26"/>
    </row>
    <row r="1096" ht="33.75" customHeight="1">
      <c r="A1096" s="65" t="s">
        <v>1866</v>
      </c>
      <c r="B1096" s="215" t="s">
        <v>1852</v>
      </c>
      <c r="C1096" s="215" t="s">
        <v>1853</v>
      </c>
      <c r="D1096" s="215" t="s">
        <v>1862</v>
      </c>
      <c r="E1096" s="215" t="s">
        <v>1863</v>
      </c>
      <c r="F1096" s="65" t="s">
        <v>1855</v>
      </c>
      <c r="G1096" s="65" t="s">
        <v>154</v>
      </c>
      <c r="H1096" s="65" t="s">
        <v>154</v>
      </c>
      <c r="I1096" s="65"/>
      <c r="J1096" s="65" t="s">
        <v>9</v>
      </c>
      <c r="K1096" s="97" t="s">
        <v>9</v>
      </c>
      <c r="L1096" s="128">
        <v>0.0</v>
      </c>
      <c r="M1096" s="180">
        <f t="shared" si="696"/>
        <v>0</v>
      </c>
      <c r="N1096" s="128">
        <v>0.0</v>
      </c>
      <c r="O1096" s="129">
        <f t="shared" si="699"/>
        <v>0</v>
      </c>
      <c r="P1096" s="159"/>
      <c r="Q1096" s="208">
        <f t="shared" si="700"/>
        <v>0</v>
      </c>
      <c r="R1096" s="132"/>
      <c r="S1096" s="132"/>
      <c r="T1096" s="65" t="s">
        <v>70</v>
      </c>
      <c r="U1096" s="26"/>
      <c r="V1096" s="26"/>
      <c r="W1096" s="26"/>
      <c r="X1096" s="26"/>
      <c r="Y1096" s="26"/>
      <c r="Z1096" s="26"/>
      <c r="AA1096" s="26"/>
      <c r="AB1096" s="26"/>
      <c r="AC1096" s="26"/>
    </row>
    <row r="1097" ht="33.75" customHeight="1">
      <c r="A1097" s="54" t="s">
        <v>1867</v>
      </c>
      <c r="B1097" s="209" t="s">
        <v>1852</v>
      </c>
      <c r="C1097" s="209" t="s">
        <v>1853</v>
      </c>
      <c r="D1097" s="209" t="s">
        <v>1868</v>
      </c>
      <c r="E1097" s="209" t="s">
        <v>1869</v>
      </c>
      <c r="F1097" s="54" t="s">
        <v>1855</v>
      </c>
      <c r="G1097" s="54" t="s">
        <v>200</v>
      </c>
      <c r="H1097" s="54" t="s">
        <v>200</v>
      </c>
      <c r="I1097" s="54"/>
      <c r="J1097" s="54" t="s">
        <v>9</v>
      </c>
      <c r="K1097" s="119" t="s">
        <v>9</v>
      </c>
      <c r="L1097" s="202">
        <f>IF(COUNT(L1098:N1100)=0,"",SUM(L1098:L1100))</f>
        <v>1.5</v>
      </c>
      <c r="M1097" s="174">
        <f t="shared" si="696"/>
        <v>2.125</v>
      </c>
      <c r="N1097" s="202">
        <f>IF(COUNT(L1098:N1100)=0,"",SUM(N1098:N1100))</f>
        <v>2.75</v>
      </c>
      <c r="O1097" s="202">
        <f>IF(COUNT(O1098:O1100)=0,"",SUM(O1098:O1100))</f>
        <v>2.125</v>
      </c>
      <c r="P1097" s="210"/>
      <c r="Q1097" s="202">
        <f>IF(COUNT(Q1098:Q1100)=0,"",SUM(Q1098:Q1100))</f>
        <v>2.125</v>
      </c>
      <c r="R1097" s="163"/>
      <c r="S1097" s="163"/>
      <c r="T1097" s="54" t="s">
        <v>65</v>
      </c>
      <c r="U1097" s="179"/>
      <c r="V1097" s="179"/>
      <c r="W1097" s="179"/>
      <c r="X1097" s="105"/>
      <c r="Y1097" s="105"/>
      <c r="Z1097" s="105"/>
      <c r="AA1097" s="105"/>
      <c r="AB1097" s="105"/>
      <c r="AC1097" s="105"/>
    </row>
    <row r="1098" ht="33.75" customHeight="1">
      <c r="A1098" s="65" t="s">
        <v>1870</v>
      </c>
      <c r="B1098" s="215" t="s">
        <v>1852</v>
      </c>
      <c r="C1098" s="215" t="s">
        <v>1853</v>
      </c>
      <c r="D1098" s="215" t="s">
        <v>1868</v>
      </c>
      <c r="E1098" s="215" t="s">
        <v>1869</v>
      </c>
      <c r="F1098" s="65" t="s">
        <v>1855</v>
      </c>
      <c r="G1098" s="65" t="s">
        <v>200</v>
      </c>
      <c r="H1098" s="65" t="s">
        <v>200</v>
      </c>
      <c r="I1098" s="65"/>
      <c r="J1098" s="65" t="s">
        <v>9</v>
      </c>
      <c r="K1098" s="97" t="s">
        <v>9</v>
      </c>
      <c r="L1098" s="128">
        <v>0.5</v>
      </c>
      <c r="M1098" s="180">
        <f t="shared" si="696"/>
        <v>0.75</v>
      </c>
      <c r="N1098" s="128">
        <v>1.0</v>
      </c>
      <c r="O1098" s="129">
        <f t="shared" ref="O1098:O1100" si="701">IF(COUNT(L1098:N1098)=0,"",(L1098+4*M1098+N1098)/6)</f>
        <v>0.75</v>
      </c>
      <c r="P1098" s="159"/>
      <c r="Q1098" s="208">
        <f t="shared" ref="Q1098:Q1100" si="702">IF(O1098="","",IF(P1098="",O1098,O1098*(1+P1098)))</f>
        <v>0.75</v>
      </c>
      <c r="R1098" s="132"/>
      <c r="S1098" s="132"/>
      <c r="T1098" s="65" t="s">
        <v>31</v>
      </c>
      <c r="U1098" s="26"/>
      <c r="V1098" s="26"/>
      <c r="W1098" s="26"/>
      <c r="X1098" s="26"/>
      <c r="Y1098" s="26"/>
      <c r="Z1098" s="26"/>
      <c r="AA1098" s="26"/>
      <c r="AB1098" s="26"/>
      <c r="AC1098" s="26"/>
    </row>
    <row r="1099" ht="33.75" customHeight="1">
      <c r="A1099" s="65" t="s">
        <v>1871</v>
      </c>
      <c r="B1099" s="215" t="s">
        <v>1852</v>
      </c>
      <c r="C1099" s="215" t="s">
        <v>1853</v>
      </c>
      <c r="D1099" s="215" t="s">
        <v>1868</v>
      </c>
      <c r="E1099" s="215" t="s">
        <v>1869</v>
      </c>
      <c r="F1099" s="65" t="s">
        <v>1855</v>
      </c>
      <c r="G1099" s="65" t="s">
        <v>200</v>
      </c>
      <c r="H1099" s="65" t="s">
        <v>200</v>
      </c>
      <c r="I1099" s="65"/>
      <c r="J1099" s="65" t="s">
        <v>9</v>
      </c>
      <c r="K1099" s="97" t="s">
        <v>9</v>
      </c>
      <c r="L1099" s="128">
        <v>0.5</v>
      </c>
      <c r="M1099" s="180">
        <f t="shared" si="696"/>
        <v>0.75</v>
      </c>
      <c r="N1099" s="128">
        <v>1.0</v>
      </c>
      <c r="O1099" s="129">
        <f t="shared" si="701"/>
        <v>0.75</v>
      </c>
      <c r="P1099" s="159"/>
      <c r="Q1099" s="208">
        <f t="shared" si="702"/>
        <v>0.75</v>
      </c>
      <c r="R1099" s="132"/>
      <c r="S1099" s="132"/>
      <c r="T1099" s="65" t="s">
        <v>32</v>
      </c>
      <c r="U1099" s="26"/>
      <c r="V1099" s="26"/>
      <c r="W1099" s="26"/>
      <c r="X1099" s="26"/>
      <c r="Y1099" s="26"/>
      <c r="Z1099" s="26"/>
      <c r="AA1099" s="26"/>
      <c r="AB1099" s="26"/>
      <c r="AC1099" s="26"/>
    </row>
    <row r="1100" ht="33.75" customHeight="1">
      <c r="A1100" s="65" t="s">
        <v>1872</v>
      </c>
      <c r="B1100" s="215" t="s">
        <v>1852</v>
      </c>
      <c r="C1100" s="215" t="s">
        <v>1853</v>
      </c>
      <c r="D1100" s="215" t="s">
        <v>1868</v>
      </c>
      <c r="E1100" s="215" t="s">
        <v>1869</v>
      </c>
      <c r="F1100" s="65" t="s">
        <v>1855</v>
      </c>
      <c r="G1100" s="65" t="s">
        <v>200</v>
      </c>
      <c r="H1100" s="65" t="s">
        <v>200</v>
      </c>
      <c r="I1100" s="65"/>
      <c r="J1100" s="65" t="s">
        <v>9</v>
      </c>
      <c r="K1100" s="97" t="s">
        <v>9</v>
      </c>
      <c r="L1100" s="128">
        <v>0.5</v>
      </c>
      <c r="M1100" s="180">
        <f t="shared" si="696"/>
        <v>0.625</v>
      </c>
      <c r="N1100" s="128">
        <v>0.75</v>
      </c>
      <c r="O1100" s="129">
        <f t="shared" si="701"/>
        <v>0.625</v>
      </c>
      <c r="P1100" s="159"/>
      <c r="Q1100" s="208">
        <f t="shared" si="702"/>
        <v>0.625</v>
      </c>
      <c r="R1100" s="132"/>
      <c r="S1100" s="132"/>
      <c r="T1100" s="65" t="s">
        <v>70</v>
      </c>
      <c r="U1100" s="26"/>
      <c r="V1100" s="26"/>
      <c r="W1100" s="26"/>
      <c r="X1100" s="26"/>
      <c r="Y1100" s="26"/>
      <c r="Z1100" s="26"/>
      <c r="AA1100" s="26"/>
      <c r="AB1100" s="26"/>
      <c r="AC1100" s="26"/>
    </row>
    <row r="1101" ht="33.75" customHeight="1">
      <c r="A1101" s="54" t="s">
        <v>1873</v>
      </c>
      <c r="B1101" s="209" t="s">
        <v>1852</v>
      </c>
      <c r="C1101" s="209" t="s">
        <v>1853</v>
      </c>
      <c r="D1101" s="209" t="s">
        <v>1874</v>
      </c>
      <c r="E1101" s="209" t="s">
        <v>1875</v>
      </c>
      <c r="F1101" s="54" t="s">
        <v>1867</v>
      </c>
      <c r="G1101" s="54" t="s">
        <v>168</v>
      </c>
      <c r="H1101" s="54" t="s">
        <v>168</v>
      </c>
      <c r="I1101" s="54"/>
      <c r="J1101" s="54" t="s">
        <v>9</v>
      </c>
      <c r="K1101" s="119" t="s">
        <v>9</v>
      </c>
      <c r="L1101" s="202">
        <f>IF(COUNT(L1102:N1104)=0,"",SUM(L1102:L1104))</f>
        <v>1.5</v>
      </c>
      <c r="M1101" s="174">
        <f t="shared" si="696"/>
        <v>2.25</v>
      </c>
      <c r="N1101" s="202">
        <f>IF(COUNT(L1102:N1104)=0,"",SUM(N1102:N1104))</f>
        <v>3</v>
      </c>
      <c r="O1101" s="202">
        <f>IF(COUNT(O1102:O1104)=0,"",SUM(O1102:O1104))</f>
        <v>2.25</v>
      </c>
      <c r="P1101" s="210"/>
      <c r="Q1101" s="202">
        <f>IF(COUNT(Q1102:Q1104)=0,"",SUM(Q1102:Q1104))</f>
        <v>2.25</v>
      </c>
      <c r="R1101" s="163"/>
      <c r="S1101" s="163"/>
      <c r="T1101" s="54" t="s">
        <v>65</v>
      </c>
      <c r="U1101" s="179"/>
      <c r="V1101" s="179"/>
      <c r="W1101" s="179"/>
      <c r="X1101" s="105"/>
      <c r="Y1101" s="105"/>
      <c r="Z1101" s="105"/>
      <c r="AA1101" s="105"/>
      <c r="AB1101" s="105"/>
      <c r="AC1101" s="105"/>
    </row>
    <row r="1102" ht="33.75" customHeight="1">
      <c r="A1102" s="65" t="s">
        <v>1876</v>
      </c>
      <c r="B1102" s="215" t="s">
        <v>1852</v>
      </c>
      <c r="C1102" s="215" t="s">
        <v>1853</v>
      </c>
      <c r="D1102" s="215" t="s">
        <v>1874</v>
      </c>
      <c r="E1102" s="215" t="s">
        <v>1875</v>
      </c>
      <c r="F1102" s="65" t="s">
        <v>1867</v>
      </c>
      <c r="G1102" s="65" t="s">
        <v>168</v>
      </c>
      <c r="H1102" s="65" t="s">
        <v>168</v>
      </c>
      <c r="I1102" s="65"/>
      <c r="J1102" s="65" t="s">
        <v>9</v>
      </c>
      <c r="K1102" s="97" t="s">
        <v>9</v>
      </c>
      <c r="L1102" s="128">
        <v>0.5</v>
      </c>
      <c r="M1102" s="180">
        <f t="shared" si="696"/>
        <v>0.75</v>
      </c>
      <c r="N1102" s="128">
        <v>1.0</v>
      </c>
      <c r="O1102" s="129">
        <f t="shared" ref="O1102:O1104" si="703">IF(COUNT(L1102:N1102)=0,"",(L1102+4*M1102+N1102)/6)</f>
        <v>0.75</v>
      </c>
      <c r="P1102" s="159"/>
      <c r="Q1102" s="208">
        <f t="shared" ref="Q1102:Q1104" si="704">IF(O1102="","",IF(P1102="",O1102,O1102*(1+P1102)))</f>
        <v>0.75</v>
      </c>
      <c r="R1102" s="132"/>
      <c r="S1102" s="132"/>
      <c r="T1102" s="65" t="s">
        <v>31</v>
      </c>
      <c r="U1102" s="26"/>
      <c r="V1102" s="26"/>
      <c r="W1102" s="26"/>
      <c r="X1102" s="26"/>
      <c r="Y1102" s="26"/>
      <c r="Z1102" s="26"/>
      <c r="AA1102" s="26"/>
      <c r="AB1102" s="26"/>
      <c r="AC1102" s="26"/>
    </row>
    <row r="1103" ht="33.75" customHeight="1">
      <c r="A1103" s="65" t="s">
        <v>1877</v>
      </c>
      <c r="B1103" s="215" t="s">
        <v>1852</v>
      </c>
      <c r="C1103" s="215" t="s">
        <v>1853</v>
      </c>
      <c r="D1103" s="215" t="s">
        <v>1874</v>
      </c>
      <c r="E1103" s="215" t="s">
        <v>1875</v>
      </c>
      <c r="F1103" s="65" t="s">
        <v>1867</v>
      </c>
      <c r="G1103" s="65" t="s">
        <v>168</v>
      </c>
      <c r="H1103" s="65" t="s">
        <v>168</v>
      </c>
      <c r="I1103" s="65"/>
      <c r="J1103" s="65" t="s">
        <v>9</v>
      </c>
      <c r="K1103" s="97" t="s">
        <v>9</v>
      </c>
      <c r="L1103" s="128">
        <v>0.5</v>
      </c>
      <c r="M1103" s="180">
        <f t="shared" si="696"/>
        <v>0.75</v>
      </c>
      <c r="N1103" s="128">
        <v>1.0</v>
      </c>
      <c r="O1103" s="129">
        <f t="shared" si="703"/>
        <v>0.75</v>
      </c>
      <c r="P1103" s="159"/>
      <c r="Q1103" s="208">
        <f t="shared" si="704"/>
        <v>0.75</v>
      </c>
      <c r="R1103" s="132"/>
      <c r="S1103" s="132"/>
      <c r="T1103" s="65" t="s">
        <v>32</v>
      </c>
      <c r="U1103" s="26"/>
      <c r="V1103" s="26"/>
      <c r="W1103" s="26"/>
      <c r="X1103" s="26"/>
      <c r="Y1103" s="26"/>
      <c r="Z1103" s="26"/>
      <c r="AA1103" s="26"/>
      <c r="AB1103" s="26"/>
      <c r="AC1103" s="26"/>
    </row>
    <row r="1104" ht="33.75" customHeight="1">
      <c r="A1104" s="65" t="s">
        <v>1878</v>
      </c>
      <c r="B1104" s="215" t="s">
        <v>1852</v>
      </c>
      <c r="C1104" s="215" t="s">
        <v>1853</v>
      </c>
      <c r="D1104" s="215" t="s">
        <v>1874</v>
      </c>
      <c r="E1104" s="215" t="s">
        <v>1875</v>
      </c>
      <c r="F1104" s="65" t="s">
        <v>1867</v>
      </c>
      <c r="G1104" s="65" t="s">
        <v>168</v>
      </c>
      <c r="H1104" s="65" t="s">
        <v>168</v>
      </c>
      <c r="I1104" s="65"/>
      <c r="J1104" s="65" t="s">
        <v>9</v>
      </c>
      <c r="K1104" s="97" t="s">
        <v>9</v>
      </c>
      <c r="L1104" s="128">
        <v>0.5</v>
      </c>
      <c r="M1104" s="180">
        <f t="shared" si="696"/>
        <v>0.75</v>
      </c>
      <c r="N1104" s="128">
        <v>1.0</v>
      </c>
      <c r="O1104" s="129">
        <f t="shared" si="703"/>
        <v>0.75</v>
      </c>
      <c r="P1104" s="159"/>
      <c r="Q1104" s="208">
        <f t="shared" si="704"/>
        <v>0.75</v>
      </c>
      <c r="R1104" s="132"/>
      <c r="S1104" s="132"/>
      <c r="T1104" s="65" t="s">
        <v>70</v>
      </c>
      <c r="U1104" s="26"/>
      <c r="V1104" s="26"/>
      <c r="W1104" s="26"/>
      <c r="X1104" s="26"/>
      <c r="Y1104" s="26"/>
      <c r="Z1104" s="26"/>
      <c r="AA1104" s="26"/>
      <c r="AB1104" s="26"/>
      <c r="AC1104" s="26"/>
    </row>
    <row r="1105" ht="33.75" customHeight="1">
      <c r="A1105" s="45" t="s">
        <v>1879</v>
      </c>
      <c r="B1105" s="212" t="s">
        <v>1852</v>
      </c>
      <c r="C1105" s="212" t="s">
        <v>1880</v>
      </c>
      <c r="D1105" s="212" t="s">
        <v>1880</v>
      </c>
      <c r="E1105" s="212" t="s">
        <v>1881</v>
      </c>
      <c r="F1105" s="45"/>
      <c r="G1105" s="45"/>
      <c r="H1105" s="45"/>
      <c r="I1105" s="45"/>
      <c r="J1105" s="45"/>
      <c r="K1105" s="123"/>
      <c r="L1105" s="213">
        <f>IF(COUNT(L1106,L1110,L1114,L1118)=0,"",SUM(L1106,L1110,L1114,L1118))</f>
        <v>7.5</v>
      </c>
      <c r="M1105" s="213">
        <f t="shared" si="696"/>
        <v>10</v>
      </c>
      <c r="N1105" s="213">
        <f t="shared" ref="N1105:O1105" si="705">IF(COUNT(N1106,N1110,N1114,N1118)=0,"",SUM(N1106,N1110,N1114,N1118))</f>
        <v>12.5</v>
      </c>
      <c r="O1105" s="213">
        <f t="shared" si="705"/>
        <v>10</v>
      </c>
      <c r="P1105" s="214"/>
      <c r="Q1105" s="213">
        <f>IF(COUNT(Q1106,Q1110,Q1114,Q1118)=0,"",SUM(Q1106,Q1110,Q1114,Q1118))</f>
        <v>10</v>
      </c>
      <c r="R1105" s="126"/>
      <c r="S1105" s="126"/>
      <c r="T1105" s="45" t="s">
        <v>62</v>
      </c>
      <c r="U1105" s="26"/>
      <c r="V1105" s="26"/>
      <c r="W1105" s="26"/>
      <c r="X1105" s="46">
        <f t="shared" ref="X1105:AA1105" si="706">L1105</f>
        <v>7.5</v>
      </c>
      <c r="Y1105" s="46">
        <f t="shared" si="706"/>
        <v>10</v>
      </c>
      <c r="Z1105" s="46">
        <f t="shared" si="706"/>
        <v>12.5</v>
      </c>
      <c r="AA1105" s="46">
        <f t="shared" si="706"/>
        <v>10</v>
      </c>
      <c r="AB1105" s="26"/>
      <c r="AC1105" s="46">
        <f>Q1105</f>
        <v>10</v>
      </c>
    </row>
    <row r="1106" ht="33.75" customHeight="1">
      <c r="A1106" s="54" t="s">
        <v>1882</v>
      </c>
      <c r="B1106" s="209" t="s">
        <v>1852</v>
      </c>
      <c r="C1106" s="209" t="s">
        <v>1880</v>
      </c>
      <c r="D1106" s="209" t="s">
        <v>1883</v>
      </c>
      <c r="E1106" s="209" t="s">
        <v>1884</v>
      </c>
      <c r="F1106" s="54"/>
      <c r="G1106" s="54" t="s">
        <v>200</v>
      </c>
      <c r="H1106" s="54" t="s">
        <v>200</v>
      </c>
      <c r="I1106" s="54"/>
      <c r="J1106" s="54" t="s">
        <v>9</v>
      </c>
      <c r="K1106" s="119" t="s">
        <v>9</v>
      </c>
      <c r="L1106" s="202">
        <f>IF(COUNT(L1107:N1109)=0,"",SUM(L1107:L1109))</f>
        <v>2.5</v>
      </c>
      <c r="M1106" s="174">
        <f t="shared" si="696"/>
        <v>3.25</v>
      </c>
      <c r="N1106" s="202">
        <f>IF(COUNT(L1107:N1109)=0,"",SUM(N1107:N1109))</f>
        <v>4</v>
      </c>
      <c r="O1106" s="202">
        <f>IF(COUNT(O1107:O1109)=0,"",SUM(O1107:O1109))</f>
        <v>3.25</v>
      </c>
      <c r="P1106" s="210"/>
      <c r="Q1106" s="202">
        <f>IF(COUNT(Q1107:Q1109)=0,"",SUM(Q1107:Q1109))</f>
        <v>3.25</v>
      </c>
      <c r="R1106" s="163"/>
      <c r="S1106" s="163"/>
      <c r="T1106" s="54" t="s">
        <v>65</v>
      </c>
      <c r="U1106" s="179"/>
      <c r="V1106" s="179"/>
      <c r="W1106" s="179"/>
      <c r="X1106" s="105"/>
      <c r="Y1106" s="105"/>
      <c r="Z1106" s="105"/>
      <c r="AA1106" s="105"/>
      <c r="AB1106" s="105"/>
      <c r="AC1106" s="105"/>
    </row>
    <row r="1107" ht="33.75" customHeight="1">
      <c r="A1107" s="65" t="s">
        <v>1885</v>
      </c>
      <c r="B1107" s="215" t="s">
        <v>1852</v>
      </c>
      <c r="C1107" s="215" t="s">
        <v>1880</v>
      </c>
      <c r="D1107" s="215" t="s">
        <v>1883</v>
      </c>
      <c r="E1107" s="215" t="s">
        <v>1884</v>
      </c>
      <c r="F1107" s="65"/>
      <c r="G1107" s="65" t="s">
        <v>200</v>
      </c>
      <c r="H1107" s="65" t="s">
        <v>200</v>
      </c>
      <c r="I1107" s="65"/>
      <c r="J1107" s="65" t="s">
        <v>9</v>
      </c>
      <c r="K1107" s="97" t="s">
        <v>9</v>
      </c>
      <c r="L1107" s="128">
        <v>1.0</v>
      </c>
      <c r="M1107" s="180">
        <f t="shared" si="696"/>
        <v>1.25</v>
      </c>
      <c r="N1107" s="128">
        <v>1.5</v>
      </c>
      <c r="O1107" s="129">
        <f t="shared" ref="O1107:O1109" si="707">IF(COUNT(L1107:N1107)=0,"",(L1107+4*M1107+N1107)/6)</f>
        <v>1.25</v>
      </c>
      <c r="P1107" s="159"/>
      <c r="Q1107" s="208">
        <f t="shared" ref="Q1107:Q1109" si="708">IF(O1107="","",IF(P1107="",O1107,O1107*(1+P1107)))</f>
        <v>1.25</v>
      </c>
      <c r="R1107" s="132"/>
      <c r="S1107" s="132"/>
      <c r="T1107" s="65" t="s">
        <v>31</v>
      </c>
      <c r="U1107" s="26"/>
      <c r="V1107" s="26"/>
      <c r="W1107" s="26"/>
      <c r="X1107" s="26"/>
      <c r="Y1107" s="26"/>
      <c r="Z1107" s="26"/>
      <c r="AA1107" s="26"/>
      <c r="AB1107" s="26"/>
      <c r="AC1107" s="26"/>
    </row>
    <row r="1108" ht="33.75" customHeight="1">
      <c r="A1108" s="65" t="s">
        <v>1886</v>
      </c>
      <c r="B1108" s="215" t="s">
        <v>1852</v>
      </c>
      <c r="C1108" s="215" t="s">
        <v>1880</v>
      </c>
      <c r="D1108" s="215" t="s">
        <v>1883</v>
      </c>
      <c r="E1108" s="215" t="s">
        <v>1884</v>
      </c>
      <c r="F1108" s="65"/>
      <c r="G1108" s="65" t="s">
        <v>200</v>
      </c>
      <c r="H1108" s="65" t="s">
        <v>200</v>
      </c>
      <c r="I1108" s="65"/>
      <c r="J1108" s="65" t="s">
        <v>9</v>
      </c>
      <c r="K1108" s="97" t="s">
        <v>9</v>
      </c>
      <c r="L1108" s="128">
        <v>0.5</v>
      </c>
      <c r="M1108" s="180">
        <f t="shared" si="696"/>
        <v>0.75</v>
      </c>
      <c r="N1108" s="128">
        <v>1.0</v>
      </c>
      <c r="O1108" s="129">
        <f t="shared" si="707"/>
        <v>0.75</v>
      </c>
      <c r="P1108" s="159"/>
      <c r="Q1108" s="208">
        <f t="shared" si="708"/>
        <v>0.75</v>
      </c>
      <c r="R1108" s="132"/>
      <c r="S1108" s="132"/>
      <c r="T1108" s="65" t="s">
        <v>32</v>
      </c>
      <c r="U1108" s="26"/>
      <c r="V1108" s="26"/>
      <c r="W1108" s="26"/>
      <c r="X1108" s="26"/>
      <c r="Y1108" s="26"/>
      <c r="Z1108" s="26"/>
      <c r="AA1108" s="26"/>
      <c r="AB1108" s="26"/>
      <c r="AC1108" s="26"/>
    </row>
    <row r="1109" ht="33.75" customHeight="1">
      <c r="A1109" s="65" t="s">
        <v>1887</v>
      </c>
      <c r="B1109" s="215" t="s">
        <v>1852</v>
      </c>
      <c r="C1109" s="215" t="s">
        <v>1880</v>
      </c>
      <c r="D1109" s="215" t="s">
        <v>1883</v>
      </c>
      <c r="E1109" s="215" t="s">
        <v>1884</v>
      </c>
      <c r="F1109" s="65"/>
      <c r="G1109" s="65" t="s">
        <v>200</v>
      </c>
      <c r="H1109" s="65" t="s">
        <v>200</v>
      </c>
      <c r="I1109" s="65"/>
      <c r="J1109" s="65" t="s">
        <v>9</v>
      </c>
      <c r="K1109" s="97" t="s">
        <v>9</v>
      </c>
      <c r="L1109" s="128">
        <v>1.0</v>
      </c>
      <c r="M1109" s="180">
        <f t="shared" si="696"/>
        <v>1.25</v>
      </c>
      <c r="N1109" s="128">
        <v>1.5</v>
      </c>
      <c r="O1109" s="129">
        <f t="shared" si="707"/>
        <v>1.25</v>
      </c>
      <c r="P1109" s="159"/>
      <c r="Q1109" s="208">
        <f t="shared" si="708"/>
        <v>1.25</v>
      </c>
      <c r="R1109" s="132"/>
      <c r="S1109" s="132"/>
      <c r="T1109" s="65" t="s">
        <v>70</v>
      </c>
      <c r="U1109" s="26"/>
      <c r="V1109" s="26"/>
      <c r="W1109" s="26"/>
      <c r="X1109" s="26"/>
      <c r="Y1109" s="26"/>
      <c r="Z1109" s="26"/>
      <c r="AA1109" s="26"/>
      <c r="AB1109" s="26"/>
      <c r="AC1109" s="26"/>
    </row>
    <row r="1110" ht="33.75" customHeight="1">
      <c r="A1110" s="54" t="s">
        <v>1888</v>
      </c>
      <c r="B1110" s="209" t="s">
        <v>1852</v>
      </c>
      <c r="C1110" s="209" t="s">
        <v>1880</v>
      </c>
      <c r="D1110" s="209" t="s">
        <v>1889</v>
      </c>
      <c r="E1110" s="209" t="s">
        <v>1890</v>
      </c>
      <c r="F1110" s="54"/>
      <c r="G1110" s="54" t="s">
        <v>200</v>
      </c>
      <c r="H1110" s="54" t="s">
        <v>200</v>
      </c>
      <c r="I1110" s="54"/>
      <c r="J1110" s="54" t="s">
        <v>9</v>
      </c>
      <c r="K1110" s="119" t="s">
        <v>9</v>
      </c>
      <c r="L1110" s="202">
        <f>IF(COUNT(L1111:N1113)=0,"",SUM(L1111:L1113))</f>
        <v>2.5</v>
      </c>
      <c r="M1110" s="174">
        <f t="shared" si="696"/>
        <v>3.25</v>
      </c>
      <c r="N1110" s="202">
        <f>IF(COUNT(L1111:N1113)=0,"",SUM(N1111:N1113))</f>
        <v>4</v>
      </c>
      <c r="O1110" s="202">
        <f>IF(COUNT(O1111:O1113)=0,"",SUM(O1111:O1113))</f>
        <v>3.25</v>
      </c>
      <c r="P1110" s="210"/>
      <c r="Q1110" s="202">
        <f>IF(COUNT(Q1111:Q1113)=0,"",SUM(Q1111:Q1113))</f>
        <v>3.25</v>
      </c>
      <c r="R1110" s="163"/>
      <c r="S1110" s="163"/>
      <c r="T1110" s="54" t="s">
        <v>65</v>
      </c>
      <c r="U1110" s="26"/>
      <c r="V1110" s="26"/>
      <c r="W1110" s="26"/>
      <c r="X1110" s="105"/>
      <c r="Y1110" s="105"/>
      <c r="Z1110" s="105"/>
      <c r="AA1110" s="105"/>
      <c r="AB1110" s="105"/>
      <c r="AC1110" s="105"/>
    </row>
    <row r="1111" ht="33.75" customHeight="1">
      <c r="A1111" s="65" t="s">
        <v>1891</v>
      </c>
      <c r="B1111" s="215" t="s">
        <v>1852</v>
      </c>
      <c r="C1111" s="215" t="s">
        <v>1880</v>
      </c>
      <c r="D1111" s="215" t="s">
        <v>1889</v>
      </c>
      <c r="E1111" s="215" t="s">
        <v>1890</v>
      </c>
      <c r="F1111" s="65"/>
      <c r="G1111" s="65" t="s">
        <v>200</v>
      </c>
      <c r="H1111" s="65" t="s">
        <v>200</v>
      </c>
      <c r="I1111" s="65"/>
      <c r="J1111" s="65" t="s">
        <v>9</v>
      </c>
      <c r="K1111" s="97" t="s">
        <v>9</v>
      </c>
      <c r="L1111" s="128">
        <v>1.0</v>
      </c>
      <c r="M1111" s="180">
        <f t="shared" si="696"/>
        <v>1.25</v>
      </c>
      <c r="N1111" s="128">
        <v>1.5</v>
      </c>
      <c r="O1111" s="129">
        <f t="shared" ref="O1111:O1113" si="709">IF(COUNT(L1111:N1111)=0,"",(L1111+4*M1111+N1111)/6)</f>
        <v>1.25</v>
      </c>
      <c r="P1111" s="159"/>
      <c r="Q1111" s="208">
        <f t="shared" ref="Q1111:Q1113" si="710">IF(O1111="","",IF(P1111="",O1111,O1111*(1+P1111)))</f>
        <v>1.25</v>
      </c>
      <c r="R1111" s="132"/>
      <c r="S1111" s="132"/>
      <c r="T1111" s="65" t="s">
        <v>31</v>
      </c>
      <c r="U1111" s="26"/>
      <c r="V1111" s="26"/>
      <c r="W1111" s="26"/>
      <c r="X1111" s="26"/>
      <c r="Y1111" s="26"/>
      <c r="Z1111" s="26"/>
      <c r="AA1111" s="26"/>
      <c r="AB1111" s="26"/>
      <c r="AC1111" s="26"/>
    </row>
    <row r="1112" ht="33.75" customHeight="1">
      <c r="A1112" s="65" t="s">
        <v>1892</v>
      </c>
      <c r="B1112" s="215" t="s">
        <v>1852</v>
      </c>
      <c r="C1112" s="215" t="s">
        <v>1880</v>
      </c>
      <c r="D1112" s="215" t="s">
        <v>1889</v>
      </c>
      <c r="E1112" s="215" t="s">
        <v>1890</v>
      </c>
      <c r="F1112" s="65"/>
      <c r="G1112" s="65" t="s">
        <v>200</v>
      </c>
      <c r="H1112" s="65" t="s">
        <v>200</v>
      </c>
      <c r="I1112" s="65"/>
      <c r="J1112" s="65" t="s">
        <v>9</v>
      </c>
      <c r="K1112" s="97" t="s">
        <v>9</v>
      </c>
      <c r="L1112" s="128">
        <v>0.5</v>
      </c>
      <c r="M1112" s="180">
        <f t="shared" si="696"/>
        <v>0.75</v>
      </c>
      <c r="N1112" s="128">
        <v>1.0</v>
      </c>
      <c r="O1112" s="129">
        <f t="shared" si="709"/>
        <v>0.75</v>
      </c>
      <c r="P1112" s="159"/>
      <c r="Q1112" s="208">
        <f t="shared" si="710"/>
        <v>0.75</v>
      </c>
      <c r="R1112" s="132"/>
      <c r="S1112" s="132"/>
      <c r="T1112" s="65" t="s">
        <v>32</v>
      </c>
      <c r="U1112" s="26"/>
      <c r="V1112" s="26"/>
      <c r="W1112" s="26"/>
      <c r="X1112" s="26"/>
      <c r="Y1112" s="26"/>
      <c r="Z1112" s="26"/>
      <c r="AA1112" s="26"/>
      <c r="AB1112" s="26"/>
      <c r="AC1112" s="26"/>
    </row>
    <row r="1113" ht="33.75" customHeight="1">
      <c r="A1113" s="65" t="s">
        <v>1893</v>
      </c>
      <c r="B1113" s="215" t="s">
        <v>1852</v>
      </c>
      <c r="C1113" s="215" t="s">
        <v>1880</v>
      </c>
      <c r="D1113" s="215" t="s">
        <v>1889</v>
      </c>
      <c r="E1113" s="215" t="s">
        <v>1890</v>
      </c>
      <c r="F1113" s="65"/>
      <c r="G1113" s="65" t="s">
        <v>200</v>
      </c>
      <c r="H1113" s="65" t="s">
        <v>200</v>
      </c>
      <c r="I1113" s="65"/>
      <c r="J1113" s="65" t="s">
        <v>9</v>
      </c>
      <c r="K1113" s="97" t="s">
        <v>9</v>
      </c>
      <c r="L1113" s="128">
        <v>1.0</v>
      </c>
      <c r="M1113" s="180">
        <f t="shared" si="696"/>
        <v>1.25</v>
      </c>
      <c r="N1113" s="128">
        <v>1.5</v>
      </c>
      <c r="O1113" s="129">
        <f t="shared" si="709"/>
        <v>1.25</v>
      </c>
      <c r="P1113" s="159"/>
      <c r="Q1113" s="208">
        <f t="shared" si="710"/>
        <v>1.25</v>
      </c>
      <c r="R1113" s="132"/>
      <c r="S1113" s="132"/>
      <c r="T1113" s="65" t="s">
        <v>70</v>
      </c>
      <c r="U1113" s="26"/>
      <c r="V1113" s="26"/>
      <c r="W1113" s="26"/>
      <c r="X1113" s="26"/>
      <c r="Y1113" s="26"/>
      <c r="Z1113" s="26"/>
      <c r="AA1113" s="26"/>
      <c r="AB1113" s="26"/>
      <c r="AC1113" s="26"/>
    </row>
    <row r="1114" ht="33.75" customHeight="1">
      <c r="A1114" s="54" t="s">
        <v>1894</v>
      </c>
      <c r="B1114" s="209" t="s">
        <v>1852</v>
      </c>
      <c r="C1114" s="209" t="s">
        <v>1880</v>
      </c>
      <c r="D1114" s="209" t="s">
        <v>1895</v>
      </c>
      <c r="E1114" s="209" t="s">
        <v>1896</v>
      </c>
      <c r="F1114" s="54" t="s">
        <v>1897</v>
      </c>
      <c r="G1114" s="54" t="s">
        <v>168</v>
      </c>
      <c r="H1114" s="54" t="s">
        <v>168</v>
      </c>
      <c r="I1114" s="54"/>
      <c r="J1114" s="54" t="s">
        <v>9</v>
      </c>
      <c r="K1114" s="119" t="s">
        <v>9</v>
      </c>
      <c r="L1114" s="202">
        <f>IF(COUNT(L1115:N1117)=0,"",SUM(L1115:L1117))</f>
        <v>2</v>
      </c>
      <c r="M1114" s="174">
        <f t="shared" si="696"/>
        <v>2.75</v>
      </c>
      <c r="N1114" s="202">
        <f>IF(COUNT(L1115:N1117)=0,"",SUM(N1115:N1117))</f>
        <v>3.5</v>
      </c>
      <c r="O1114" s="202">
        <f>IF(COUNT(O1115:O1117)=0,"",SUM(O1115:O1117))</f>
        <v>2.75</v>
      </c>
      <c r="P1114" s="210"/>
      <c r="Q1114" s="202">
        <f>IF(COUNT(Q1115:Q1117)=0,"",SUM(Q1115:Q1117))</f>
        <v>2.75</v>
      </c>
      <c r="R1114" s="163"/>
      <c r="S1114" s="163"/>
      <c r="T1114" s="54" t="s">
        <v>65</v>
      </c>
      <c r="U1114" s="179"/>
      <c r="V1114" s="179"/>
      <c r="W1114" s="179"/>
      <c r="X1114" s="105"/>
      <c r="Y1114" s="105"/>
      <c r="Z1114" s="105"/>
      <c r="AA1114" s="105"/>
      <c r="AB1114" s="105"/>
      <c r="AC1114" s="105"/>
    </row>
    <row r="1115" ht="41.25" customHeight="1">
      <c r="A1115" s="65" t="s">
        <v>1898</v>
      </c>
      <c r="B1115" s="215" t="s">
        <v>1852</v>
      </c>
      <c r="C1115" s="215" t="s">
        <v>1880</v>
      </c>
      <c r="D1115" s="215" t="s">
        <v>1895</v>
      </c>
      <c r="E1115" s="215" t="s">
        <v>1896</v>
      </c>
      <c r="F1115" s="65" t="s">
        <v>1897</v>
      </c>
      <c r="G1115" s="65" t="s">
        <v>168</v>
      </c>
      <c r="H1115" s="65" t="s">
        <v>168</v>
      </c>
      <c r="I1115" s="65"/>
      <c r="J1115" s="65" t="s">
        <v>9</v>
      </c>
      <c r="K1115" s="97" t="s">
        <v>9</v>
      </c>
      <c r="L1115" s="128">
        <v>0.5</v>
      </c>
      <c r="M1115" s="180">
        <f t="shared" si="696"/>
        <v>0.75</v>
      </c>
      <c r="N1115" s="128">
        <v>1.0</v>
      </c>
      <c r="O1115" s="129">
        <f t="shared" ref="O1115:O1117" si="711">IF(COUNT(L1115:N1115)=0,"",(L1115+4*M1115+N1115)/6)</f>
        <v>0.75</v>
      </c>
      <c r="P1115" s="159"/>
      <c r="Q1115" s="208">
        <f t="shared" ref="Q1115:Q1117" si="712">IF(O1115="","",IF(P1115="",O1115,O1115*(1+P1115)))</f>
        <v>0.75</v>
      </c>
      <c r="R1115" s="132"/>
      <c r="S1115" s="132"/>
      <c r="T1115" s="65" t="s">
        <v>31</v>
      </c>
      <c r="U1115" s="26"/>
      <c r="V1115" s="26"/>
      <c r="W1115" s="26"/>
      <c r="X1115" s="26"/>
      <c r="Y1115" s="26"/>
      <c r="Z1115" s="26"/>
      <c r="AA1115" s="26"/>
      <c r="AB1115" s="26"/>
      <c r="AC1115" s="26"/>
    </row>
    <row r="1116" ht="51.0" customHeight="1">
      <c r="A1116" s="65" t="s">
        <v>1899</v>
      </c>
      <c r="B1116" s="215" t="s">
        <v>1852</v>
      </c>
      <c r="C1116" s="215" t="s">
        <v>1880</v>
      </c>
      <c r="D1116" s="215" t="s">
        <v>1895</v>
      </c>
      <c r="E1116" s="215" t="s">
        <v>1896</v>
      </c>
      <c r="F1116" s="65" t="s">
        <v>1897</v>
      </c>
      <c r="G1116" s="65" t="s">
        <v>168</v>
      </c>
      <c r="H1116" s="65" t="s">
        <v>168</v>
      </c>
      <c r="I1116" s="65"/>
      <c r="J1116" s="65" t="s">
        <v>9</v>
      </c>
      <c r="K1116" s="97" t="s">
        <v>9</v>
      </c>
      <c r="L1116" s="128">
        <v>1.0</v>
      </c>
      <c r="M1116" s="180">
        <f t="shared" si="696"/>
        <v>1.25</v>
      </c>
      <c r="N1116" s="128">
        <v>1.5</v>
      </c>
      <c r="O1116" s="129">
        <f t="shared" si="711"/>
        <v>1.25</v>
      </c>
      <c r="P1116" s="159"/>
      <c r="Q1116" s="208">
        <f t="shared" si="712"/>
        <v>1.25</v>
      </c>
      <c r="R1116" s="132"/>
      <c r="S1116" s="132"/>
      <c r="T1116" s="65" t="s">
        <v>32</v>
      </c>
      <c r="U1116" s="26"/>
      <c r="V1116" s="26"/>
      <c r="W1116" s="26"/>
      <c r="X1116" s="26"/>
      <c r="Y1116" s="26"/>
      <c r="Z1116" s="26"/>
      <c r="AA1116" s="26"/>
      <c r="AB1116" s="26"/>
      <c r="AC1116" s="26"/>
    </row>
    <row r="1117" ht="48.75" customHeight="1">
      <c r="A1117" s="65" t="s">
        <v>1900</v>
      </c>
      <c r="B1117" s="215" t="s">
        <v>1852</v>
      </c>
      <c r="C1117" s="215" t="s">
        <v>1880</v>
      </c>
      <c r="D1117" s="215" t="s">
        <v>1895</v>
      </c>
      <c r="E1117" s="215" t="s">
        <v>1896</v>
      </c>
      <c r="F1117" s="65" t="s">
        <v>1897</v>
      </c>
      <c r="G1117" s="65" t="s">
        <v>168</v>
      </c>
      <c r="H1117" s="65" t="s">
        <v>168</v>
      </c>
      <c r="I1117" s="65"/>
      <c r="J1117" s="65" t="s">
        <v>9</v>
      </c>
      <c r="K1117" s="97" t="s">
        <v>9</v>
      </c>
      <c r="L1117" s="128">
        <v>0.5</v>
      </c>
      <c r="M1117" s="180">
        <f t="shared" si="696"/>
        <v>0.75</v>
      </c>
      <c r="N1117" s="128">
        <v>1.0</v>
      </c>
      <c r="O1117" s="129">
        <f t="shared" si="711"/>
        <v>0.75</v>
      </c>
      <c r="P1117" s="159"/>
      <c r="Q1117" s="208">
        <f t="shared" si="712"/>
        <v>0.75</v>
      </c>
      <c r="R1117" s="132"/>
      <c r="S1117" s="132"/>
      <c r="T1117" s="65" t="s">
        <v>70</v>
      </c>
      <c r="U1117" s="26"/>
      <c r="V1117" s="26"/>
      <c r="W1117" s="26"/>
      <c r="X1117" s="26"/>
      <c r="Y1117" s="26"/>
      <c r="Z1117" s="26"/>
      <c r="AA1117" s="26"/>
      <c r="AB1117" s="26"/>
      <c r="AC1117" s="26"/>
    </row>
    <row r="1118" ht="33.75" customHeight="1">
      <c r="A1118" s="54" t="s">
        <v>1901</v>
      </c>
      <c r="B1118" s="209" t="s">
        <v>1852</v>
      </c>
      <c r="C1118" s="209" t="s">
        <v>1880</v>
      </c>
      <c r="D1118" s="209" t="s">
        <v>1902</v>
      </c>
      <c r="E1118" s="209" t="s">
        <v>1903</v>
      </c>
      <c r="F1118" s="54" t="s">
        <v>1894</v>
      </c>
      <c r="G1118" s="54" t="s">
        <v>168</v>
      </c>
      <c r="H1118" s="54" t="s">
        <v>168</v>
      </c>
      <c r="I1118" s="54"/>
      <c r="J1118" s="54" t="s">
        <v>9</v>
      </c>
      <c r="K1118" s="119" t="s">
        <v>9</v>
      </c>
      <c r="L1118" s="202">
        <f>IF(COUNT(L1119:N1121)=0,"",SUM(L1119:L1121))</f>
        <v>0.5</v>
      </c>
      <c r="M1118" s="174">
        <f t="shared" si="696"/>
        <v>0.75</v>
      </c>
      <c r="N1118" s="202">
        <f>IF(COUNT(L1119:N1121)=0,"",SUM(N1119:N1121))</f>
        <v>1</v>
      </c>
      <c r="O1118" s="202">
        <f>IF(COUNT(O1119:O1121)=0,"",SUM(O1119:O1121))</f>
        <v>0.75</v>
      </c>
      <c r="P1118" s="210"/>
      <c r="Q1118" s="202">
        <f>IF(COUNT(Q1119:Q1121)=0,"",SUM(Q1119:Q1121))</f>
        <v>0.75</v>
      </c>
      <c r="R1118" s="163"/>
      <c r="S1118" s="163"/>
      <c r="T1118" s="54" t="s">
        <v>65</v>
      </c>
      <c r="U1118" s="179"/>
      <c r="V1118" s="179"/>
      <c r="W1118" s="179"/>
      <c r="X1118" s="105"/>
      <c r="Y1118" s="105"/>
      <c r="Z1118" s="105"/>
      <c r="AA1118" s="105"/>
      <c r="AB1118" s="105"/>
      <c r="AC1118" s="105"/>
    </row>
    <row r="1119" ht="33.75" customHeight="1">
      <c r="A1119" s="65" t="s">
        <v>1904</v>
      </c>
      <c r="B1119" s="215" t="s">
        <v>1852</v>
      </c>
      <c r="C1119" s="215" t="s">
        <v>1880</v>
      </c>
      <c r="D1119" s="215" t="s">
        <v>1902</v>
      </c>
      <c r="E1119" s="215" t="s">
        <v>1903</v>
      </c>
      <c r="F1119" s="65" t="s">
        <v>1894</v>
      </c>
      <c r="G1119" s="65" t="s">
        <v>168</v>
      </c>
      <c r="H1119" s="65" t="s">
        <v>168</v>
      </c>
      <c r="I1119" s="65"/>
      <c r="J1119" s="65" t="s">
        <v>9</v>
      </c>
      <c r="K1119" s="97" t="s">
        <v>9</v>
      </c>
      <c r="L1119" s="128">
        <v>0.0</v>
      </c>
      <c r="M1119" s="180">
        <f t="shared" si="696"/>
        <v>0</v>
      </c>
      <c r="N1119" s="128">
        <v>0.0</v>
      </c>
      <c r="O1119" s="129">
        <f t="shared" ref="O1119:O1121" si="713">IF(COUNT(L1119:N1119)=0,"",(L1119+4*M1119+N1119)/6)</f>
        <v>0</v>
      </c>
      <c r="P1119" s="159"/>
      <c r="Q1119" s="208">
        <f t="shared" ref="Q1119:Q1121" si="714">IF(O1119="","",IF(P1119="",O1119,O1119*(1+P1119)))</f>
        <v>0</v>
      </c>
      <c r="R1119" s="132"/>
      <c r="S1119" s="132"/>
      <c r="T1119" s="65" t="s">
        <v>31</v>
      </c>
      <c r="U1119" s="26"/>
      <c r="V1119" s="26"/>
      <c r="W1119" s="26"/>
      <c r="X1119" s="26"/>
      <c r="Y1119" s="26"/>
      <c r="Z1119" s="26"/>
      <c r="AA1119" s="26"/>
      <c r="AB1119" s="26"/>
      <c r="AC1119" s="26"/>
    </row>
    <row r="1120" ht="33.75" customHeight="1">
      <c r="A1120" s="65" t="s">
        <v>1905</v>
      </c>
      <c r="B1120" s="215" t="s">
        <v>1852</v>
      </c>
      <c r="C1120" s="215" t="s">
        <v>1880</v>
      </c>
      <c r="D1120" s="215" t="s">
        <v>1902</v>
      </c>
      <c r="E1120" s="215" t="s">
        <v>1903</v>
      </c>
      <c r="F1120" s="65" t="s">
        <v>1894</v>
      </c>
      <c r="G1120" s="65" t="s">
        <v>168</v>
      </c>
      <c r="H1120" s="65" t="s">
        <v>168</v>
      </c>
      <c r="I1120" s="65"/>
      <c r="J1120" s="65" t="s">
        <v>9</v>
      </c>
      <c r="K1120" s="97" t="s">
        <v>9</v>
      </c>
      <c r="L1120" s="128">
        <v>0.25</v>
      </c>
      <c r="M1120" s="180">
        <f t="shared" si="696"/>
        <v>0.375</v>
      </c>
      <c r="N1120" s="128">
        <v>0.5</v>
      </c>
      <c r="O1120" s="129">
        <f t="shared" si="713"/>
        <v>0.375</v>
      </c>
      <c r="P1120" s="159"/>
      <c r="Q1120" s="208">
        <f t="shared" si="714"/>
        <v>0.375</v>
      </c>
      <c r="R1120" s="132"/>
      <c r="S1120" s="132"/>
      <c r="T1120" s="65" t="s">
        <v>32</v>
      </c>
      <c r="U1120" s="26"/>
      <c r="V1120" s="26"/>
      <c r="W1120" s="26"/>
      <c r="X1120" s="26"/>
      <c r="Y1120" s="26"/>
      <c r="Z1120" s="26"/>
      <c r="AA1120" s="26"/>
      <c r="AB1120" s="26"/>
      <c r="AC1120" s="26"/>
    </row>
    <row r="1121" ht="33.75" customHeight="1">
      <c r="A1121" s="65" t="s">
        <v>1906</v>
      </c>
      <c r="B1121" s="215" t="s">
        <v>1852</v>
      </c>
      <c r="C1121" s="215" t="s">
        <v>1880</v>
      </c>
      <c r="D1121" s="215" t="s">
        <v>1902</v>
      </c>
      <c r="E1121" s="215" t="s">
        <v>1903</v>
      </c>
      <c r="F1121" s="65" t="s">
        <v>1894</v>
      </c>
      <c r="G1121" s="65" t="s">
        <v>168</v>
      </c>
      <c r="H1121" s="65" t="s">
        <v>168</v>
      </c>
      <c r="I1121" s="65"/>
      <c r="J1121" s="65" t="s">
        <v>9</v>
      </c>
      <c r="K1121" s="97" t="s">
        <v>9</v>
      </c>
      <c r="L1121" s="128">
        <v>0.25</v>
      </c>
      <c r="M1121" s="180">
        <f t="shared" si="696"/>
        <v>0.375</v>
      </c>
      <c r="N1121" s="128">
        <v>0.5</v>
      </c>
      <c r="O1121" s="129">
        <f t="shared" si="713"/>
        <v>0.375</v>
      </c>
      <c r="P1121" s="159"/>
      <c r="Q1121" s="208">
        <f t="shared" si="714"/>
        <v>0.375</v>
      </c>
      <c r="R1121" s="132"/>
      <c r="S1121" s="132"/>
      <c r="T1121" s="65" t="s">
        <v>70</v>
      </c>
      <c r="U1121" s="26"/>
      <c r="V1121" s="26"/>
      <c r="W1121" s="26"/>
      <c r="X1121" s="26"/>
      <c r="Y1121" s="26"/>
      <c r="Z1121" s="26"/>
      <c r="AA1121" s="26"/>
      <c r="AB1121" s="26"/>
      <c r="AC1121" s="26"/>
    </row>
    <row r="1122" ht="33.75" customHeight="1">
      <c r="A1122" s="45" t="s">
        <v>1907</v>
      </c>
      <c r="B1122" s="212" t="s">
        <v>1852</v>
      </c>
      <c r="C1122" s="212" t="s">
        <v>1908</v>
      </c>
      <c r="D1122" s="212" t="s">
        <v>1908</v>
      </c>
      <c r="E1122" s="212" t="s">
        <v>1909</v>
      </c>
      <c r="F1122" s="45"/>
      <c r="G1122" s="45"/>
      <c r="H1122" s="45"/>
      <c r="I1122" s="45"/>
      <c r="J1122" s="45"/>
      <c r="K1122" s="123"/>
      <c r="L1122" s="213">
        <f>IF(COUNT(L1123,L1127,L1131)=0,"",SUM(L1123,L1127,L1131))</f>
        <v>6</v>
      </c>
      <c r="M1122" s="213">
        <f t="shared" si="696"/>
        <v>8.25</v>
      </c>
      <c r="N1122" s="213">
        <f t="shared" ref="N1122:O1122" si="715">IF(COUNT(N1123,N1127,N1131)=0,"",SUM(N1123,N1127,N1131))</f>
        <v>10.5</v>
      </c>
      <c r="O1122" s="213">
        <f t="shared" si="715"/>
        <v>8.25</v>
      </c>
      <c r="P1122" s="214"/>
      <c r="Q1122" s="213">
        <f>IF(COUNT(Q1123,Q1127,Q1131)=0,"",SUM(Q1123,Q1127,Q1131))</f>
        <v>8.25</v>
      </c>
      <c r="R1122" s="126"/>
      <c r="S1122" s="126"/>
      <c r="T1122" s="45" t="s">
        <v>62</v>
      </c>
      <c r="U1122" s="26"/>
      <c r="V1122" s="26"/>
      <c r="W1122" s="26"/>
      <c r="X1122" s="46">
        <f t="shared" ref="X1122:AA1122" si="716">L1122</f>
        <v>6</v>
      </c>
      <c r="Y1122" s="46">
        <f t="shared" si="716"/>
        <v>8.25</v>
      </c>
      <c r="Z1122" s="46">
        <f t="shared" si="716"/>
        <v>10.5</v>
      </c>
      <c r="AA1122" s="46">
        <f t="shared" si="716"/>
        <v>8.25</v>
      </c>
      <c r="AB1122" s="26"/>
      <c r="AC1122" s="46">
        <f>Q1122</f>
        <v>8.25</v>
      </c>
    </row>
    <row r="1123" ht="33.75" customHeight="1">
      <c r="A1123" s="54" t="s">
        <v>1910</v>
      </c>
      <c r="B1123" s="209" t="s">
        <v>1852</v>
      </c>
      <c r="C1123" s="209" t="s">
        <v>1908</v>
      </c>
      <c r="D1123" s="209" t="s">
        <v>1911</v>
      </c>
      <c r="E1123" s="209" t="s">
        <v>1912</v>
      </c>
      <c r="F1123" s="54" t="s">
        <v>1913</v>
      </c>
      <c r="G1123" s="54" t="s">
        <v>168</v>
      </c>
      <c r="H1123" s="54" t="s">
        <v>168</v>
      </c>
      <c r="I1123" s="54"/>
      <c r="J1123" s="54" t="s">
        <v>9</v>
      </c>
      <c r="K1123" s="119" t="s">
        <v>9</v>
      </c>
      <c r="L1123" s="202">
        <f>IF(COUNT(L1124:N1126)=0,"",SUM(L1124:L1126))</f>
        <v>2</v>
      </c>
      <c r="M1123" s="174">
        <f t="shared" si="696"/>
        <v>2.75</v>
      </c>
      <c r="N1123" s="202">
        <f>IF(COUNT(L1124:N1126)=0,"",SUM(N1124:N1126))</f>
        <v>3.5</v>
      </c>
      <c r="O1123" s="202">
        <f>IF(COUNT(O1124:O1126)=0,"",SUM(O1124:O1126))</f>
        <v>2.75</v>
      </c>
      <c r="P1123" s="210"/>
      <c r="Q1123" s="202">
        <f>IF(COUNT(Q1124:Q1126)=0,"",SUM(Q1124:Q1126))</f>
        <v>2.75</v>
      </c>
      <c r="R1123" s="163"/>
      <c r="S1123" s="163"/>
      <c r="T1123" s="54" t="s">
        <v>65</v>
      </c>
      <c r="U1123" s="179"/>
      <c r="V1123" s="179"/>
      <c r="W1123" s="179"/>
      <c r="X1123" s="105"/>
      <c r="Y1123" s="105"/>
      <c r="Z1123" s="105"/>
      <c r="AA1123" s="105"/>
      <c r="AB1123" s="179"/>
      <c r="AC1123" s="105"/>
    </row>
    <row r="1124" ht="33.75" customHeight="1">
      <c r="A1124" s="65" t="s">
        <v>1914</v>
      </c>
      <c r="B1124" s="215" t="s">
        <v>1852</v>
      </c>
      <c r="C1124" s="215" t="s">
        <v>1908</v>
      </c>
      <c r="D1124" s="215" t="s">
        <v>1911</v>
      </c>
      <c r="E1124" s="215" t="s">
        <v>1912</v>
      </c>
      <c r="F1124" s="65" t="s">
        <v>1913</v>
      </c>
      <c r="G1124" s="65" t="s">
        <v>168</v>
      </c>
      <c r="H1124" s="65" t="s">
        <v>168</v>
      </c>
      <c r="I1124" s="65"/>
      <c r="J1124" s="65" t="s">
        <v>9</v>
      </c>
      <c r="K1124" s="97" t="s">
        <v>9</v>
      </c>
      <c r="L1124" s="128">
        <v>0.5</v>
      </c>
      <c r="M1124" s="180">
        <f t="shared" si="696"/>
        <v>0.75</v>
      </c>
      <c r="N1124" s="128">
        <v>1.0</v>
      </c>
      <c r="O1124" s="129">
        <f t="shared" ref="O1124:O1126" si="717">IF(COUNT(L1124:N1124)=0,"",(L1124+4*M1124+N1124)/6)</f>
        <v>0.75</v>
      </c>
      <c r="P1124" s="159"/>
      <c r="Q1124" s="208">
        <f t="shared" ref="Q1124:Q1126" si="718">IF(O1124="","",IF(P1124="",O1124,O1124*(1+P1124)))</f>
        <v>0.75</v>
      </c>
      <c r="R1124" s="132"/>
      <c r="S1124" s="132"/>
      <c r="T1124" s="65" t="s">
        <v>31</v>
      </c>
      <c r="U1124" s="26"/>
      <c r="V1124" s="26"/>
      <c r="W1124" s="26"/>
      <c r="X1124" s="26"/>
      <c r="Y1124" s="26"/>
      <c r="Z1124" s="26"/>
      <c r="AA1124" s="26"/>
      <c r="AB1124" s="26"/>
      <c r="AC1124" s="26"/>
    </row>
    <row r="1125" ht="33.75" customHeight="1">
      <c r="A1125" s="65" t="s">
        <v>1915</v>
      </c>
      <c r="B1125" s="215" t="s">
        <v>1852</v>
      </c>
      <c r="C1125" s="215" t="s">
        <v>1908</v>
      </c>
      <c r="D1125" s="215" t="s">
        <v>1911</v>
      </c>
      <c r="E1125" s="215" t="s">
        <v>1912</v>
      </c>
      <c r="F1125" s="65" t="s">
        <v>1913</v>
      </c>
      <c r="G1125" s="65" t="s">
        <v>168</v>
      </c>
      <c r="H1125" s="65" t="s">
        <v>168</v>
      </c>
      <c r="I1125" s="65"/>
      <c r="J1125" s="65" t="s">
        <v>9</v>
      </c>
      <c r="K1125" s="97" t="s">
        <v>9</v>
      </c>
      <c r="L1125" s="128">
        <v>1.0</v>
      </c>
      <c r="M1125" s="180">
        <f t="shared" si="696"/>
        <v>1.25</v>
      </c>
      <c r="N1125" s="128">
        <v>1.5</v>
      </c>
      <c r="O1125" s="129">
        <f t="shared" si="717"/>
        <v>1.25</v>
      </c>
      <c r="P1125" s="159"/>
      <c r="Q1125" s="208">
        <f t="shared" si="718"/>
        <v>1.25</v>
      </c>
      <c r="R1125" s="132"/>
      <c r="S1125" s="132"/>
      <c r="T1125" s="65" t="s">
        <v>32</v>
      </c>
      <c r="U1125" s="26"/>
      <c r="V1125" s="26"/>
      <c r="W1125" s="26"/>
      <c r="X1125" s="26"/>
      <c r="Y1125" s="26"/>
      <c r="Z1125" s="26"/>
      <c r="AA1125" s="26"/>
      <c r="AB1125" s="26"/>
      <c r="AC1125" s="26"/>
    </row>
    <row r="1126" ht="33.75" customHeight="1">
      <c r="A1126" s="65" t="s">
        <v>1916</v>
      </c>
      <c r="B1126" s="215" t="s">
        <v>1852</v>
      </c>
      <c r="C1126" s="215" t="s">
        <v>1908</v>
      </c>
      <c r="D1126" s="215" t="s">
        <v>1911</v>
      </c>
      <c r="E1126" s="215" t="s">
        <v>1912</v>
      </c>
      <c r="F1126" s="65" t="s">
        <v>1913</v>
      </c>
      <c r="G1126" s="65" t="s">
        <v>168</v>
      </c>
      <c r="H1126" s="65" t="s">
        <v>168</v>
      </c>
      <c r="I1126" s="65"/>
      <c r="J1126" s="65" t="s">
        <v>9</v>
      </c>
      <c r="K1126" s="97" t="s">
        <v>9</v>
      </c>
      <c r="L1126" s="128">
        <v>0.5</v>
      </c>
      <c r="M1126" s="180">
        <f t="shared" si="696"/>
        <v>0.75</v>
      </c>
      <c r="N1126" s="128">
        <v>1.0</v>
      </c>
      <c r="O1126" s="129">
        <f t="shared" si="717"/>
        <v>0.75</v>
      </c>
      <c r="P1126" s="159"/>
      <c r="Q1126" s="208">
        <f t="shared" si="718"/>
        <v>0.75</v>
      </c>
      <c r="R1126" s="132"/>
      <c r="S1126" s="132"/>
      <c r="T1126" s="65" t="s">
        <v>70</v>
      </c>
      <c r="U1126" s="26"/>
      <c r="V1126" s="26"/>
      <c r="W1126" s="26"/>
      <c r="X1126" s="26"/>
      <c r="Y1126" s="26"/>
      <c r="Z1126" s="26"/>
      <c r="AA1126" s="26"/>
      <c r="AB1126" s="26"/>
      <c r="AC1126" s="26"/>
    </row>
    <row r="1127" ht="33.75" customHeight="1">
      <c r="A1127" s="54" t="s">
        <v>1917</v>
      </c>
      <c r="B1127" s="209" t="s">
        <v>1852</v>
      </c>
      <c r="C1127" s="209" t="s">
        <v>1908</v>
      </c>
      <c r="D1127" s="209" t="s">
        <v>1918</v>
      </c>
      <c r="E1127" s="209" t="s">
        <v>1919</v>
      </c>
      <c r="F1127" s="54" t="s">
        <v>1920</v>
      </c>
      <c r="G1127" s="54" t="s">
        <v>168</v>
      </c>
      <c r="H1127" s="54" t="s">
        <v>168</v>
      </c>
      <c r="I1127" s="54"/>
      <c r="J1127" s="54" t="s">
        <v>9</v>
      </c>
      <c r="K1127" s="119" t="s">
        <v>9</v>
      </c>
      <c r="L1127" s="202">
        <f>IF(COUNT(L1128:N1130)=0,"",SUM(L1128:L1130))</f>
        <v>2</v>
      </c>
      <c r="M1127" s="174">
        <f t="shared" si="696"/>
        <v>2.75</v>
      </c>
      <c r="N1127" s="202">
        <f>IF(COUNT(L1128:N1130)=0,"",SUM(N1128:N1130))</f>
        <v>3.5</v>
      </c>
      <c r="O1127" s="202">
        <f>IF(COUNT(O1128:O1130)=0,"",SUM(O1128:O1130))</f>
        <v>2.75</v>
      </c>
      <c r="P1127" s="210"/>
      <c r="Q1127" s="202">
        <f>IF(COUNT(Q1128:Q1130)=0,"",SUM(Q1128:Q1130))</f>
        <v>2.75</v>
      </c>
      <c r="R1127" s="163"/>
      <c r="S1127" s="163"/>
      <c r="T1127" s="54" t="s">
        <v>65</v>
      </c>
      <c r="U1127" s="179"/>
      <c r="V1127" s="179"/>
      <c r="W1127" s="179"/>
      <c r="X1127" s="105"/>
      <c r="Y1127" s="105"/>
      <c r="Z1127" s="105"/>
      <c r="AA1127" s="105"/>
      <c r="AB1127" s="105"/>
      <c r="AC1127" s="105"/>
    </row>
    <row r="1128" ht="33.75" customHeight="1">
      <c r="A1128" s="65" t="s">
        <v>1921</v>
      </c>
      <c r="B1128" s="215" t="s">
        <v>1852</v>
      </c>
      <c r="C1128" s="215" t="s">
        <v>1908</v>
      </c>
      <c r="D1128" s="215" t="s">
        <v>1918</v>
      </c>
      <c r="E1128" s="215" t="s">
        <v>1919</v>
      </c>
      <c r="F1128" s="65" t="s">
        <v>1920</v>
      </c>
      <c r="G1128" s="65" t="s">
        <v>168</v>
      </c>
      <c r="H1128" s="65" t="s">
        <v>168</v>
      </c>
      <c r="I1128" s="65"/>
      <c r="J1128" s="65" t="s">
        <v>9</v>
      </c>
      <c r="K1128" s="97" t="s">
        <v>9</v>
      </c>
      <c r="L1128" s="128">
        <v>0.5</v>
      </c>
      <c r="M1128" s="180">
        <f t="shared" si="696"/>
        <v>0.75</v>
      </c>
      <c r="N1128" s="128">
        <v>1.0</v>
      </c>
      <c r="O1128" s="129">
        <f t="shared" ref="O1128:O1130" si="719">IF(COUNT(L1128:N1128)=0,"",(L1128+4*M1128+N1128)/6)</f>
        <v>0.75</v>
      </c>
      <c r="P1128" s="159"/>
      <c r="Q1128" s="208">
        <f t="shared" ref="Q1128:Q1130" si="720">IF(O1128="","",IF(P1128="",O1128,O1128*(1+P1128)))</f>
        <v>0.75</v>
      </c>
      <c r="R1128" s="132"/>
      <c r="S1128" s="132"/>
      <c r="T1128" s="65" t="s">
        <v>31</v>
      </c>
      <c r="U1128" s="26"/>
      <c r="V1128" s="26"/>
      <c r="W1128" s="26"/>
      <c r="X1128" s="26"/>
      <c r="Y1128" s="26"/>
      <c r="Z1128" s="26"/>
      <c r="AA1128" s="26"/>
      <c r="AB1128" s="26"/>
      <c r="AC1128" s="26"/>
    </row>
    <row r="1129" ht="33.75" customHeight="1">
      <c r="A1129" s="65" t="s">
        <v>1922</v>
      </c>
      <c r="B1129" s="215" t="s">
        <v>1852</v>
      </c>
      <c r="C1129" s="215" t="s">
        <v>1908</v>
      </c>
      <c r="D1129" s="215" t="s">
        <v>1918</v>
      </c>
      <c r="E1129" s="215" t="s">
        <v>1919</v>
      </c>
      <c r="F1129" s="65" t="s">
        <v>1920</v>
      </c>
      <c r="G1129" s="65" t="s">
        <v>168</v>
      </c>
      <c r="H1129" s="65" t="s">
        <v>168</v>
      </c>
      <c r="I1129" s="65"/>
      <c r="J1129" s="65" t="s">
        <v>9</v>
      </c>
      <c r="K1129" s="97" t="s">
        <v>9</v>
      </c>
      <c r="L1129" s="128">
        <v>1.0</v>
      </c>
      <c r="M1129" s="180">
        <f t="shared" si="696"/>
        <v>1.25</v>
      </c>
      <c r="N1129" s="128">
        <v>1.5</v>
      </c>
      <c r="O1129" s="129">
        <f t="shared" si="719"/>
        <v>1.25</v>
      </c>
      <c r="P1129" s="159"/>
      <c r="Q1129" s="208">
        <f t="shared" si="720"/>
        <v>1.25</v>
      </c>
      <c r="R1129" s="132"/>
      <c r="S1129" s="132"/>
      <c r="T1129" s="65" t="s">
        <v>32</v>
      </c>
      <c r="U1129" s="26"/>
      <c r="V1129" s="26"/>
      <c r="W1129" s="26"/>
      <c r="X1129" s="26"/>
      <c r="Y1129" s="26"/>
      <c r="Z1129" s="26"/>
      <c r="AA1129" s="26"/>
      <c r="AB1129" s="26"/>
      <c r="AC1129" s="26"/>
    </row>
    <row r="1130" ht="33.75" customHeight="1">
      <c r="A1130" s="65" t="s">
        <v>1923</v>
      </c>
      <c r="B1130" s="215" t="s">
        <v>1852</v>
      </c>
      <c r="C1130" s="215" t="s">
        <v>1908</v>
      </c>
      <c r="D1130" s="215" t="s">
        <v>1918</v>
      </c>
      <c r="E1130" s="215" t="s">
        <v>1919</v>
      </c>
      <c r="F1130" s="65" t="s">
        <v>1920</v>
      </c>
      <c r="G1130" s="65" t="s">
        <v>168</v>
      </c>
      <c r="H1130" s="65" t="s">
        <v>168</v>
      </c>
      <c r="I1130" s="65"/>
      <c r="J1130" s="65" t="s">
        <v>9</v>
      </c>
      <c r="K1130" s="97" t="s">
        <v>9</v>
      </c>
      <c r="L1130" s="128">
        <v>0.5</v>
      </c>
      <c r="M1130" s="180">
        <f t="shared" si="696"/>
        <v>0.75</v>
      </c>
      <c r="N1130" s="128">
        <v>1.0</v>
      </c>
      <c r="O1130" s="129">
        <f t="shared" si="719"/>
        <v>0.75</v>
      </c>
      <c r="P1130" s="159"/>
      <c r="Q1130" s="208">
        <f t="shared" si="720"/>
        <v>0.75</v>
      </c>
      <c r="R1130" s="132"/>
      <c r="S1130" s="132"/>
      <c r="T1130" s="65" t="s">
        <v>70</v>
      </c>
      <c r="U1130" s="26"/>
      <c r="V1130" s="26"/>
      <c r="W1130" s="26"/>
      <c r="X1130" s="26"/>
      <c r="Y1130" s="26"/>
      <c r="Z1130" s="26"/>
      <c r="AA1130" s="26"/>
      <c r="AB1130" s="26"/>
      <c r="AC1130" s="26"/>
    </row>
    <row r="1131" ht="33.75" customHeight="1">
      <c r="A1131" s="54" t="s">
        <v>1924</v>
      </c>
      <c r="B1131" s="209" t="s">
        <v>1852</v>
      </c>
      <c r="C1131" s="209" t="s">
        <v>1908</v>
      </c>
      <c r="D1131" s="209" t="s">
        <v>1925</v>
      </c>
      <c r="E1131" s="209" t="s">
        <v>1926</v>
      </c>
      <c r="F1131" s="54" t="s">
        <v>1910</v>
      </c>
      <c r="G1131" s="54" t="s">
        <v>168</v>
      </c>
      <c r="H1131" s="54" t="s">
        <v>168</v>
      </c>
      <c r="I1131" s="54"/>
      <c r="J1131" s="54" t="s">
        <v>9</v>
      </c>
      <c r="K1131" s="119" t="s">
        <v>9</v>
      </c>
      <c r="L1131" s="202">
        <f>IF(COUNT(L1132:N1134)=0,"",SUM(L1132:L1134))</f>
        <v>2</v>
      </c>
      <c r="M1131" s="174">
        <f t="shared" si="696"/>
        <v>2.75</v>
      </c>
      <c r="N1131" s="202">
        <f>IF(COUNT(L1132:N1134)=0,"",SUM(N1132:N1134))</f>
        <v>3.5</v>
      </c>
      <c r="O1131" s="202">
        <f>IF(COUNT(O1132:O1134)=0,"",SUM(O1132:O1134))</f>
        <v>2.75</v>
      </c>
      <c r="P1131" s="210"/>
      <c r="Q1131" s="202">
        <f>IF(COUNT(Q1132:Q1134)=0,"",SUM(Q1132:Q1134))</f>
        <v>2.75</v>
      </c>
      <c r="R1131" s="163"/>
      <c r="S1131" s="163"/>
      <c r="T1131" s="54" t="s">
        <v>65</v>
      </c>
      <c r="U1131" s="179"/>
      <c r="V1131" s="179"/>
      <c r="W1131" s="179"/>
      <c r="X1131" s="105"/>
      <c r="Y1131" s="105"/>
      <c r="Z1131" s="105"/>
      <c r="AA1131" s="105"/>
      <c r="AB1131" s="105"/>
      <c r="AC1131" s="105"/>
    </row>
    <row r="1132" ht="33.75" customHeight="1">
      <c r="A1132" s="65" t="s">
        <v>1927</v>
      </c>
      <c r="B1132" s="215" t="s">
        <v>1852</v>
      </c>
      <c r="C1132" s="215" t="s">
        <v>1908</v>
      </c>
      <c r="D1132" s="215" t="s">
        <v>1925</v>
      </c>
      <c r="E1132" s="215" t="s">
        <v>1926</v>
      </c>
      <c r="F1132" s="65" t="s">
        <v>1910</v>
      </c>
      <c r="G1132" s="65" t="s">
        <v>168</v>
      </c>
      <c r="H1132" s="65" t="s">
        <v>168</v>
      </c>
      <c r="I1132" s="65"/>
      <c r="J1132" s="65" t="s">
        <v>9</v>
      </c>
      <c r="K1132" s="97" t="s">
        <v>9</v>
      </c>
      <c r="L1132" s="128">
        <v>0.5</v>
      </c>
      <c r="M1132" s="180">
        <f t="shared" si="696"/>
        <v>0.75</v>
      </c>
      <c r="N1132" s="128">
        <v>1.0</v>
      </c>
      <c r="O1132" s="129">
        <f t="shared" ref="O1132:O1134" si="721">IF(COUNT(L1132:N1132)=0,"",(L1132+4*M1132+N1132)/6)</f>
        <v>0.75</v>
      </c>
      <c r="P1132" s="159"/>
      <c r="Q1132" s="208">
        <f t="shared" ref="Q1132:Q1134" si="722">IF(O1132="","",IF(P1132="",O1132,O1132*(1+P1132)))</f>
        <v>0.75</v>
      </c>
      <c r="R1132" s="132"/>
      <c r="S1132" s="132"/>
      <c r="T1132" s="65" t="s">
        <v>31</v>
      </c>
      <c r="U1132" s="26"/>
      <c r="V1132" s="26"/>
      <c r="W1132" s="26"/>
      <c r="X1132" s="105"/>
      <c r="Y1132" s="105"/>
      <c r="Z1132" s="105"/>
      <c r="AA1132" s="105"/>
      <c r="AB1132" s="105"/>
      <c r="AC1132" s="105"/>
    </row>
    <row r="1133" ht="33.75" customHeight="1">
      <c r="A1133" s="65" t="s">
        <v>1928</v>
      </c>
      <c r="B1133" s="215" t="s">
        <v>1852</v>
      </c>
      <c r="C1133" s="215" t="s">
        <v>1908</v>
      </c>
      <c r="D1133" s="215" t="s">
        <v>1925</v>
      </c>
      <c r="E1133" s="215" t="s">
        <v>1926</v>
      </c>
      <c r="F1133" s="65" t="s">
        <v>1910</v>
      </c>
      <c r="G1133" s="65" t="s">
        <v>168</v>
      </c>
      <c r="H1133" s="65" t="s">
        <v>168</v>
      </c>
      <c r="I1133" s="65"/>
      <c r="J1133" s="65" t="s">
        <v>9</v>
      </c>
      <c r="K1133" s="65" t="s">
        <v>9</v>
      </c>
      <c r="L1133" s="128">
        <v>1.0</v>
      </c>
      <c r="M1133" s="180">
        <f t="shared" si="696"/>
        <v>1.25</v>
      </c>
      <c r="N1133" s="128">
        <v>1.5</v>
      </c>
      <c r="O1133" s="129">
        <f t="shared" si="721"/>
        <v>1.25</v>
      </c>
      <c r="P1133" s="159"/>
      <c r="Q1133" s="208">
        <f t="shared" si="722"/>
        <v>1.25</v>
      </c>
      <c r="R1133" s="132"/>
      <c r="S1133" s="132"/>
      <c r="T1133" s="65" t="s">
        <v>32</v>
      </c>
      <c r="U1133" s="26"/>
      <c r="V1133" s="26"/>
      <c r="W1133" s="26"/>
      <c r="X1133" s="26"/>
      <c r="Y1133" s="26"/>
      <c r="Z1133" s="26"/>
      <c r="AA1133" s="26"/>
      <c r="AB1133" s="26"/>
      <c r="AC1133" s="26"/>
    </row>
    <row r="1134" ht="33.75" customHeight="1">
      <c r="A1134" s="65" t="s">
        <v>1929</v>
      </c>
      <c r="B1134" s="215" t="s">
        <v>1852</v>
      </c>
      <c r="C1134" s="215" t="s">
        <v>1908</v>
      </c>
      <c r="D1134" s="215" t="s">
        <v>1925</v>
      </c>
      <c r="E1134" s="215" t="s">
        <v>1926</v>
      </c>
      <c r="F1134" s="65" t="s">
        <v>1910</v>
      </c>
      <c r="G1134" s="65" t="s">
        <v>168</v>
      </c>
      <c r="H1134" s="65" t="s">
        <v>168</v>
      </c>
      <c r="I1134" s="65"/>
      <c r="J1134" s="65" t="s">
        <v>9</v>
      </c>
      <c r="K1134" s="65" t="s">
        <v>9</v>
      </c>
      <c r="L1134" s="128">
        <v>0.5</v>
      </c>
      <c r="M1134" s="180">
        <f t="shared" si="696"/>
        <v>0.75</v>
      </c>
      <c r="N1134" s="128">
        <v>1.0</v>
      </c>
      <c r="O1134" s="129">
        <f t="shared" si="721"/>
        <v>0.75</v>
      </c>
      <c r="P1134" s="159"/>
      <c r="Q1134" s="208">
        <f t="shared" si="722"/>
        <v>0.75</v>
      </c>
      <c r="R1134" s="132"/>
      <c r="S1134" s="132"/>
      <c r="T1134" s="65" t="s">
        <v>70</v>
      </c>
      <c r="U1134" s="26"/>
      <c r="V1134" s="26"/>
      <c r="W1134" s="26"/>
      <c r="X1134" s="26"/>
      <c r="Y1134" s="26"/>
      <c r="Z1134" s="26"/>
      <c r="AA1134" s="26"/>
      <c r="AB1134" s="26"/>
      <c r="AC1134" s="26"/>
    </row>
    <row r="1135" ht="33.75" customHeight="1">
      <c r="A1135" s="45" t="s">
        <v>1930</v>
      </c>
      <c r="B1135" s="212" t="s">
        <v>1852</v>
      </c>
      <c r="C1135" s="212" t="s">
        <v>1931</v>
      </c>
      <c r="D1135" s="212" t="s">
        <v>1931</v>
      </c>
      <c r="E1135" s="212" t="s">
        <v>1932</v>
      </c>
      <c r="F1135" s="45"/>
      <c r="G1135" s="45"/>
      <c r="H1135" s="45"/>
      <c r="I1135" s="45"/>
      <c r="J1135" s="45"/>
      <c r="K1135" s="123"/>
      <c r="L1135" s="213">
        <f>IF(COUNT(L1136,L1140,L1144,L1148,L1152)=0,"",SUM(L1136,L1140,L1144,L1148,L1152))</f>
        <v>7.5</v>
      </c>
      <c r="M1135" s="213">
        <f t="shared" si="696"/>
        <v>10.5</v>
      </c>
      <c r="N1135" s="213">
        <f t="shared" ref="N1135:O1135" si="723">IF(COUNT(N1136,N1140,N1144,N1148,N1152)=0,"",SUM(N1136,N1140,N1144,N1148,N1152))</f>
        <v>13.5</v>
      </c>
      <c r="O1135" s="213">
        <f t="shared" si="723"/>
        <v>10.5</v>
      </c>
      <c r="P1135" s="214"/>
      <c r="Q1135" s="213">
        <f>IF(COUNT(Q1136,Q1140,Q1144,Q1148,Q1152)=0,"",SUM(Q1136,Q1140,Q1144,Q1148,Q1152))</f>
        <v>10.5</v>
      </c>
      <c r="R1135" s="126"/>
      <c r="S1135" s="126"/>
      <c r="T1135" s="45" t="s">
        <v>62</v>
      </c>
      <c r="U1135" s="26"/>
      <c r="V1135" s="26"/>
      <c r="W1135" s="26"/>
      <c r="X1135" s="46">
        <f t="shared" ref="X1135:AA1135" si="724">L1135</f>
        <v>7.5</v>
      </c>
      <c r="Y1135" s="46">
        <f t="shared" si="724"/>
        <v>10.5</v>
      </c>
      <c r="Z1135" s="46">
        <f t="shared" si="724"/>
        <v>13.5</v>
      </c>
      <c r="AA1135" s="46">
        <f t="shared" si="724"/>
        <v>10.5</v>
      </c>
      <c r="AB1135" s="26"/>
      <c r="AC1135" s="46">
        <f>Q1135</f>
        <v>10.5</v>
      </c>
    </row>
    <row r="1136" ht="33.75" customHeight="1">
      <c r="A1136" s="54" t="s">
        <v>1933</v>
      </c>
      <c r="B1136" s="209" t="s">
        <v>1852</v>
      </c>
      <c r="C1136" s="209" t="s">
        <v>1931</v>
      </c>
      <c r="D1136" s="209" t="s">
        <v>1934</v>
      </c>
      <c r="E1136" s="209" t="s">
        <v>1935</v>
      </c>
      <c r="F1136" s="54" t="s">
        <v>1894</v>
      </c>
      <c r="G1136" s="54" t="s">
        <v>168</v>
      </c>
      <c r="H1136" s="54" t="s">
        <v>168</v>
      </c>
      <c r="I1136" s="54"/>
      <c r="J1136" s="54" t="s">
        <v>9</v>
      </c>
      <c r="K1136" s="119" t="s">
        <v>9</v>
      </c>
      <c r="L1136" s="202">
        <f>IF(COUNT(L1137:N1139)=0,"",SUM(L1137:L1139))</f>
        <v>2</v>
      </c>
      <c r="M1136" s="174">
        <f t="shared" si="696"/>
        <v>2.75</v>
      </c>
      <c r="N1136" s="202">
        <f>IF(COUNT(L1137:N1139)=0,"",SUM(N1137:N1139))</f>
        <v>3.5</v>
      </c>
      <c r="O1136" s="202">
        <f>IF(COUNT(O1137:O1139)=0,"",SUM(O1137:O1139))</f>
        <v>2.75</v>
      </c>
      <c r="P1136" s="210"/>
      <c r="Q1136" s="202">
        <f>IF(COUNT(Q1137:Q1139)=0,"",SUM(Q1137:Q1139))</f>
        <v>2.75</v>
      </c>
      <c r="R1136" s="163"/>
      <c r="S1136" s="163"/>
      <c r="T1136" s="54" t="s">
        <v>65</v>
      </c>
      <c r="U1136" s="179"/>
      <c r="V1136" s="179"/>
      <c r="W1136" s="179"/>
      <c r="X1136" s="105"/>
      <c r="Y1136" s="105"/>
      <c r="Z1136" s="105"/>
      <c r="AA1136" s="105"/>
      <c r="AB1136" s="179"/>
      <c r="AC1136" s="105"/>
    </row>
    <row r="1137" ht="33.75" customHeight="1">
      <c r="A1137" s="65" t="s">
        <v>1936</v>
      </c>
      <c r="B1137" s="215" t="s">
        <v>1852</v>
      </c>
      <c r="C1137" s="215" t="s">
        <v>1931</v>
      </c>
      <c r="D1137" s="215" t="s">
        <v>1934</v>
      </c>
      <c r="E1137" s="215" t="s">
        <v>1935</v>
      </c>
      <c r="F1137" s="65" t="s">
        <v>1894</v>
      </c>
      <c r="G1137" s="65" t="s">
        <v>168</v>
      </c>
      <c r="H1137" s="65" t="s">
        <v>168</v>
      </c>
      <c r="I1137" s="65"/>
      <c r="J1137" s="65" t="s">
        <v>9</v>
      </c>
      <c r="K1137" s="65" t="s">
        <v>9</v>
      </c>
      <c r="L1137" s="128">
        <v>1.0</v>
      </c>
      <c r="M1137" s="180">
        <f t="shared" si="696"/>
        <v>1.25</v>
      </c>
      <c r="N1137" s="128">
        <v>1.5</v>
      </c>
      <c r="O1137" s="129">
        <f t="shared" ref="O1137:O1139" si="725">IF(COUNT(L1137:N1137)=0,"",(L1137+4*M1137+N1137)/6)</f>
        <v>1.25</v>
      </c>
      <c r="P1137" s="159"/>
      <c r="Q1137" s="208">
        <f t="shared" ref="Q1137:Q1139" si="726">IF(O1137="","",IF(P1137="",O1137,O1137*(1+P1137)))</f>
        <v>1.25</v>
      </c>
      <c r="R1137" s="132"/>
      <c r="S1137" s="132"/>
      <c r="T1137" s="65" t="s">
        <v>31</v>
      </c>
      <c r="U1137" s="26"/>
      <c r="V1137" s="26"/>
      <c r="W1137" s="26"/>
      <c r="X1137" s="26"/>
      <c r="Y1137" s="26"/>
      <c r="Z1137" s="26"/>
      <c r="AA1137" s="26"/>
      <c r="AB1137" s="26"/>
      <c r="AC1137" s="26"/>
    </row>
    <row r="1138" ht="33.75" customHeight="1">
      <c r="A1138" s="65" t="s">
        <v>1937</v>
      </c>
      <c r="B1138" s="215" t="s">
        <v>1852</v>
      </c>
      <c r="C1138" s="215" t="s">
        <v>1931</v>
      </c>
      <c r="D1138" s="215" t="s">
        <v>1934</v>
      </c>
      <c r="E1138" s="215" t="s">
        <v>1935</v>
      </c>
      <c r="F1138" s="65" t="s">
        <v>1894</v>
      </c>
      <c r="G1138" s="65" t="s">
        <v>168</v>
      </c>
      <c r="H1138" s="65" t="s">
        <v>168</v>
      </c>
      <c r="I1138" s="65"/>
      <c r="J1138" s="65" t="s">
        <v>9</v>
      </c>
      <c r="K1138" s="65" t="s">
        <v>9</v>
      </c>
      <c r="L1138" s="128">
        <v>0.5</v>
      </c>
      <c r="M1138" s="180">
        <f t="shared" si="696"/>
        <v>0.75</v>
      </c>
      <c r="N1138" s="128">
        <v>1.0</v>
      </c>
      <c r="O1138" s="129">
        <f t="shared" si="725"/>
        <v>0.75</v>
      </c>
      <c r="P1138" s="159"/>
      <c r="Q1138" s="208">
        <f t="shared" si="726"/>
        <v>0.75</v>
      </c>
      <c r="R1138" s="132"/>
      <c r="S1138" s="132"/>
      <c r="T1138" s="65" t="s">
        <v>32</v>
      </c>
      <c r="U1138" s="26"/>
      <c r="V1138" s="26"/>
      <c r="W1138" s="26"/>
      <c r="X1138" s="26"/>
      <c r="Y1138" s="26"/>
      <c r="Z1138" s="26"/>
      <c r="AA1138" s="26"/>
      <c r="AB1138" s="26"/>
      <c r="AC1138" s="26"/>
    </row>
    <row r="1139" ht="33.75" customHeight="1">
      <c r="A1139" s="65" t="s">
        <v>1938</v>
      </c>
      <c r="B1139" s="215" t="s">
        <v>1852</v>
      </c>
      <c r="C1139" s="215" t="s">
        <v>1931</v>
      </c>
      <c r="D1139" s="215" t="s">
        <v>1934</v>
      </c>
      <c r="E1139" s="215" t="s">
        <v>1935</v>
      </c>
      <c r="F1139" s="65" t="s">
        <v>1894</v>
      </c>
      <c r="G1139" s="65" t="s">
        <v>168</v>
      </c>
      <c r="H1139" s="65" t="s">
        <v>168</v>
      </c>
      <c r="I1139" s="65"/>
      <c r="J1139" s="65" t="s">
        <v>9</v>
      </c>
      <c r="K1139" s="65" t="s">
        <v>9</v>
      </c>
      <c r="L1139" s="128">
        <v>0.5</v>
      </c>
      <c r="M1139" s="180">
        <f t="shared" si="696"/>
        <v>0.75</v>
      </c>
      <c r="N1139" s="128">
        <v>1.0</v>
      </c>
      <c r="O1139" s="129">
        <f t="shared" si="725"/>
        <v>0.75</v>
      </c>
      <c r="P1139" s="159"/>
      <c r="Q1139" s="208">
        <f t="shared" si="726"/>
        <v>0.75</v>
      </c>
      <c r="R1139" s="132"/>
      <c r="S1139" s="132"/>
      <c r="T1139" s="65" t="s">
        <v>70</v>
      </c>
      <c r="U1139" s="26"/>
      <c r="V1139" s="26"/>
      <c r="W1139" s="26"/>
      <c r="X1139" s="26"/>
      <c r="Y1139" s="26"/>
      <c r="Z1139" s="26"/>
      <c r="AA1139" s="26"/>
      <c r="AB1139" s="26"/>
      <c r="AC1139" s="26"/>
    </row>
    <row r="1140" ht="33.75" customHeight="1">
      <c r="A1140" s="54" t="s">
        <v>1939</v>
      </c>
      <c r="B1140" s="209" t="s">
        <v>1852</v>
      </c>
      <c r="C1140" s="209" t="s">
        <v>1931</v>
      </c>
      <c r="D1140" s="209" t="s">
        <v>1940</v>
      </c>
      <c r="E1140" s="209" t="s">
        <v>1941</v>
      </c>
      <c r="F1140" s="54" t="s">
        <v>1894</v>
      </c>
      <c r="G1140" s="54" t="s">
        <v>168</v>
      </c>
      <c r="H1140" s="54" t="s">
        <v>168</v>
      </c>
      <c r="I1140" s="54"/>
      <c r="J1140" s="54" t="s">
        <v>9</v>
      </c>
      <c r="K1140" s="54" t="s">
        <v>9</v>
      </c>
      <c r="L1140" s="202">
        <f>IF(COUNT(L1141:N1143)=0,"",SUM(L1141:L1143))</f>
        <v>0.5</v>
      </c>
      <c r="M1140" s="174">
        <f t="shared" si="696"/>
        <v>0.75</v>
      </c>
      <c r="N1140" s="202">
        <f>IF(COUNT(L1141:N1143)=0,"",SUM(N1141:N1143))</f>
        <v>1</v>
      </c>
      <c r="O1140" s="202">
        <f>IF(COUNT(O1141:O1143)=0,"",SUM(O1141:O1143))</f>
        <v>0.75</v>
      </c>
      <c r="P1140" s="210"/>
      <c r="Q1140" s="202">
        <f>IF(COUNT(Q1141:Q1143)=0,"",SUM(Q1141:Q1143))</f>
        <v>0.75</v>
      </c>
      <c r="R1140" s="163"/>
      <c r="S1140" s="163"/>
      <c r="T1140" s="54" t="s">
        <v>65</v>
      </c>
      <c r="U1140" s="179"/>
      <c r="V1140" s="179"/>
      <c r="W1140" s="179"/>
      <c r="X1140" s="105"/>
      <c r="Y1140" s="105"/>
      <c r="Z1140" s="105"/>
      <c r="AA1140" s="105"/>
      <c r="AB1140" s="105"/>
      <c r="AC1140" s="105"/>
    </row>
    <row r="1141" ht="33.75" customHeight="1">
      <c r="A1141" s="65" t="s">
        <v>1942</v>
      </c>
      <c r="B1141" s="215" t="s">
        <v>1852</v>
      </c>
      <c r="C1141" s="215" t="s">
        <v>1931</v>
      </c>
      <c r="D1141" s="215" t="s">
        <v>1940</v>
      </c>
      <c r="E1141" s="215" t="s">
        <v>1941</v>
      </c>
      <c r="F1141" s="65" t="s">
        <v>1894</v>
      </c>
      <c r="G1141" s="65" t="s">
        <v>168</v>
      </c>
      <c r="H1141" s="65" t="s">
        <v>168</v>
      </c>
      <c r="I1141" s="65"/>
      <c r="J1141" s="65" t="s">
        <v>9</v>
      </c>
      <c r="K1141" s="65" t="s">
        <v>9</v>
      </c>
      <c r="L1141" s="128">
        <v>0.0</v>
      </c>
      <c r="M1141" s="180">
        <f t="shared" si="696"/>
        <v>0</v>
      </c>
      <c r="N1141" s="128">
        <v>0.0</v>
      </c>
      <c r="O1141" s="129">
        <f t="shared" ref="O1141:O1143" si="727">IF(COUNT(L1141:N1141)=0,"",(L1141+4*M1141+N1141)/6)</f>
        <v>0</v>
      </c>
      <c r="P1141" s="159"/>
      <c r="Q1141" s="208">
        <f t="shared" ref="Q1141:Q1143" si="728">IF(O1141="","",IF(P1141="",O1141,O1141*(1+P1141)))</f>
        <v>0</v>
      </c>
      <c r="R1141" s="132"/>
      <c r="S1141" s="132"/>
      <c r="T1141" s="65" t="s">
        <v>31</v>
      </c>
      <c r="U1141" s="26"/>
      <c r="V1141" s="26"/>
      <c r="W1141" s="26"/>
      <c r="X1141" s="26"/>
      <c r="Y1141" s="26"/>
      <c r="Z1141" s="26"/>
      <c r="AA1141" s="26"/>
      <c r="AB1141" s="26"/>
      <c r="AC1141" s="26"/>
    </row>
    <row r="1142" ht="33.75" customHeight="1">
      <c r="A1142" s="65" t="s">
        <v>1943</v>
      </c>
      <c r="B1142" s="215" t="s">
        <v>1852</v>
      </c>
      <c r="C1142" s="215" t="s">
        <v>1931</v>
      </c>
      <c r="D1142" s="215" t="s">
        <v>1940</v>
      </c>
      <c r="E1142" s="215" t="s">
        <v>1941</v>
      </c>
      <c r="F1142" s="65" t="s">
        <v>1894</v>
      </c>
      <c r="G1142" s="65" t="s">
        <v>168</v>
      </c>
      <c r="H1142" s="65" t="s">
        <v>168</v>
      </c>
      <c r="I1142" s="65"/>
      <c r="J1142" s="65" t="s">
        <v>9</v>
      </c>
      <c r="K1142" s="65" t="s">
        <v>9</v>
      </c>
      <c r="L1142" s="128">
        <v>0.0</v>
      </c>
      <c r="M1142" s="180">
        <f t="shared" si="696"/>
        <v>0</v>
      </c>
      <c r="N1142" s="128">
        <v>0.0</v>
      </c>
      <c r="O1142" s="129">
        <f t="shared" si="727"/>
        <v>0</v>
      </c>
      <c r="P1142" s="159"/>
      <c r="Q1142" s="208">
        <f t="shared" si="728"/>
        <v>0</v>
      </c>
      <c r="R1142" s="132"/>
      <c r="S1142" s="132"/>
      <c r="T1142" s="65" t="s">
        <v>32</v>
      </c>
      <c r="U1142" s="26"/>
      <c r="V1142" s="26"/>
      <c r="W1142" s="26"/>
      <c r="X1142" s="26"/>
      <c r="Y1142" s="26"/>
      <c r="Z1142" s="26"/>
      <c r="AA1142" s="26"/>
      <c r="AB1142" s="26"/>
      <c r="AC1142" s="26"/>
    </row>
    <row r="1143" ht="33.75" customHeight="1">
      <c r="A1143" s="65" t="s">
        <v>1944</v>
      </c>
      <c r="B1143" s="215" t="s">
        <v>1852</v>
      </c>
      <c r="C1143" s="215" t="s">
        <v>1931</v>
      </c>
      <c r="D1143" s="215" t="s">
        <v>1940</v>
      </c>
      <c r="E1143" s="215" t="s">
        <v>1941</v>
      </c>
      <c r="F1143" s="65" t="s">
        <v>1894</v>
      </c>
      <c r="G1143" s="65" t="s">
        <v>168</v>
      </c>
      <c r="H1143" s="65" t="s">
        <v>168</v>
      </c>
      <c r="I1143" s="65"/>
      <c r="J1143" s="65" t="s">
        <v>9</v>
      </c>
      <c r="K1143" s="65" t="s">
        <v>9</v>
      </c>
      <c r="L1143" s="128">
        <v>0.5</v>
      </c>
      <c r="M1143" s="180">
        <f t="shared" si="696"/>
        <v>0.75</v>
      </c>
      <c r="N1143" s="128">
        <v>1.0</v>
      </c>
      <c r="O1143" s="129">
        <f t="shared" si="727"/>
        <v>0.75</v>
      </c>
      <c r="P1143" s="159"/>
      <c r="Q1143" s="208">
        <f t="shared" si="728"/>
        <v>0.75</v>
      </c>
      <c r="R1143" s="132"/>
      <c r="S1143" s="132"/>
      <c r="T1143" s="65" t="s">
        <v>70</v>
      </c>
      <c r="U1143" s="26"/>
      <c r="V1143" s="26"/>
      <c r="W1143" s="26"/>
      <c r="X1143" s="26"/>
      <c r="Y1143" s="26"/>
      <c r="Z1143" s="26"/>
      <c r="AA1143" s="26"/>
      <c r="AB1143" s="26"/>
      <c r="AC1143" s="26"/>
    </row>
    <row r="1144" ht="33.75" customHeight="1">
      <c r="A1144" s="54" t="s">
        <v>1945</v>
      </c>
      <c r="B1144" s="209" t="s">
        <v>1852</v>
      </c>
      <c r="C1144" s="209" t="s">
        <v>1931</v>
      </c>
      <c r="D1144" s="209" t="s">
        <v>1946</v>
      </c>
      <c r="E1144" s="209" t="s">
        <v>1947</v>
      </c>
      <c r="F1144" s="54" t="s">
        <v>1894</v>
      </c>
      <c r="G1144" s="54" t="s">
        <v>168</v>
      </c>
      <c r="H1144" s="54" t="s">
        <v>168</v>
      </c>
      <c r="I1144" s="54"/>
      <c r="J1144" s="54" t="s">
        <v>9</v>
      </c>
      <c r="K1144" s="54" t="s">
        <v>9</v>
      </c>
      <c r="L1144" s="202">
        <f>IF(COUNT(L1145:N1147)=0,"",SUM(L1145:L1147))</f>
        <v>2</v>
      </c>
      <c r="M1144" s="174">
        <f t="shared" si="696"/>
        <v>2.75</v>
      </c>
      <c r="N1144" s="202">
        <f>IF(COUNT(L1145:N1147)=0,"",SUM(N1145:N1147))</f>
        <v>3.5</v>
      </c>
      <c r="O1144" s="202">
        <f>IF(COUNT(O1145:O1147)=0,"",SUM(O1145:O1147))</f>
        <v>2.75</v>
      </c>
      <c r="P1144" s="210"/>
      <c r="Q1144" s="202">
        <f>IF(COUNT(Q1145:Q1147)=0,"",SUM(Q1145:Q1147))</f>
        <v>2.75</v>
      </c>
      <c r="R1144" s="163"/>
      <c r="S1144" s="163"/>
      <c r="T1144" s="54" t="s">
        <v>65</v>
      </c>
      <c r="U1144" s="179"/>
      <c r="V1144" s="179"/>
      <c r="W1144" s="179"/>
      <c r="X1144" s="105"/>
      <c r="Y1144" s="105"/>
      <c r="Z1144" s="105"/>
      <c r="AA1144" s="105"/>
      <c r="AB1144" s="105"/>
      <c r="AC1144" s="105"/>
    </row>
    <row r="1145" ht="33.75" customHeight="1">
      <c r="A1145" s="65" t="s">
        <v>1948</v>
      </c>
      <c r="B1145" s="215" t="s">
        <v>1852</v>
      </c>
      <c r="C1145" s="215" t="s">
        <v>1931</v>
      </c>
      <c r="D1145" s="215" t="s">
        <v>1946</v>
      </c>
      <c r="E1145" s="215" t="s">
        <v>1947</v>
      </c>
      <c r="F1145" s="65" t="s">
        <v>1894</v>
      </c>
      <c r="G1145" s="65" t="s">
        <v>168</v>
      </c>
      <c r="H1145" s="65" t="s">
        <v>168</v>
      </c>
      <c r="I1145" s="65"/>
      <c r="J1145" s="65" t="s">
        <v>9</v>
      </c>
      <c r="K1145" s="65" t="s">
        <v>9</v>
      </c>
      <c r="L1145" s="128">
        <v>1.0</v>
      </c>
      <c r="M1145" s="180">
        <f t="shared" si="696"/>
        <v>1.25</v>
      </c>
      <c r="N1145" s="128">
        <v>1.5</v>
      </c>
      <c r="O1145" s="129">
        <f t="shared" ref="O1145:O1147" si="729">IF(COUNT(L1145:N1145)=0,"",(L1145+4*M1145+N1145)/6)</f>
        <v>1.25</v>
      </c>
      <c r="P1145" s="159"/>
      <c r="Q1145" s="208">
        <f t="shared" ref="Q1145:Q1147" si="730">IF(O1145="","",IF(P1145="",O1145,O1145*(1+P1145)))</f>
        <v>1.25</v>
      </c>
      <c r="R1145" s="132"/>
      <c r="S1145" s="132"/>
      <c r="T1145" s="65" t="s">
        <v>31</v>
      </c>
      <c r="U1145" s="26"/>
      <c r="V1145" s="26"/>
      <c r="W1145" s="26"/>
      <c r="X1145" s="26"/>
      <c r="Y1145" s="26"/>
      <c r="Z1145" s="26"/>
      <c r="AA1145" s="26"/>
      <c r="AB1145" s="26"/>
      <c r="AC1145" s="26"/>
    </row>
    <row r="1146" ht="33.75" customHeight="1">
      <c r="A1146" s="65" t="s">
        <v>1949</v>
      </c>
      <c r="B1146" s="215" t="s">
        <v>1852</v>
      </c>
      <c r="C1146" s="215" t="s">
        <v>1931</v>
      </c>
      <c r="D1146" s="215" t="s">
        <v>1946</v>
      </c>
      <c r="E1146" s="215" t="s">
        <v>1947</v>
      </c>
      <c r="F1146" s="65" t="s">
        <v>1894</v>
      </c>
      <c r="G1146" s="65" t="s">
        <v>168</v>
      </c>
      <c r="H1146" s="65" t="s">
        <v>168</v>
      </c>
      <c r="I1146" s="65"/>
      <c r="J1146" s="65" t="s">
        <v>9</v>
      </c>
      <c r="K1146" s="65" t="s">
        <v>9</v>
      </c>
      <c r="L1146" s="128">
        <v>0.5</v>
      </c>
      <c r="M1146" s="180">
        <f t="shared" si="696"/>
        <v>0.75</v>
      </c>
      <c r="N1146" s="128">
        <v>1.0</v>
      </c>
      <c r="O1146" s="129">
        <f t="shared" si="729"/>
        <v>0.75</v>
      </c>
      <c r="P1146" s="159"/>
      <c r="Q1146" s="208">
        <f t="shared" si="730"/>
        <v>0.75</v>
      </c>
      <c r="R1146" s="132"/>
      <c r="S1146" s="132"/>
      <c r="T1146" s="65" t="s">
        <v>32</v>
      </c>
      <c r="U1146" s="26"/>
      <c r="V1146" s="26"/>
      <c r="W1146" s="26"/>
      <c r="X1146" s="26"/>
      <c r="Y1146" s="26"/>
      <c r="Z1146" s="26"/>
      <c r="AA1146" s="26"/>
      <c r="AB1146" s="26"/>
      <c r="AC1146" s="26"/>
    </row>
    <row r="1147" ht="33.75" customHeight="1">
      <c r="A1147" s="65" t="s">
        <v>1950</v>
      </c>
      <c r="B1147" s="215" t="s">
        <v>1852</v>
      </c>
      <c r="C1147" s="215" t="s">
        <v>1931</v>
      </c>
      <c r="D1147" s="215" t="s">
        <v>1946</v>
      </c>
      <c r="E1147" s="215" t="s">
        <v>1947</v>
      </c>
      <c r="F1147" s="65" t="s">
        <v>1894</v>
      </c>
      <c r="G1147" s="65" t="s">
        <v>168</v>
      </c>
      <c r="H1147" s="65" t="s">
        <v>168</v>
      </c>
      <c r="I1147" s="65"/>
      <c r="J1147" s="65" t="s">
        <v>9</v>
      </c>
      <c r="K1147" s="65" t="s">
        <v>9</v>
      </c>
      <c r="L1147" s="128">
        <v>0.5</v>
      </c>
      <c r="M1147" s="180">
        <f t="shared" si="696"/>
        <v>0.75</v>
      </c>
      <c r="N1147" s="128">
        <v>1.0</v>
      </c>
      <c r="O1147" s="129">
        <f t="shared" si="729"/>
        <v>0.75</v>
      </c>
      <c r="P1147" s="159"/>
      <c r="Q1147" s="208">
        <f t="shared" si="730"/>
        <v>0.75</v>
      </c>
      <c r="R1147" s="132"/>
      <c r="S1147" s="132"/>
      <c r="T1147" s="65" t="s">
        <v>70</v>
      </c>
      <c r="U1147" s="26"/>
      <c r="V1147" s="26"/>
      <c r="W1147" s="26"/>
      <c r="X1147" s="26"/>
      <c r="Y1147" s="26"/>
      <c r="Z1147" s="26"/>
      <c r="AA1147" s="26"/>
      <c r="AB1147" s="26"/>
      <c r="AC1147" s="26"/>
    </row>
    <row r="1148" ht="33.75" customHeight="1">
      <c r="A1148" s="54" t="s">
        <v>1951</v>
      </c>
      <c r="B1148" s="209" t="s">
        <v>1852</v>
      </c>
      <c r="C1148" s="209" t="s">
        <v>1931</v>
      </c>
      <c r="D1148" s="209" t="s">
        <v>1952</v>
      </c>
      <c r="E1148" s="209" t="s">
        <v>1953</v>
      </c>
      <c r="F1148" s="54" t="s">
        <v>1894</v>
      </c>
      <c r="G1148" s="54" t="s">
        <v>168</v>
      </c>
      <c r="H1148" s="54" t="s">
        <v>168</v>
      </c>
      <c r="I1148" s="54"/>
      <c r="J1148" s="54" t="s">
        <v>9</v>
      </c>
      <c r="K1148" s="54" t="s">
        <v>9</v>
      </c>
      <c r="L1148" s="202">
        <f>IF(COUNT(L1149:N1151)=0,"",SUM(L1149:L1151))</f>
        <v>1.75</v>
      </c>
      <c r="M1148" s="174">
        <f t="shared" si="696"/>
        <v>2.625</v>
      </c>
      <c r="N1148" s="202">
        <f>IF(COUNT(L1149:N1151)=0,"",SUM(N1149:N1151))</f>
        <v>3.5</v>
      </c>
      <c r="O1148" s="202">
        <f>IF(COUNT(O1149:O1151)=0,"",SUM(O1149:O1151))</f>
        <v>2.625</v>
      </c>
      <c r="P1148" s="210"/>
      <c r="Q1148" s="202">
        <f>IF(COUNT(Q1149:Q1151)=0,"",SUM(Q1149:Q1151))</f>
        <v>2.625</v>
      </c>
      <c r="R1148" s="163"/>
      <c r="S1148" s="163"/>
      <c r="T1148" s="54" t="s">
        <v>65</v>
      </c>
      <c r="U1148" s="179"/>
      <c r="V1148" s="179"/>
      <c r="W1148" s="179"/>
      <c r="X1148" s="105"/>
      <c r="Y1148" s="105"/>
      <c r="Z1148" s="105"/>
      <c r="AA1148" s="105"/>
      <c r="AB1148" s="105"/>
      <c r="AC1148" s="105"/>
    </row>
    <row r="1149" ht="33.75" customHeight="1">
      <c r="A1149" s="65" t="s">
        <v>1954</v>
      </c>
      <c r="B1149" s="215" t="s">
        <v>1852</v>
      </c>
      <c r="C1149" s="215" t="s">
        <v>1931</v>
      </c>
      <c r="D1149" s="215" t="s">
        <v>1952</v>
      </c>
      <c r="E1149" s="215" t="s">
        <v>1953</v>
      </c>
      <c r="F1149" s="65" t="s">
        <v>1894</v>
      </c>
      <c r="G1149" s="65" t="s">
        <v>168</v>
      </c>
      <c r="H1149" s="65" t="s">
        <v>168</v>
      </c>
      <c r="I1149" s="65"/>
      <c r="J1149" s="65" t="s">
        <v>9</v>
      </c>
      <c r="K1149" s="65" t="s">
        <v>9</v>
      </c>
      <c r="L1149" s="128">
        <v>0.25</v>
      </c>
      <c r="M1149" s="180">
        <f t="shared" si="696"/>
        <v>0.375</v>
      </c>
      <c r="N1149" s="128">
        <v>0.5</v>
      </c>
      <c r="O1149" s="129">
        <f t="shared" ref="O1149:O1151" si="731">IF(COUNT(L1149:N1149)=0,"",(L1149+4*M1149+N1149)/6)</f>
        <v>0.375</v>
      </c>
      <c r="P1149" s="159"/>
      <c r="Q1149" s="208">
        <f t="shared" ref="Q1149:Q1151" si="732">IF(O1149="","",IF(P1149="",O1149,O1149*(1+P1149)))</f>
        <v>0.375</v>
      </c>
      <c r="R1149" s="132"/>
      <c r="S1149" s="132"/>
      <c r="T1149" s="65" t="s">
        <v>31</v>
      </c>
      <c r="U1149" s="26"/>
      <c r="V1149" s="26"/>
      <c r="W1149" s="26"/>
      <c r="X1149" s="26"/>
      <c r="Y1149" s="26"/>
      <c r="Z1149" s="26"/>
      <c r="AA1149" s="26"/>
      <c r="AB1149" s="26"/>
      <c r="AC1149" s="26"/>
    </row>
    <row r="1150" ht="33.75" customHeight="1">
      <c r="A1150" s="65" t="s">
        <v>1955</v>
      </c>
      <c r="B1150" s="215" t="s">
        <v>1852</v>
      </c>
      <c r="C1150" s="215" t="s">
        <v>1931</v>
      </c>
      <c r="D1150" s="215" t="s">
        <v>1952</v>
      </c>
      <c r="E1150" s="215" t="s">
        <v>1953</v>
      </c>
      <c r="F1150" s="65" t="s">
        <v>1894</v>
      </c>
      <c r="G1150" s="65" t="s">
        <v>168</v>
      </c>
      <c r="H1150" s="65" t="s">
        <v>168</v>
      </c>
      <c r="I1150" s="65"/>
      <c r="J1150" s="65" t="s">
        <v>9</v>
      </c>
      <c r="K1150" s="65" t="s">
        <v>9</v>
      </c>
      <c r="L1150" s="128">
        <v>1.0</v>
      </c>
      <c r="M1150" s="180">
        <f t="shared" si="696"/>
        <v>1.5</v>
      </c>
      <c r="N1150" s="128">
        <v>2.0</v>
      </c>
      <c r="O1150" s="129">
        <f t="shared" si="731"/>
        <v>1.5</v>
      </c>
      <c r="P1150" s="159"/>
      <c r="Q1150" s="208">
        <f t="shared" si="732"/>
        <v>1.5</v>
      </c>
      <c r="R1150" s="132"/>
      <c r="S1150" s="132"/>
      <c r="T1150" s="65" t="s">
        <v>32</v>
      </c>
      <c r="U1150" s="26"/>
      <c r="V1150" s="26"/>
      <c r="W1150" s="26"/>
      <c r="X1150" s="26"/>
      <c r="Y1150" s="26"/>
      <c r="Z1150" s="26"/>
      <c r="AA1150" s="26"/>
      <c r="AB1150" s="26"/>
      <c r="AC1150" s="26"/>
    </row>
    <row r="1151" ht="33.75" customHeight="1">
      <c r="A1151" s="65" t="s">
        <v>1956</v>
      </c>
      <c r="B1151" s="215" t="s">
        <v>1852</v>
      </c>
      <c r="C1151" s="215" t="s">
        <v>1931</v>
      </c>
      <c r="D1151" s="215" t="s">
        <v>1952</v>
      </c>
      <c r="E1151" s="215" t="s">
        <v>1953</v>
      </c>
      <c r="F1151" s="65" t="s">
        <v>1894</v>
      </c>
      <c r="G1151" s="65" t="s">
        <v>168</v>
      </c>
      <c r="H1151" s="65" t="s">
        <v>168</v>
      </c>
      <c r="I1151" s="65"/>
      <c r="J1151" s="65" t="s">
        <v>9</v>
      </c>
      <c r="K1151" s="65" t="s">
        <v>9</v>
      </c>
      <c r="L1151" s="128">
        <v>0.5</v>
      </c>
      <c r="M1151" s="180">
        <f t="shared" si="696"/>
        <v>0.75</v>
      </c>
      <c r="N1151" s="128">
        <v>1.0</v>
      </c>
      <c r="O1151" s="129">
        <f t="shared" si="731"/>
        <v>0.75</v>
      </c>
      <c r="P1151" s="159"/>
      <c r="Q1151" s="208">
        <f t="shared" si="732"/>
        <v>0.75</v>
      </c>
      <c r="R1151" s="132"/>
      <c r="S1151" s="132"/>
      <c r="T1151" s="65" t="s">
        <v>70</v>
      </c>
      <c r="U1151" s="26"/>
      <c r="V1151" s="26"/>
      <c r="W1151" s="26"/>
      <c r="X1151" s="26"/>
      <c r="Y1151" s="26"/>
      <c r="Z1151" s="26"/>
      <c r="AA1151" s="26"/>
      <c r="AB1151" s="26"/>
      <c r="AC1151" s="26"/>
    </row>
    <row r="1152" ht="33.75" customHeight="1">
      <c r="A1152" s="54" t="s">
        <v>1957</v>
      </c>
      <c r="B1152" s="209" t="s">
        <v>1852</v>
      </c>
      <c r="C1152" s="209" t="s">
        <v>1931</v>
      </c>
      <c r="D1152" s="209" t="s">
        <v>1958</v>
      </c>
      <c r="E1152" s="209" t="s">
        <v>1959</v>
      </c>
      <c r="F1152" s="54" t="s">
        <v>1894</v>
      </c>
      <c r="G1152" s="54" t="s">
        <v>154</v>
      </c>
      <c r="H1152" s="54" t="s">
        <v>154</v>
      </c>
      <c r="I1152" s="54"/>
      <c r="J1152" s="54" t="s">
        <v>9</v>
      </c>
      <c r="K1152" s="54" t="s">
        <v>9</v>
      </c>
      <c r="L1152" s="202">
        <f>IF(COUNT(L1153:N1155)=0,"",SUM(L1153:L1155))</f>
        <v>1.25</v>
      </c>
      <c r="M1152" s="174">
        <f t="shared" si="696"/>
        <v>1.625</v>
      </c>
      <c r="N1152" s="202">
        <f>IF(COUNT(L1153:N1155)=0,"",SUM(N1153:N1155))</f>
        <v>2</v>
      </c>
      <c r="O1152" s="202">
        <f>IF(COUNT(O1153:O1155)=0,"",SUM(O1153:O1155))</f>
        <v>1.625</v>
      </c>
      <c r="P1152" s="210"/>
      <c r="Q1152" s="202">
        <f>IF(COUNT(Q1153:Q1155)=0,"",SUM(Q1153:Q1155))</f>
        <v>1.625</v>
      </c>
      <c r="R1152" s="163"/>
      <c r="S1152" s="163"/>
      <c r="T1152" s="54" t="s">
        <v>65</v>
      </c>
      <c r="U1152" s="179"/>
      <c r="V1152" s="179"/>
      <c r="W1152" s="179"/>
      <c r="X1152" s="105"/>
      <c r="Y1152" s="105"/>
      <c r="Z1152" s="105"/>
      <c r="AA1152" s="105"/>
      <c r="AB1152" s="105"/>
      <c r="AC1152" s="105"/>
    </row>
    <row r="1153" ht="33.75" customHeight="1">
      <c r="A1153" s="65" t="s">
        <v>1960</v>
      </c>
      <c r="B1153" s="215" t="s">
        <v>1852</v>
      </c>
      <c r="C1153" s="215" t="s">
        <v>1931</v>
      </c>
      <c r="D1153" s="215" t="s">
        <v>1958</v>
      </c>
      <c r="E1153" s="215" t="s">
        <v>1959</v>
      </c>
      <c r="F1153" s="65" t="s">
        <v>1894</v>
      </c>
      <c r="G1153" s="65" t="s">
        <v>154</v>
      </c>
      <c r="H1153" s="65" t="s">
        <v>154</v>
      </c>
      <c r="I1153" s="65"/>
      <c r="J1153" s="65" t="s">
        <v>9</v>
      </c>
      <c r="K1153" s="65" t="s">
        <v>9</v>
      </c>
      <c r="L1153" s="128">
        <v>0.5</v>
      </c>
      <c r="M1153" s="180">
        <f t="shared" si="696"/>
        <v>0.625</v>
      </c>
      <c r="N1153" s="128">
        <v>0.75</v>
      </c>
      <c r="O1153" s="129">
        <f t="shared" ref="O1153:O1155" si="733">IF(COUNT(L1153:N1153)=0,"",(L1153+4*M1153+N1153)/6)</f>
        <v>0.625</v>
      </c>
      <c r="P1153" s="159"/>
      <c r="Q1153" s="208">
        <f t="shared" ref="Q1153:Q1155" si="734">IF(O1153="","",IF(P1153="",O1153,O1153*(1+P1153)))</f>
        <v>0.625</v>
      </c>
      <c r="R1153" s="132"/>
      <c r="S1153" s="132"/>
      <c r="T1153" s="65" t="s">
        <v>31</v>
      </c>
      <c r="U1153" s="26"/>
      <c r="V1153" s="26"/>
      <c r="W1153" s="26"/>
      <c r="X1153" s="26"/>
      <c r="Y1153" s="26"/>
      <c r="Z1153" s="26"/>
      <c r="AA1153" s="26"/>
      <c r="AB1153" s="26"/>
      <c r="AC1153" s="26"/>
    </row>
    <row r="1154" ht="33.75" customHeight="1">
      <c r="A1154" s="65" t="s">
        <v>1961</v>
      </c>
      <c r="B1154" s="215" t="s">
        <v>1852</v>
      </c>
      <c r="C1154" s="215" t="s">
        <v>1931</v>
      </c>
      <c r="D1154" s="215" t="s">
        <v>1958</v>
      </c>
      <c r="E1154" s="215" t="s">
        <v>1959</v>
      </c>
      <c r="F1154" s="65" t="s">
        <v>1894</v>
      </c>
      <c r="G1154" s="65" t="s">
        <v>154</v>
      </c>
      <c r="H1154" s="65" t="s">
        <v>154</v>
      </c>
      <c r="I1154" s="65"/>
      <c r="J1154" s="65" t="s">
        <v>9</v>
      </c>
      <c r="K1154" s="65" t="s">
        <v>9</v>
      </c>
      <c r="L1154" s="128">
        <v>0.5</v>
      </c>
      <c r="M1154" s="180">
        <f t="shared" si="696"/>
        <v>0.625</v>
      </c>
      <c r="N1154" s="128">
        <v>0.75</v>
      </c>
      <c r="O1154" s="129">
        <f t="shared" si="733"/>
        <v>0.625</v>
      </c>
      <c r="P1154" s="159"/>
      <c r="Q1154" s="208">
        <f t="shared" si="734"/>
        <v>0.625</v>
      </c>
      <c r="R1154" s="132"/>
      <c r="S1154" s="132"/>
      <c r="T1154" s="65" t="s">
        <v>32</v>
      </c>
      <c r="U1154" s="26"/>
      <c r="V1154" s="26"/>
      <c r="W1154" s="26"/>
      <c r="X1154" s="26"/>
      <c r="Y1154" s="26"/>
      <c r="Z1154" s="26"/>
      <c r="AA1154" s="26"/>
      <c r="AB1154" s="26"/>
      <c r="AC1154" s="26"/>
    </row>
    <row r="1155" ht="33.75" customHeight="1">
      <c r="A1155" s="65" t="s">
        <v>1962</v>
      </c>
      <c r="B1155" s="215" t="s">
        <v>1852</v>
      </c>
      <c r="C1155" s="215" t="s">
        <v>1931</v>
      </c>
      <c r="D1155" s="215" t="s">
        <v>1958</v>
      </c>
      <c r="E1155" s="215" t="s">
        <v>1959</v>
      </c>
      <c r="F1155" s="65" t="s">
        <v>1894</v>
      </c>
      <c r="G1155" s="65" t="s">
        <v>154</v>
      </c>
      <c r="H1155" s="65" t="s">
        <v>154</v>
      </c>
      <c r="I1155" s="65"/>
      <c r="J1155" s="65" t="s">
        <v>9</v>
      </c>
      <c r="K1155" s="65" t="s">
        <v>9</v>
      </c>
      <c r="L1155" s="128">
        <v>0.25</v>
      </c>
      <c r="M1155" s="180">
        <f t="shared" si="696"/>
        <v>0.375</v>
      </c>
      <c r="N1155" s="128">
        <v>0.5</v>
      </c>
      <c r="O1155" s="129">
        <f t="shared" si="733"/>
        <v>0.375</v>
      </c>
      <c r="P1155" s="159"/>
      <c r="Q1155" s="208">
        <f t="shared" si="734"/>
        <v>0.375</v>
      </c>
      <c r="R1155" s="132"/>
      <c r="S1155" s="132"/>
      <c r="T1155" s="65" t="s">
        <v>70</v>
      </c>
      <c r="U1155" s="26"/>
      <c r="V1155" s="26"/>
      <c r="W1155" s="26"/>
      <c r="X1155" s="26"/>
      <c r="Y1155" s="26"/>
      <c r="Z1155" s="26"/>
      <c r="AA1155" s="26"/>
      <c r="AB1155" s="26"/>
      <c r="AC1155" s="26"/>
    </row>
    <row r="1156" ht="33.75" customHeight="1">
      <c r="A1156" s="45" t="s">
        <v>1963</v>
      </c>
      <c r="B1156" s="212" t="s">
        <v>1852</v>
      </c>
      <c r="C1156" s="212" t="s">
        <v>1964</v>
      </c>
      <c r="D1156" s="212" t="s">
        <v>1964</v>
      </c>
      <c r="E1156" s="212" t="s">
        <v>1965</v>
      </c>
      <c r="F1156" s="45"/>
      <c r="G1156" s="45"/>
      <c r="H1156" s="45"/>
      <c r="I1156" s="45"/>
      <c r="J1156" s="45"/>
      <c r="K1156" s="123"/>
      <c r="L1156" s="213">
        <f>IF(COUNT(L1157,L1161,L1165,L1169)=0,"",SUM(L1157,L1161,L1165,L1169))</f>
        <v>1</v>
      </c>
      <c r="M1156" s="213">
        <f t="shared" si="696"/>
        <v>1.375</v>
      </c>
      <c r="N1156" s="213">
        <f t="shared" ref="N1156:O1156" si="735">IF(COUNT(N1157,N1161,N1165,N1169)=0,"",SUM(N1157,N1161,N1165,N1169))</f>
        <v>1.75</v>
      </c>
      <c r="O1156" s="213">
        <f t="shared" si="735"/>
        <v>1.375</v>
      </c>
      <c r="P1156" s="214"/>
      <c r="Q1156" s="213">
        <f>IF(COUNT(Q1157,Q1161,Q1165,Q1169)=0,"",SUM(Q1157,Q1161,Q1165,Q1169))</f>
        <v>1.375</v>
      </c>
      <c r="R1156" s="126"/>
      <c r="S1156" s="126"/>
      <c r="T1156" s="45" t="s">
        <v>62</v>
      </c>
      <c r="U1156" s="26"/>
      <c r="V1156" s="26"/>
      <c r="W1156" s="26"/>
      <c r="X1156" s="46">
        <f t="shared" ref="X1156:AA1156" si="736">L1156</f>
        <v>1</v>
      </c>
      <c r="Y1156" s="46">
        <f t="shared" si="736"/>
        <v>1.375</v>
      </c>
      <c r="Z1156" s="46">
        <f t="shared" si="736"/>
        <v>1.75</v>
      </c>
      <c r="AA1156" s="46">
        <f t="shared" si="736"/>
        <v>1.375</v>
      </c>
      <c r="AB1156" s="26"/>
      <c r="AC1156" s="46">
        <f>Q1156</f>
        <v>1.375</v>
      </c>
    </row>
    <row r="1157" ht="33.75" customHeight="1">
      <c r="A1157" s="54" t="s">
        <v>1966</v>
      </c>
      <c r="B1157" s="209" t="s">
        <v>1852</v>
      </c>
      <c r="C1157" s="209" t="s">
        <v>1964</v>
      </c>
      <c r="D1157" s="209" t="s">
        <v>1967</v>
      </c>
      <c r="E1157" s="209" t="s">
        <v>1968</v>
      </c>
      <c r="F1157" s="54" t="s">
        <v>1855</v>
      </c>
      <c r="G1157" s="54" t="s">
        <v>168</v>
      </c>
      <c r="H1157" s="54" t="s">
        <v>168</v>
      </c>
      <c r="I1157" s="54"/>
      <c r="J1157" s="54" t="s">
        <v>9</v>
      </c>
      <c r="K1157" s="119" t="s">
        <v>9</v>
      </c>
      <c r="L1157" s="202">
        <f>IF(COUNT(L1158:N1160)=0,"",SUM(L1158:L1160))</f>
        <v>0.75</v>
      </c>
      <c r="M1157" s="174">
        <f t="shared" si="696"/>
        <v>1</v>
      </c>
      <c r="N1157" s="202">
        <f>IF(COUNT(L1158:N1160)=0,"",SUM(N1158:N1160))</f>
        <v>1.25</v>
      </c>
      <c r="O1157" s="202">
        <f>IF(COUNT(O1158:O1160)=0,"",SUM(O1158:O1160))</f>
        <v>1</v>
      </c>
      <c r="P1157" s="210"/>
      <c r="Q1157" s="202">
        <f>IF(COUNT(Q1158:Q1160)=0,"",SUM(Q1158:Q1160))</f>
        <v>1</v>
      </c>
      <c r="R1157" s="163"/>
      <c r="S1157" s="163"/>
      <c r="T1157" s="54" t="s">
        <v>65</v>
      </c>
      <c r="U1157" s="179"/>
      <c r="V1157" s="179"/>
      <c r="W1157" s="179"/>
      <c r="X1157" s="105"/>
      <c r="Y1157" s="105"/>
      <c r="Z1157" s="105"/>
      <c r="AA1157" s="105"/>
      <c r="AB1157" s="179"/>
      <c r="AC1157" s="105"/>
    </row>
    <row r="1158" ht="33.75" customHeight="1">
      <c r="A1158" s="65" t="s">
        <v>1969</v>
      </c>
      <c r="B1158" s="215" t="s">
        <v>1852</v>
      </c>
      <c r="C1158" s="215" t="s">
        <v>1964</v>
      </c>
      <c r="D1158" s="215" t="s">
        <v>1967</v>
      </c>
      <c r="E1158" s="215" t="s">
        <v>1968</v>
      </c>
      <c r="F1158" s="65" t="s">
        <v>1855</v>
      </c>
      <c r="G1158" s="65" t="s">
        <v>168</v>
      </c>
      <c r="H1158" s="65" t="s">
        <v>168</v>
      </c>
      <c r="I1158" s="65"/>
      <c r="J1158" s="65" t="s">
        <v>9</v>
      </c>
      <c r="K1158" s="65" t="s">
        <v>9</v>
      </c>
      <c r="L1158" s="128">
        <v>0.5</v>
      </c>
      <c r="M1158" s="180">
        <f t="shared" si="696"/>
        <v>0.625</v>
      </c>
      <c r="N1158" s="128">
        <v>0.75</v>
      </c>
      <c r="O1158" s="129">
        <f t="shared" ref="O1158:O1160" si="737">IF(COUNT(L1158:N1158)=0,"",(L1158+4*M1158+N1158)/6)</f>
        <v>0.625</v>
      </c>
      <c r="P1158" s="159"/>
      <c r="Q1158" s="208">
        <f t="shared" ref="Q1158:Q1160" si="738">IF(O1158="","",IF(P1158="",O1158,O1158*(1+P1158)))</f>
        <v>0.625</v>
      </c>
      <c r="R1158" s="132"/>
      <c r="S1158" s="132"/>
      <c r="T1158" s="65" t="s">
        <v>31</v>
      </c>
      <c r="U1158" s="26"/>
      <c r="V1158" s="26"/>
      <c r="W1158" s="26"/>
      <c r="X1158" s="26"/>
      <c r="Y1158" s="26"/>
      <c r="Z1158" s="26"/>
      <c r="AA1158" s="26"/>
      <c r="AB1158" s="26"/>
      <c r="AC1158" s="26"/>
    </row>
    <row r="1159" ht="33.75" customHeight="1">
      <c r="A1159" s="65" t="s">
        <v>1970</v>
      </c>
      <c r="B1159" s="215" t="s">
        <v>1852</v>
      </c>
      <c r="C1159" s="215" t="s">
        <v>1964</v>
      </c>
      <c r="D1159" s="215" t="s">
        <v>1967</v>
      </c>
      <c r="E1159" s="215" t="s">
        <v>1968</v>
      </c>
      <c r="F1159" s="65" t="s">
        <v>1855</v>
      </c>
      <c r="G1159" s="65" t="s">
        <v>168</v>
      </c>
      <c r="H1159" s="65" t="s">
        <v>168</v>
      </c>
      <c r="I1159" s="65"/>
      <c r="J1159" s="65" t="s">
        <v>9</v>
      </c>
      <c r="K1159" s="65" t="s">
        <v>9</v>
      </c>
      <c r="L1159" s="128">
        <v>0.0</v>
      </c>
      <c r="M1159" s="180">
        <f t="shared" si="696"/>
        <v>0</v>
      </c>
      <c r="N1159" s="128">
        <v>0.0</v>
      </c>
      <c r="O1159" s="129">
        <f t="shared" si="737"/>
        <v>0</v>
      </c>
      <c r="P1159" s="159"/>
      <c r="Q1159" s="208">
        <f t="shared" si="738"/>
        <v>0</v>
      </c>
      <c r="R1159" s="132"/>
      <c r="S1159" s="132"/>
      <c r="T1159" s="65" t="s">
        <v>32</v>
      </c>
      <c r="U1159" s="26"/>
      <c r="V1159" s="26"/>
      <c r="W1159" s="26"/>
      <c r="X1159" s="26"/>
      <c r="Y1159" s="26"/>
      <c r="Z1159" s="26"/>
      <c r="AA1159" s="26"/>
      <c r="AB1159" s="26"/>
      <c r="AC1159" s="26"/>
    </row>
    <row r="1160" ht="33.75" customHeight="1">
      <c r="A1160" s="65" t="s">
        <v>1971</v>
      </c>
      <c r="B1160" s="215" t="s">
        <v>1852</v>
      </c>
      <c r="C1160" s="215" t="s">
        <v>1964</v>
      </c>
      <c r="D1160" s="215" t="s">
        <v>1967</v>
      </c>
      <c r="E1160" s="215" t="s">
        <v>1968</v>
      </c>
      <c r="F1160" s="65" t="s">
        <v>1855</v>
      </c>
      <c r="G1160" s="65" t="s">
        <v>168</v>
      </c>
      <c r="H1160" s="65" t="s">
        <v>168</v>
      </c>
      <c r="I1160" s="65"/>
      <c r="J1160" s="65" t="s">
        <v>9</v>
      </c>
      <c r="K1160" s="65" t="s">
        <v>9</v>
      </c>
      <c r="L1160" s="128">
        <v>0.25</v>
      </c>
      <c r="M1160" s="180">
        <f t="shared" si="696"/>
        <v>0.375</v>
      </c>
      <c r="N1160" s="128">
        <v>0.5</v>
      </c>
      <c r="O1160" s="129">
        <f t="shared" si="737"/>
        <v>0.375</v>
      </c>
      <c r="P1160" s="159"/>
      <c r="Q1160" s="208">
        <f t="shared" si="738"/>
        <v>0.375</v>
      </c>
      <c r="R1160" s="132"/>
      <c r="S1160" s="132"/>
      <c r="T1160" s="65" t="s">
        <v>70</v>
      </c>
      <c r="U1160" s="26"/>
      <c r="V1160" s="26"/>
      <c r="W1160" s="26"/>
      <c r="X1160" s="26"/>
      <c r="Y1160" s="26"/>
      <c r="Z1160" s="26"/>
      <c r="AA1160" s="26"/>
      <c r="AB1160" s="26"/>
      <c r="AC1160" s="26"/>
    </row>
    <row r="1161" ht="33.75" customHeight="1">
      <c r="A1161" s="98" t="s">
        <v>1972</v>
      </c>
      <c r="B1161" s="99" t="s">
        <v>1852</v>
      </c>
      <c r="C1161" s="99" t="s">
        <v>1964</v>
      </c>
      <c r="D1161" s="99" t="s">
        <v>1973</v>
      </c>
      <c r="E1161" s="99" t="s">
        <v>1974</v>
      </c>
      <c r="F1161" s="98" t="s">
        <v>1894</v>
      </c>
      <c r="G1161" s="98" t="s">
        <v>168</v>
      </c>
      <c r="H1161" s="98" t="s">
        <v>168</v>
      </c>
      <c r="I1161" s="98"/>
      <c r="J1161" s="98" t="s">
        <v>12</v>
      </c>
      <c r="K1161" s="100" t="s">
        <v>12</v>
      </c>
      <c r="L1161" s="101">
        <f>IF(COUNT(L1162:N1164)=0,"",SUM(L1162:L1164))</f>
        <v>0</v>
      </c>
      <c r="M1161" s="102">
        <f t="shared" si="696"/>
        <v>0</v>
      </c>
      <c r="N1161" s="101">
        <f>IF(COUNT(L1162:N1164)=0,"",SUM(N1162:N1164))</f>
        <v>0</v>
      </c>
      <c r="O1161" s="101">
        <f>IF(COUNT(O1162:O1164)=0,"",SUM(O1162:O1164))</f>
        <v>0</v>
      </c>
      <c r="P1161" s="103"/>
      <c r="Q1161" s="101">
        <f>IF(COUNT(Q1162:Q1164)=0,"",SUM(Q1162:Q1164))</f>
        <v>0</v>
      </c>
      <c r="R1161" s="104"/>
      <c r="S1161" s="104"/>
      <c r="T1161" s="98" t="s">
        <v>65</v>
      </c>
      <c r="U1161" s="179"/>
      <c r="V1161" s="179"/>
      <c r="W1161" s="179"/>
      <c r="X1161" s="105"/>
      <c r="Y1161" s="105"/>
      <c r="Z1161" s="105"/>
      <c r="AA1161" s="105"/>
      <c r="AB1161" s="105"/>
      <c r="AC1161" s="105"/>
    </row>
    <row r="1162" ht="33.75" customHeight="1">
      <c r="A1162" s="106" t="s">
        <v>1975</v>
      </c>
      <c r="B1162" s="107" t="s">
        <v>1852</v>
      </c>
      <c r="C1162" s="107" t="s">
        <v>1964</v>
      </c>
      <c r="D1162" s="107" t="s">
        <v>1973</v>
      </c>
      <c r="E1162" s="107" t="s">
        <v>1974</v>
      </c>
      <c r="F1162" s="106" t="s">
        <v>1894</v>
      </c>
      <c r="G1162" s="106" t="s">
        <v>168</v>
      </c>
      <c r="H1162" s="106" t="s">
        <v>168</v>
      </c>
      <c r="I1162" s="106"/>
      <c r="J1162" s="106" t="s">
        <v>12</v>
      </c>
      <c r="K1162" s="108" t="s">
        <v>12</v>
      </c>
      <c r="L1162" s="109"/>
      <c r="M1162" s="109">
        <f t="shared" si="696"/>
        <v>0</v>
      </c>
      <c r="N1162" s="109"/>
      <c r="O1162" s="109">
        <f t="shared" ref="O1162:O1164" si="739">IF(COUNT(L1162:N1162)=0,"",(L1162+4*M1162+N1162)/6)</f>
        <v>0</v>
      </c>
      <c r="P1162" s="110"/>
      <c r="Q1162" s="109">
        <f t="shared" ref="Q1162:Q1164" si="740">IF(O1162="","",IF(P1162="",O1162,O1162*(1+P1162)))</f>
        <v>0</v>
      </c>
      <c r="R1162" s="111"/>
      <c r="S1162" s="111"/>
      <c r="T1162" s="106" t="s">
        <v>31</v>
      </c>
      <c r="U1162" s="26"/>
      <c r="V1162" s="26"/>
      <c r="W1162" s="26"/>
      <c r="X1162" s="26"/>
      <c r="Y1162" s="26"/>
      <c r="Z1162" s="26"/>
      <c r="AA1162" s="26"/>
      <c r="AB1162" s="26"/>
      <c r="AC1162" s="26"/>
    </row>
    <row r="1163" ht="33.75" customHeight="1">
      <c r="A1163" s="106" t="s">
        <v>1976</v>
      </c>
      <c r="B1163" s="107" t="s">
        <v>1852</v>
      </c>
      <c r="C1163" s="107" t="s">
        <v>1964</v>
      </c>
      <c r="D1163" s="107" t="s">
        <v>1973</v>
      </c>
      <c r="E1163" s="107" t="s">
        <v>1974</v>
      </c>
      <c r="F1163" s="106" t="s">
        <v>1894</v>
      </c>
      <c r="G1163" s="106" t="s">
        <v>168</v>
      </c>
      <c r="H1163" s="106" t="s">
        <v>168</v>
      </c>
      <c r="I1163" s="106"/>
      <c r="J1163" s="106" t="s">
        <v>12</v>
      </c>
      <c r="K1163" s="108" t="s">
        <v>12</v>
      </c>
      <c r="L1163" s="109"/>
      <c r="M1163" s="109">
        <f t="shared" si="696"/>
        <v>0</v>
      </c>
      <c r="N1163" s="109"/>
      <c r="O1163" s="109">
        <f t="shared" si="739"/>
        <v>0</v>
      </c>
      <c r="P1163" s="110"/>
      <c r="Q1163" s="109">
        <f t="shared" si="740"/>
        <v>0</v>
      </c>
      <c r="R1163" s="111"/>
      <c r="S1163" s="111"/>
      <c r="T1163" s="106" t="s">
        <v>32</v>
      </c>
      <c r="U1163" s="26"/>
      <c r="V1163" s="26"/>
      <c r="W1163" s="26"/>
      <c r="X1163" s="26"/>
      <c r="Y1163" s="26"/>
      <c r="Z1163" s="26"/>
      <c r="AA1163" s="26"/>
      <c r="AB1163" s="26"/>
      <c r="AC1163" s="26"/>
    </row>
    <row r="1164" ht="33.75" customHeight="1">
      <c r="A1164" s="106" t="s">
        <v>1977</v>
      </c>
      <c r="B1164" s="107" t="s">
        <v>1852</v>
      </c>
      <c r="C1164" s="107" t="s">
        <v>1964</v>
      </c>
      <c r="D1164" s="107" t="s">
        <v>1973</v>
      </c>
      <c r="E1164" s="107" t="s">
        <v>1974</v>
      </c>
      <c r="F1164" s="106" t="s">
        <v>1894</v>
      </c>
      <c r="G1164" s="106" t="s">
        <v>168</v>
      </c>
      <c r="H1164" s="106" t="s">
        <v>168</v>
      </c>
      <c r="I1164" s="106"/>
      <c r="J1164" s="106" t="s">
        <v>12</v>
      </c>
      <c r="K1164" s="108" t="s">
        <v>12</v>
      </c>
      <c r="L1164" s="109"/>
      <c r="M1164" s="109">
        <f t="shared" si="696"/>
        <v>0</v>
      </c>
      <c r="N1164" s="109"/>
      <c r="O1164" s="109">
        <f t="shared" si="739"/>
        <v>0</v>
      </c>
      <c r="P1164" s="110"/>
      <c r="Q1164" s="109">
        <f t="shared" si="740"/>
        <v>0</v>
      </c>
      <c r="R1164" s="111"/>
      <c r="S1164" s="111"/>
      <c r="T1164" s="106" t="s">
        <v>70</v>
      </c>
      <c r="U1164" s="26"/>
      <c r="V1164" s="26"/>
      <c r="W1164" s="26"/>
      <c r="X1164" s="26"/>
      <c r="Y1164" s="26"/>
      <c r="Z1164" s="26"/>
      <c r="AA1164" s="26"/>
      <c r="AB1164" s="26"/>
      <c r="AC1164" s="26"/>
    </row>
    <row r="1165" ht="33.75" customHeight="1">
      <c r="A1165" s="54" t="s">
        <v>1978</v>
      </c>
      <c r="B1165" s="209" t="s">
        <v>1852</v>
      </c>
      <c r="C1165" s="209" t="s">
        <v>1964</v>
      </c>
      <c r="D1165" s="209" t="s">
        <v>1979</v>
      </c>
      <c r="E1165" s="209" t="s">
        <v>1980</v>
      </c>
      <c r="F1165" s="54" t="s">
        <v>1894</v>
      </c>
      <c r="G1165" s="54" t="s">
        <v>168</v>
      </c>
      <c r="H1165" s="54" t="s">
        <v>168</v>
      </c>
      <c r="I1165" s="54"/>
      <c r="J1165" s="54" t="s">
        <v>9</v>
      </c>
      <c r="K1165" s="54" t="s">
        <v>9</v>
      </c>
      <c r="L1165" s="202">
        <f>IF(COUNT(L1166:N1168)=0,"",SUM(L1166:L1168))</f>
        <v>0.25</v>
      </c>
      <c r="M1165" s="174">
        <f t="shared" si="696"/>
        <v>0.375</v>
      </c>
      <c r="N1165" s="202">
        <f>IF(COUNT(L1166:N1168)=0,"",SUM(N1166:N1168))</f>
        <v>0.5</v>
      </c>
      <c r="O1165" s="202">
        <f>IF(COUNT(O1166:O1168)=0,"",SUM(O1166:O1168))</f>
        <v>0.375</v>
      </c>
      <c r="P1165" s="210"/>
      <c r="Q1165" s="202">
        <f>IF(COUNT(Q1166:Q1168)=0,"",SUM(Q1166:Q1168))</f>
        <v>0.375</v>
      </c>
      <c r="R1165" s="163"/>
      <c r="S1165" s="163"/>
      <c r="T1165" s="54" t="s">
        <v>65</v>
      </c>
      <c r="U1165" s="179"/>
      <c r="V1165" s="179"/>
      <c r="W1165" s="179"/>
      <c r="X1165" s="105"/>
      <c r="Y1165" s="105"/>
      <c r="Z1165" s="105"/>
      <c r="AA1165" s="105"/>
      <c r="AB1165" s="105"/>
      <c r="AC1165" s="105"/>
    </row>
    <row r="1166" ht="33.75" customHeight="1">
      <c r="A1166" s="65" t="s">
        <v>1981</v>
      </c>
      <c r="B1166" s="215" t="s">
        <v>1852</v>
      </c>
      <c r="C1166" s="215" t="s">
        <v>1964</v>
      </c>
      <c r="D1166" s="215" t="s">
        <v>1979</v>
      </c>
      <c r="E1166" s="215" t="s">
        <v>1980</v>
      </c>
      <c r="F1166" s="65" t="s">
        <v>1894</v>
      </c>
      <c r="G1166" s="65" t="s">
        <v>168</v>
      </c>
      <c r="H1166" s="65" t="s">
        <v>168</v>
      </c>
      <c r="I1166" s="65"/>
      <c r="J1166" s="65" t="s">
        <v>9</v>
      </c>
      <c r="K1166" s="65" t="s">
        <v>9</v>
      </c>
      <c r="L1166" s="128">
        <v>0.0</v>
      </c>
      <c r="M1166" s="180">
        <f t="shared" si="696"/>
        <v>0</v>
      </c>
      <c r="N1166" s="128">
        <v>0.0</v>
      </c>
      <c r="O1166" s="129">
        <f t="shared" ref="O1166:O1168" si="741">IF(COUNT(L1166:N1166)=0,"",(L1166+4*M1166+N1166)/6)</f>
        <v>0</v>
      </c>
      <c r="P1166" s="159"/>
      <c r="Q1166" s="208">
        <f t="shared" ref="Q1166:Q1168" si="742">IF(O1166="","",IF(P1166="",O1166,O1166*(1+P1166)))</f>
        <v>0</v>
      </c>
      <c r="R1166" s="132"/>
      <c r="S1166" s="132"/>
      <c r="T1166" s="65" t="s">
        <v>31</v>
      </c>
      <c r="U1166" s="26"/>
      <c r="V1166" s="26"/>
      <c r="W1166" s="26"/>
      <c r="X1166" s="26"/>
      <c r="Y1166" s="26"/>
      <c r="Z1166" s="26"/>
      <c r="AA1166" s="26"/>
      <c r="AB1166" s="26"/>
      <c r="AC1166" s="26"/>
    </row>
    <row r="1167" ht="33.75" customHeight="1">
      <c r="A1167" s="65" t="s">
        <v>1982</v>
      </c>
      <c r="B1167" s="215" t="s">
        <v>1852</v>
      </c>
      <c r="C1167" s="215" t="s">
        <v>1964</v>
      </c>
      <c r="D1167" s="215" t="s">
        <v>1979</v>
      </c>
      <c r="E1167" s="215" t="s">
        <v>1980</v>
      </c>
      <c r="F1167" s="65" t="s">
        <v>1894</v>
      </c>
      <c r="G1167" s="65" t="s">
        <v>168</v>
      </c>
      <c r="H1167" s="65" t="s">
        <v>168</v>
      </c>
      <c r="I1167" s="65"/>
      <c r="J1167" s="65" t="s">
        <v>9</v>
      </c>
      <c r="K1167" s="65" t="s">
        <v>9</v>
      </c>
      <c r="L1167" s="128">
        <v>0.25</v>
      </c>
      <c r="M1167" s="180">
        <f t="shared" si="696"/>
        <v>0.375</v>
      </c>
      <c r="N1167" s="128">
        <v>0.5</v>
      </c>
      <c r="O1167" s="129">
        <f t="shared" si="741"/>
        <v>0.375</v>
      </c>
      <c r="P1167" s="159"/>
      <c r="Q1167" s="208">
        <f t="shared" si="742"/>
        <v>0.375</v>
      </c>
      <c r="R1167" s="132"/>
      <c r="S1167" s="132"/>
      <c r="T1167" s="65" t="s">
        <v>32</v>
      </c>
      <c r="U1167" s="26"/>
      <c r="V1167" s="26"/>
      <c r="W1167" s="26"/>
      <c r="X1167" s="26"/>
      <c r="Y1167" s="26"/>
      <c r="Z1167" s="26"/>
      <c r="AA1167" s="26"/>
      <c r="AB1167" s="26"/>
      <c r="AC1167" s="26"/>
    </row>
    <row r="1168" ht="33.75" customHeight="1">
      <c r="A1168" s="65" t="s">
        <v>1983</v>
      </c>
      <c r="B1168" s="215" t="s">
        <v>1852</v>
      </c>
      <c r="C1168" s="215" t="s">
        <v>1964</v>
      </c>
      <c r="D1168" s="215" t="s">
        <v>1979</v>
      </c>
      <c r="E1168" s="215" t="s">
        <v>1980</v>
      </c>
      <c r="F1168" s="65" t="s">
        <v>1894</v>
      </c>
      <c r="G1168" s="65" t="s">
        <v>168</v>
      </c>
      <c r="H1168" s="65" t="s">
        <v>168</v>
      </c>
      <c r="I1168" s="65"/>
      <c r="J1168" s="65" t="s">
        <v>9</v>
      </c>
      <c r="K1168" s="65" t="s">
        <v>9</v>
      </c>
      <c r="L1168" s="128">
        <v>0.0</v>
      </c>
      <c r="M1168" s="180">
        <f t="shared" si="696"/>
        <v>0</v>
      </c>
      <c r="N1168" s="128">
        <v>0.0</v>
      </c>
      <c r="O1168" s="129">
        <f t="shared" si="741"/>
        <v>0</v>
      </c>
      <c r="P1168" s="159"/>
      <c r="Q1168" s="208">
        <f t="shared" si="742"/>
        <v>0</v>
      </c>
      <c r="R1168" s="132"/>
      <c r="S1168" s="132"/>
      <c r="T1168" s="65" t="s">
        <v>70</v>
      </c>
      <c r="U1168" s="26"/>
      <c r="V1168" s="26"/>
      <c r="W1168" s="26"/>
      <c r="X1168" s="26"/>
      <c r="Y1168" s="26"/>
      <c r="Z1168" s="26"/>
      <c r="AA1168" s="26"/>
      <c r="AB1168" s="26"/>
      <c r="AC1168" s="26"/>
    </row>
    <row r="1169" ht="33.75" customHeight="1">
      <c r="A1169" s="98" t="s">
        <v>1984</v>
      </c>
      <c r="B1169" s="99" t="s">
        <v>1852</v>
      </c>
      <c r="C1169" s="99" t="s">
        <v>1964</v>
      </c>
      <c r="D1169" s="99" t="s">
        <v>1985</v>
      </c>
      <c r="E1169" s="99" t="s">
        <v>1986</v>
      </c>
      <c r="F1169" s="98" t="s">
        <v>1894</v>
      </c>
      <c r="G1169" s="98" t="s">
        <v>200</v>
      </c>
      <c r="H1169" s="98" t="s">
        <v>200</v>
      </c>
      <c r="I1169" s="98"/>
      <c r="J1169" s="98" t="s">
        <v>12</v>
      </c>
      <c r="K1169" s="100" t="s">
        <v>12</v>
      </c>
      <c r="L1169" s="101">
        <f>IF(COUNT(L1170:N1172)=0,"",SUM(L1170:L1172))</f>
        <v>0</v>
      </c>
      <c r="M1169" s="102">
        <f t="shared" si="696"/>
        <v>0</v>
      </c>
      <c r="N1169" s="101">
        <f>IF(COUNT(L1170:N1172)=0,"",SUM(N1170:N1172))</f>
        <v>0</v>
      </c>
      <c r="O1169" s="101">
        <f>IF(COUNT(O1170:O1172)=0,"",SUM(O1170:O1172))</f>
        <v>0</v>
      </c>
      <c r="P1169" s="103"/>
      <c r="Q1169" s="101">
        <f>IF(COUNT(Q1170:Q1172)=0,"",SUM(Q1170:Q1172))</f>
        <v>0</v>
      </c>
      <c r="R1169" s="104"/>
      <c r="S1169" s="104"/>
      <c r="T1169" s="98" t="s">
        <v>65</v>
      </c>
      <c r="U1169" s="179"/>
      <c r="V1169" s="179"/>
      <c r="W1169" s="179"/>
      <c r="X1169" s="105"/>
      <c r="Y1169" s="105"/>
      <c r="Z1169" s="105"/>
      <c r="AA1169" s="105"/>
      <c r="AB1169" s="105"/>
      <c r="AC1169" s="105"/>
    </row>
    <row r="1170" ht="33.75" customHeight="1">
      <c r="A1170" s="106" t="s">
        <v>1987</v>
      </c>
      <c r="B1170" s="107" t="s">
        <v>1852</v>
      </c>
      <c r="C1170" s="107" t="s">
        <v>1964</v>
      </c>
      <c r="D1170" s="107" t="s">
        <v>1985</v>
      </c>
      <c r="E1170" s="107" t="s">
        <v>1986</v>
      </c>
      <c r="F1170" s="106" t="s">
        <v>1894</v>
      </c>
      <c r="G1170" s="106" t="s">
        <v>200</v>
      </c>
      <c r="H1170" s="106" t="s">
        <v>200</v>
      </c>
      <c r="I1170" s="106"/>
      <c r="J1170" s="106" t="s">
        <v>12</v>
      </c>
      <c r="K1170" s="108" t="s">
        <v>12</v>
      </c>
      <c r="L1170" s="109"/>
      <c r="M1170" s="109">
        <f t="shared" si="696"/>
        <v>0</v>
      </c>
      <c r="N1170" s="109"/>
      <c r="O1170" s="109">
        <f t="shared" ref="O1170:O1172" si="743">IF(COUNT(L1170:N1170)=0,"",(L1170+4*M1170+N1170)/6)</f>
        <v>0</v>
      </c>
      <c r="P1170" s="110"/>
      <c r="Q1170" s="109">
        <f t="shared" ref="Q1170:Q1172" si="744">IF(O1170="","",IF(P1170="",O1170,O1170*(1+P1170)))</f>
        <v>0</v>
      </c>
      <c r="R1170" s="111"/>
      <c r="S1170" s="111"/>
      <c r="T1170" s="106" t="s">
        <v>31</v>
      </c>
      <c r="U1170" s="26"/>
      <c r="V1170" s="26"/>
      <c r="W1170" s="26"/>
      <c r="X1170" s="26"/>
      <c r="Y1170" s="26"/>
      <c r="Z1170" s="26"/>
      <c r="AA1170" s="26"/>
      <c r="AB1170" s="26"/>
      <c r="AC1170" s="26"/>
    </row>
    <row r="1171" ht="33.75" customHeight="1">
      <c r="A1171" s="106" t="s">
        <v>1988</v>
      </c>
      <c r="B1171" s="107" t="s">
        <v>1852</v>
      </c>
      <c r="C1171" s="107" t="s">
        <v>1964</v>
      </c>
      <c r="D1171" s="107" t="s">
        <v>1985</v>
      </c>
      <c r="E1171" s="107" t="s">
        <v>1986</v>
      </c>
      <c r="F1171" s="106" t="s">
        <v>1894</v>
      </c>
      <c r="G1171" s="106" t="s">
        <v>200</v>
      </c>
      <c r="H1171" s="106" t="s">
        <v>200</v>
      </c>
      <c r="I1171" s="106"/>
      <c r="J1171" s="106" t="s">
        <v>12</v>
      </c>
      <c r="K1171" s="108" t="s">
        <v>12</v>
      </c>
      <c r="L1171" s="109"/>
      <c r="M1171" s="109">
        <f t="shared" si="696"/>
        <v>0</v>
      </c>
      <c r="N1171" s="109"/>
      <c r="O1171" s="109">
        <f t="shared" si="743"/>
        <v>0</v>
      </c>
      <c r="P1171" s="110"/>
      <c r="Q1171" s="109">
        <f t="shared" si="744"/>
        <v>0</v>
      </c>
      <c r="R1171" s="111"/>
      <c r="S1171" s="111"/>
      <c r="T1171" s="106" t="s">
        <v>32</v>
      </c>
      <c r="U1171" s="26"/>
      <c r="V1171" s="26"/>
      <c r="W1171" s="26"/>
      <c r="X1171" s="26"/>
      <c r="Y1171" s="26"/>
      <c r="Z1171" s="26"/>
      <c r="AA1171" s="26"/>
      <c r="AB1171" s="26"/>
      <c r="AC1171" s="26"/>
    </row>
    <row r="1172" ht="33.75" customHeight="1">
      <c r="A1172" s="106" t="s">
        <v>1989</v>
      </c>
      <c r="B1172" s="107" t="s">
        <v>1852</v>
      </c>
      <c r="C1172" s="107" t="s">
        <v>1964</v>
      </c>
      <c r="D1172" s="107" t="s">
        <v>1985</v>
      </c>
      <c r="E1172" s="107" t="s">
        <v>1986</v>
      </c>
      <c r="F1172" s="106" t="s">
        <v>1894</v>
      </c>
      <c r="G1172" s="106" t="s">
        <v>200</v>
      </c>
      <c r="H1172" s="106" t="s">
        <v>200</v>
      </c>
      <c r="I1172" s="106"/>
      <c r="J1172" s="106" t="s">
        <v>12</v>
      </c>
      <c r="K1172" s="108" t="s">
        <v>12</v>
      </c>
      <c r="L1172" s="109"/>
      <c r="M1172" s="109">
        <f t="shared" si="696"/>
        <v>0</v>
      </c>
      <c r="N1172" s="109"/>
      <c r="O1172" s="109">
        <f t="shared" si="743"/>
        <v>0</v>
      </c>
      <c r="P1172" s="110"/>
      <c r="Q1172" s="109">
        <f t="shared" si="744"/>
        <v>0</v>
      </c>
      <c r="R1172" s="111"/>
      <c r="S1172" s="111"/>
      <c r="T1172" s="106" t="s">
        <v>70</v>
      </c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ht="33.75" customHeight="1">
      <c r="A1173" s="45" t="s">
        <v>1990</v>
      </c>
      <c r="B1173" s="212" t="s">
        <v>1852</v>
      </c>
      <c r="C1173" s="212" t="s">
        <v>1991</v>
      </c>
      <c r="D1173" s="212" t="s">
        <v>1991</v>
      </c>
      <c r="E1173" s="212" t="s">
        <v>1992</v>
      </c>
      <c r="F1173" s="45"/>
      <c r="G1173" s="45"/>
      <c r="H1173" s="45"/>
      <c r="I1173" s="45"/>
      <c r="J1173" s="45"/>
      <c r="K1173" s="123"/>
      <c r="L1173" s="213">
        <f>IF(COUNT(L1174,L1178,L1182)=0,"",SUM(L1174,L1178,L1182))</f>
        <v>2.25</v>
      </c>
      <c r="M1173" s="213">
        <f t="shared" si="696"/>
        <v>3.375</v>
      </c>
      <c r="N1173" s="213">
        <f t="shared" ref="N1173:O1173" si="745">IF(COUNT(N1174,N1178,N1182)=0,"",SUM(N1174,N1178,N1182))</f>
        <v>4.5</v>
      </c>
      <c r="O1173" s="213">
        <f t="shared" si="745"/>
        <v>3.375</v>
      </c>
      <c r="P1173" s="214"/>
      <c r="Q1173" s="213">
        <f>IF(COUNT(Q1174,Q1178,Q1182)=0,"",SUM(Q1174,Q1178,Q1182))</f>
        <v>3.375</v>
      </c>
      <c r="R1173" s="126"/>
      <c r="S1173" s="126"/>
      <c r="T1173" s="45" t="s">
        <v>62</v>
      </c>
      <c r="U1173" s="26"/>
      <c r="V1173" s="26"/>
      <c r="W1173" s="26"/>
      <c r="X1173" s="46">
        <f t="shared" ref="X1173:AA1173" si="746">L1173</f>
        <v>2.25</v>
      </c>
      <c r="Y1173" s="46">
        <f t="shared" si="746"/>
        <v>3.375</v>
      </c>
      <c r="Z1173" s="46">
        <f t="shared" si="746"/>
        <v>4.5</v>
      </c>
      <c r="AA1173" s="46">
        <f t="shared" si="746"/>
        <v>3.375</v>
      </c>
      <c r="AB1173" s="26"/>
      <c r="AC1173" s="46">
        <f>Q1173</f>
        <v>3.375</v>
      </c>
    </row>
    <row r="1174" ht="33.75" customHeight="1">
      <c r="A1174" s="54" t="s">
        <v>1993</v>
      </c>
      <c r="B1174" s="209" t="s">
        <v>1852</v>
      </c>
      <c r="C1174" s="209" t="s">
        <v>1991</v>
      </c>
      <c r="D1174" s="209" t="s">
        <v>1994</v>
      </c>
      <c r="E1174" s="209" t="s">
        <v>1995</v>
      </c>
      <c r="F1174" s="54" t="s">
        <v>1996</v>
      </c>
      <c r="G1174" s="54" t="s">
        <v>168</v>
      </c>
      <c r="H1174" s="54" t="s">
        <v>168</v>
      </c>
      <c r="I1174" s="54"/>
      <c r="J1174" s="54" t="s">
        <v>9</v>
      </c>
      <c r="K1174" s="119" t="s">
        <v>9</v>
      </c>
      <c r="L1174" s="202">
        <f>IF(COUNT(L1175:N1177)=0,"",SUM(L1175:L1177))</f>
        <v>0.75</v>
      </c>
      <c r="M1174" s="174">
        <f t="shared" si="696"/>
        <v>1.125</v>
      </c>
      <c r="N1174" s="202">
        <f>IF(COUNT(L1175:N1177)=0,"",SUM(N1175:N1177))</f>
        <v>1.5</v>
      </c>
      <c r="O1174" s="202">
        <f>IF(COUNT(O1175:O1177)=0,"",SUM(O1175:O1177))</f>
        <v>1.125</v>
      </c>
      <c r="P1174" s="210"/>
      <c r="Q1174" s="202">
        <f>IF(COUNT(Q1175:Q1177)=0,"",SUM(Q1175:Q1177))</f>
        <v>1.125</v>
      </c>
      <c r="R1174" s="163"/>
      <c r="S1174" s="163"/>
      <c r="T1174" s="54" t="s">
        <v>65</v>
      </c>
      <c r="U1174" s="179"/>
      <c r="V1174" s="179"/>
      <c r="W1174" s="179"/>
      <c r="X1174" s="105"/>
      <c r="Y1174" s="105"/>
      <c r="Z1174" s="105"/>
      <c r="AA1174" s="105"/>
      <c r="AB1174" s="179"/>
      <c r="AC1174" s="105"/>
    </row>
    <row r="1175" ht="33.75" customHeight="1">
      <c r="A1175" s="217" t="s">
        <v>1997</v>
      </c>
      <c r="B1175" s="215" t="s">
        <v>1852</v>
      </c>
      <c r="C1175" s="215" t="s">
        <v>1991</v>
      </c>
      <c r="D1175" s="215" t="s">
        <v>1994</v>
      </c>
      <c r="E1175" s="215" t="s">
        <v>1995</v>
      </c>
      <c r="F1175" s="65" t="s">
        <v>1996</v>
      </c>
      <c r="G1175" s="65" t="s">
        <v>168</v>
      </c>
      <c r="H1175" s="65" t="s">
        <v>168</v>
      </c>
      <c r="I1175" s="65"/>
      <c r="J1175" s="65" t="s">
        <v>9</v>
      </c>
      <c r="K1175" s="65" t="s">
        <v>9</v>
      </c>
      <c r="L1175" s="128">
        <v>0.25</v>
      </c>
      <c r="M1175" s="180">
        <f t="shared" si="696"/>
        <v>0.375</v>
      </c>
      <c r="N1175" s="128">
        <v>0.5</v>
      </c>
      <c r="O1175" s="129">
        <f t="shared" ref="O1175:O1177" si="747">IF(COUNT(L1175:N1175)=0,"",(L1175+4*M1175+N1175)/6)</f>
        <v>0.375</v>
      </c>
      <c r="P1175" s="159"/>
      <c r="Q1175" s="208">
        <f t="shared" ref="Q1175:Q1177" si="748">IF(O1175="","",IF(P1175="",O1175,O1175*(1+P1175)))</f>
        <v>0.375</v>
      </c>
      <c r="R1175" s="132"/>
      <c r="S1175" s="132"/>
      <c r="T1175" s="65" t="s">
        <v>31</v>
      </c>
      <c r="U1175" s="26"/>
      <c r="V1175" s="26"/>
      <c r="W1175" s="26"/>
      <c r="X1175" s="26"/>
      <c r="Y1175" s="26"/>
      <c r="Z1175" s="26"/>
      <c r="AA1175" s="26"/>
      <c r="AB1175" s="26"/>
      <c r="AC1175" s="26"/>
    </row>
    <row r="1176" ht="33.75" customHeight="1">
      <c r="A1176" s="217" t="s">
        <v>1998</v>
      </c>
      <c r="B1176" s="215" t="s">
        <v>1852</v>
      </c>
      <c r="C1176" s="215" t="s">
        <v>1991</v>
      </c>
      <c r="D1176" s="215" t="s">
        <v>1994</v>
      </c>
      <c r="E1176" s="215" t="s">
        <v>1995</v>
      </c>
      <c r="F1176" s="65" t="s">
        <v>1996</v>
      </c>
      <c r="G1176" s="65" t="s">
        <v>168</v>
      </c>
      <c r="H1176" s="65" t="s">
        <v>168</v>
      </c>
      <c r="I1176" s="65"/>
      <c r="J1176" s="65" t="s">
        <v>9</v>
      </c>
      <c r="K1176" s="65" t="s">
        <v>9</v>
      </c>
      <c r="L1176" s="128">
        <v>0.25</v>
      </c>
      <c r="M1176" s="180">
        <f t="shared" si="696"/>
        <v>0.375</v>
      </c>
      <c r="N1176" s="128">
        <v>0.5</v>
      </c>
      <c r="O1176" s="129">
        <f t="shared" si="747"/>
        <v>0.375</v>
      </c>
      <c r="P1176" s="159"/>
      <c r="Q1176" s="208">
        <f t="shared" si="748"/>
        <v>0.375</v>
      </c>
      <c r="R1176" s="132"/>
      <c r="S1176" s="132"/>
      <c r="T1176" s="65" t="s">
        <v>32</v>
      </c>
      <c r="U1176" s="26"/>
      <c r="V1176" s="26"/>
      <c r="W1176" s="26"/>
      <c r="X1176" s="26"/>
      <c r="Y1176" s="26"/>
      <c r="Z1176" s="26"/>
      <c r="AA1176" s="26"/>
      <c r="AB1176" s="26"/>
      <c r="AC1176" s="26"/>
    </row>
    <row r="1177" ht="33.75" customHeight="1">
      <c r="A1177" s="217" t="s">
        <v>1999</v>
      </c>
      <c r="B1177" s="215" t="s">
        <v>1852</v>
      </c>
      <c r="C1177" s="215" t="s">
        <v>1991</v>
      </c>
      <c r="D1177" s="215" t="s">
        <v>1994</v>
      </c>
      <c r="E1177" s="215" t="s">
        <v>1995</v>
      </c>
      <c r="F1177" s="65" t="s">
        <v>1996</v>
      </c>
      <c r="G1177" s="65" t="s">
        <v>168</v>
      </c>
      <c r="H1177" s="65" t="s">
        <v>168</v>
      </c>
      <c r="I1177" s="65"/>
      <c r="J1177" s="65" t="s">
        <v>9</v>
      </c>
      <c r="K1177" s="65" t="s">
        <v>9</v>
      </c>
      <c r="L1177" s="128">
        <v>0.25</v>
      </c>
      <c r="M1177" s="180">
        <f t="shared" si="696"/>
        <v>0.375</v>
      </c>
      <c r="N1177" s="128">
        <v>0.5</v>
      </c>
      <c r="O1177" s="129">
        <f t="shared" si="747"/>
        <v>0.375</v>
      </c>
      <c r="P1177" s="159"/>
      <c r="Q1177" s="208">
        <f t="shared" si="748"/>
        <v>0.375</v>
      </c>
      <c r="R1177" s="132"/>
      <c r="S1177" s="132"/>
      <c r="T1177" s="65" t="s">
        <v>70</v>
      </c>
      <c r="U1177" s="26"/>
      <c r="V1177" s="26"/>
      <c r="W1177" s="26"/>
      <c r="X1177" s="26"/>
      <c r="Y1177" s="26"/>
      <c r="Z1177" s="26"/>
      <c r="AA1177" s="26"/>
      <c r="AB1177" s="26"/>
      <c r="AC1177" s="26"/>
    </row>
    <row r="1178" ht="33.75" customHeight="1">
      <c r="A1178" s="54" t="s">
        <v>2000</v>
      </c>
      <c r="B1178" s="209" t="s">
        <v>1852</v>
      </c>
      <c r="C1178" s="209" t="s">
        <v>1991</v>
      </c>
      <c r="D1178" s="209" t="s">
        <v>2001</v>
      </c>
      <c r="E1178" s="209" t="s">
        <v>2002</v>
      </c>
      <c r="F1178" s="54" t="s">
        <v>2003</v>
      </c>
      <c r="G1178" s="54" t="s">
        <v>168</v>
      </c>
      <c r="H1178" s="54" t="s">
        <v>168</v>
      </c>
      <c r="I1178" s="54"/>
      <c r="J1178" s="54" t="s">
        <v>9</v>
      </c>
      <c r="K1178" s="54" t="s">
        <v>9</v>
      </c>
      <c r="L1178" s="202">
        <f>IF(COUNT(L1179:N1181)=0,"",SUM(L1179:L1181))</f>
        <v>0.75</v>
      </c>
      <c r="M1178" s="174">
        <f t="shared" si="696"/>
        <v>1.125</v>
      </c>
      <c r="N1178" s="202">
        <f>IF(COUNT(L1179:N1181)=0,"",SUM(N1179:N1181))</f>
        <v>1.5</v>
      </c>
      <c r="O1178" s="202">
        <f>IF(COUNT(O1179:O1181)=0,"",SUM(O1179:O1181))</f>
        <v>1.125</v>
      </c>
      <c r="P1178" s="210"/>
      <c r="Q1178" s="202">
        <f>IF(COUNT(Q1179:Q1181)=0,"",SUM(Q1179:Q1181))</f>
        <v>1.125</v>
      </c>
      <c r="R1178" s="163"/>
      <c r="S1178" s="163"/>
      <c r="T1178" s="54" t="s">
        <v>65</v>
      </c>
      <c r="U1178" s="179"/>
      <c r="V1178" s="179"/>
      <c r="W1178" s="179"/>
      <c r="X1178" s="105"/>
      <c r="Y1178" s="105"/>
      <c r="Z1178" s="105"/>
      <c r="AA1178" s="105"/>
      <c r="AB1178" s="105"/>
      <c r="AC1178" s="105"/>
    </row>
    <row r="1179" ht="33.75" customHeight="1">
      <c r="A1179" s="217" t="s">
        <v>1997</v>
      </c>
      <c r="B1179" s="215" t="s">
        <v>1852</v>
      </c>
      <c r="C1179" s="215" t="s">
        <v>1991</v>
      </c>
      <c r="D1179" s="215" t="s">
        <v>2001</v>
      </c>
      <c r="E1179" s="215" t="s">
        <v>2002</v>
      </c>
      <c r="F1179" s="65" t="s">
        <v>2003</v>
      </c>
      <c r="G1179" s="65" t="s">
        <v>168</v>
      </c>
      <c r="H1179" s="65" t="s">
        <v>168</v>
      </c>
      <c r="I1179" s="65"/>
      <c r="J1179" s="65" t="s">
        <v>9</v>
      </c>
      <c r="K1179" s="65" t="s">
        <v>9</v>
      </c>
      <c r="L1179" s="128">
        <v>0.25</v>
      </c>
      <c r="M1179" s="180">
        <f t="shared" si="696"/>
        <v>0.375</v>
      </c>
      <c r="N1179" s="128">
        <v>0.5</v>
      </c>
      <c r="O1179" s="129">
        <f t="shared" ref="O1179:O1181" si="749">IF(COUNT(L1179:N1179)=0,"",(L1179+4*M1179+N1179)/6)</f>
        <v>0.375</v>
      </c>
      <c r="P1179" s="159"/>
      <c r="Q1179" s="208">
        <f t="shared" ref="Q1179:Q1181" si="750">IF(O1179="","",IF(P1179="",O1179,O1179*(1+P1179)))</f>
        <v>0.375</v>
      </c>
      <c r="R1179" s="132"/>
      <c r="S1179" s="132"/>
      <c r="T1179" s="65" t="s">
        <v>31</v>
      </c>
      <c r="U1179" s="26"/>
      <c r="V1179" s="26"/>
      <c r="W1179" s="26"/>
      <c r="X1179" s="26"/>
      <c r="Y1179" s="26"/>
      <c r="Z1179" s="26"/>
      <c r="AA1179" s="26"/>
      <c r="AB1179" s="26"/>
      <c r="AC1179" s="26"/>
    </row>
    <row r="1180" ht="33.75" customHeight="1">
      <c r="A1180" s="217" t="s">
        <v>1998</v>
      </c>
      <c r="B1180" s="215" t="s">
        <v>1852</v>
      </c>
      <c r="C1180" s="215" t="s">
        <v>1991</v>
      </c>
      <c r="D1180" s="215" t="s">
        <v>2001</v>
      </c>
      <c r="E1180" s="215" t="s">
        <v>2002</v>
      </c>
      <c r="F1180" s="65" t="s">
        <v>2003</v>
      </c>
      <c r="G1180" s="65" t="s">
        <v>168</v>
      </c>
      <c r="H1180" s="65" t="s">
        <v>168</v>
      </c>
      <c r="I1180" s="65"/>
      <c r="J1180" s="65" t="s">
        <v>9</v>
      </c>
      <c r="K1180" s="65" t="s">
        <v>9</v>
      </c>
      <c r="L1180" s="128">
        <v>0.25</v>
      </c>
      <c r="M1180" s="180">
        <f t="shared" si="696"/>
        <v>0.375</v>
      </c>
      <c r="N1180" s="128">
        <v>0.5</v>
      </c>
      <c r="O1180" s="129">
        <f t="shared" si="749"/>
        <v>0.375</v>
      </c>
      <c r="P1180" s="159"/>
      <c r="Q1180" s="208">
        <f t="shared" si="750"/>
        <v>0.375</v>
      </c>
      <c r="R1180" s="132"/>
      <c r="S1180" s="132"/>
      <c r="T1180" s="65" t="s">
        <v>32</v>
      </c>
      <c r="U1180" s="26"/>
      <c r="V1180" s="26"/>
      <c r="W1180" s="26"/>
      <c r="X1180" s="26"/>
      <c r="Y1180" s="26"/>
      <c r="Z1180" s="26"/>
      <c r="AA1180" s="26"/>
      <c r="AB1180" s="26"/>
      <c r="AC1180" s="26"/>
    </row>
    <row r="1181" ht="33.75" customHeight="1">
      <c r="A1181" s="217" t="s">
        <v>1999</v>
      </c>
      <c r="B1181" s="215" t="s">
        <v>1852</v>
      </c>
      <c r="C1181" s="215" t="s">
        <v>1991</v>
      </c>
      <c r="D1181" s="215" t="s">
        <v>2001</v>
      </c>
      <c r="E1181" s="215" t="s">
        <v>2002</v>
      </c>
      <c r="F1181" s="65" t="s">
        <v>2003</v>
      </c>
      <c r="G1181" s="65" t="s">
        <v>168</v>
      </c>
      <c r="H1181" s="65" t="s">
        <v>168</v>
      </c>
      <c r="I1181" s="65"/>
      <c r="J1181" s="65" t="s">
        <v>9</v>
      </c>
      <c r="K1181" s="65" t="s">
        <v>9</v>
      </c>
      <c r="L1181" s="128">
        <v>0.25</v>
      </c>
      <c r="M1181" s="180">
        <f t="shared" si="696"/>
        <v>0.375</v>
      </c>
      <c r="N1181" s="128">
        <v>0.5</v>
      </c>
      <c r="O1181" s="129">
        <f t="shared" si="749"/>
        <v>0.375</v>
      </c>
      <c r="P1181" s="159"/>
      <c r="Q1181" s="208">
        <f t="shared" si="750"/>
        <v>0.375</v>
      </c>
      <c r="R1181" s="132"/>
      <c r="S1181" s="132"/>
      <c r="T1181" s="65" t="s">
        <v>70</v>
      </c>
      <c r="U1181" s="26"/>
      <c r="V1181" s="26"/>
      <c r="W1181" s="26"/>
      <c r="X1181" s="26"/>
      <c r="Y1181" s="26"/>
      <c r="Z1181" s="26"/>
      <c r="AA1181" s="26"/>
      <c r="AB1181" s="26"/>
      <c r="AC1181" s="26"/>
    </row>
    <row r="1182" ht="33.75" customHeight="1">
      <c r="A1182" s="54" t="s">
        <v>2004</v>
      </c>
      <c r="B1182" s="209" t="s">
        <v>1852</v>
      </c>
      <c r="C1182" s="209" t="s">
        <v>1991</v>
      </c>
      <c r="D1182" s="209" t="s">
        <v>2005</v>
      </c>
      <c r="E1182" s="209" t="s">
        <v>2006</v>
      </c>
      <c r="F1182" s="54" t="s">
        <v>1894</v>
      </c>
      <c r="G1182" s="54" t="s">
        <v>154</v>
      </c>
      <c r="H1182" s="54" t="s">
        <v>154</v>
      </c>
      <c r="I1182" s="54"/>
      <c r="J1182" s="54" t="s">
        <v>9</v>
      </c>
      <c r="K1182" s="54" t="s">
        <v>9</v>
      </c>
      <c r="L1182" s="202">
        <f>IF(COUNT(L1183:N1185)=0,"",SUM(L1183:L1185))</f>
        <v>0.75</v>
      </c>
      <c r="M1182" s="174">
        <f t="shared" si="696"/>
        <v>1.125</v>
      </c>
      <c r="N1182" s="202">
        <f>IF(COUNT(L1183:N1185)=0,"",SUM(N1183:N1185))</f>
        <v>1.5</v>
      </c>
      <c r="O1182" s="202">
        <f>IF(COUNT(O1183:O1185)=0,"",SUM(O1183:O1185))</f>
        <v>1.125</v>
      </c>
      <c r="P1182" s="210"/>
      <c r="Q1182" s="202">
        <f>IF(COUNT(Q1183:Q1185)=0,"",SUM(Q1183:Q1185))</f>
        <v>1.125</v>
      </c>
      <c r="R1182" s="163"/>
      <c r="S1182" s="163"/>
      <c r="T1182" s="54" t="s">
        <v>65</v>
      </c>
      <c r="U1182" s="179"/>
      <c r="V1182" s="179"/>
      <c r="W1182" s="179"/>
      <c r="X1182" s="105"/>
      <c r="Y1182" s="105"/>
      <c r="Z1182" s="105"/>
      <c r="AA1182" s="105"/>
      <c r="AB1182" s="105"/>
      <c r="AC1182" s="105"/>
    </row>
    <row r="1183" ht="33.75" customHeight="1">
      <c r="A1183" s="217" t="s">
        <v>1997</v>
      </c>
      <c r="B1183" s="215" t="s">
        <v>1852</v>
      </c>
      <c r="C1183" s="215" t="s">
        <v>1991</v>
      </c>
      <c r="D1183" s="215" t="s">
        <v>2005</v>
      </c>
      <c r="E1183" s="215" t="s">
        <v>2006</v>
      </c>
      <c r="F1183" s="65" t="s">
        <v>1894</v>
      </c>
      <c r="G1183" s="65" t="s">
        <v>154</v>
      </c>
      <c r="H1183" s="65" t="s">
        <v>154</v>
      </c>
      <c r="I1183" s="65"/>
      <c r="J1183" s="65" t="s">
        <v>9</v>
      </c>
      <c r="K1183" s="65" t="s">
        <v>9</v>
      </c>
      <c r="L1183" s="128">
        <v>0.25</v>
      </c>
      <c r="M1183" s="180">
        <f t="shared" si="696"/>
        <v>0.375</v>
      </c>
      <c r="N1183" s="128">
        <v>0.5</v>
      </c>
      <c r="O1183" s="129">
        <f t="shared" ref="O1183:O1185" si="751">IF(COUNT(L1183:N1183)=0,"",(L1183+4*M1183+N1183)/6)</f>
        <v>0.375</v>
      </c>
      <c r="P1183" s="159"/>
      <c r="Q1183" s="208">
        <f t="shared" ref="Q1183:Q1185" si="752">IF(O1183="","",IF(P1183="",O1183,O1183*(1+P1183)))</f>
        <v>0.375</v>
      </c>
      <c r="R1183" s="132"/>
      <c r="S1183" s="132"/>
      <c r="T1183" s="65" t="s">
        <v>31</v>
      </c>
      <c r="U1183" s="26"/>
      <c r="V1183" s="26"/>
      <c r="W1183" s="26"/>
      <c r="X1183" s="26"/>
      <c r="Y1183" s="26"/>
      <c r="Z1183" s="26"/>
      <c r="AA1183" s="26"/>
      <c r="AB1183" s="26"/>
      <c r="AC1183" s="26"/>
    </row>
    <row r="1184" ht="33.75" customHeight="1">
      <c r="A1184" s="217" t="s">
        <v>1998</v>
      </c>
      <c r="B1184" s="215" t="s">
        <v>1852</v>
      </c>
      <c r="C1184" s="215" t="s">
        <v>1991</v>
      </c>
      <c r="D1184" s="215" t="s">
        <v>2005</v>
      </c>
      <c r="E1184" s="215" t="s">
        <v>2006</v>
      </c>
      <c r="F1184" s="65" t="s">
        <v>1894</v>
      </c>
      <c r="G1184" s="65" t="s">
        <v>154</v>
      </c>
      <c r="H1184" s="65" t="s">
        <v>154</v>
      </c>
      <c r="I1184" s="65"/>
      <c r="J1184" s="65" t="s">
        <v>9</v>
      </c>
      <c r="K1184" s="65" t="s">
        <v>9</v>
      </c>
      <c r="L1184" s="128">
        <v>0.25</v>
      </c>
      <c r="M1184" s="180">
        <f t="shared" si="696"/>
        <v>0.375</v>
      </c>
      <c r="N1184" s="128">
        <v>0.5</v>
      </c>
      <c r="O1184" s="129">
        <f t="shared" si="751"/>
        <v>0.375</v>
      </c>
      <c r="P1184" s="159"/>
      <c r="Q1184" s="208">
        <f t="shared" si="752"/>
        <v>0.375</v>
      </c>
      <c r="R1184" s="132"/>
      <c r="S1184" s="132"/>
      <c r="T1184" s="65" t="s">
        <v>32</v>
      </c>
      <c r="U1184" s="26"/>
      <c r="V1184" s="26"/>
      <c r="W1184" s="26"/>
      <c r="X1184" s="26"/>
      <c r="Y1184" s="26"/>
      <c r="Z1184" s="26"/>
      <c r="AA1184" s="26"/>
      <c r="AB1184" s="26"/>
      <c r="AC1184" s="26"/>
    </row>
    <row r="1185" ht="33.75" customHeight="1">
      <c r="A1185" s="217" t="s">
        <v>1999</v>
      </c>
      <c r="B1185" s="215" t="s">
        <v>1852</v>
      </c>
      <c r="C1185" s="215" t="s">
        <v>1991</v>
      </c>
      <c r="D1185" s="215" t="s">
        <v>2005</v>
      </c>
      <c r="E1185" s="215" t="s">
        <v>2006</v>
      </c>
      <c r="F1185" s="65" t="s">
        <v>1894</v>
      </c>
      <c r="G1185" s="65" t="s">
        <v>154</v>
      </c>
      <c r="H1185" s="65" t="s">
        <v>154</v>
      </c>
      <c r="I1185" s="65"/>
      <c r="J1185" s="65" t="s">
        <v>9</v>
      </c>
      <c r="K1185" s="65" t="s">
        <v>9</v>
      </c>
      <c r="L1185" s="128">
        <v>0.25</v>
      </c>
      <c r="M1185" s="180">
        <f t="shared" si="696"/>
        <v>0.375</v>
      </c>
      <c r="N1185" s="128">
        <v>0.5</v>
      </c>
      <c r="O1185" s="129">
        <f t="shared" si="751"/>
        <v>0.375</v>
      </c>
      <c r="P1185" s="159"/>
      <c r="Q1185" s="208">
        <f t="shared" si="752"/>
        <v>0.375</v>
      </c>
      <c r="R1185" s="132"/>
      <c r="S1185" s="132"/>
      <c r="T1185" s="65" t="s">
        <v>70</v>
      </c>
      <c r="U1185" s="26"/>
      <c r="V1185" s="26"/>
      <c r="W1185" s="26"/>
      <c r="X1185" s="26"/>
      <c r="Y1185" s="26"/>
      <c r="Z1185" s="26"/>
      <c r="AA1185" s="26"/>
      <c r="AB1185" s="26"/>
      <c r="AC1185" s="26"/>
    </row>
    <row r="1186" ht="33.75" customHeight="1">
      <c r="A1186" s="27" t="s">
        <v>2007</v>
      </c>
      <c r="B1186" s="28"/>
      <c r="C1186" s="28"/>
      <c r="D1186" s="28"/>
      <c r="E1186" s="29"/>
      <c r="F1186" s="30"/>
      <c r="G1186" s="30"/>
      <c r="H1186" s="30"/>
      <c r="I1186" s="30"/>
      <c r="J1186" s="30"/>
      <c r="K1186" s="31"/>
      <c r="L1186" s="32">
        <f t="shared" ref="L1186:O1186" si="753">SUM(X1187:X1320)</f>
        <v>42.5</v>
      </c>
      <c r="M1186" s="32">
        <f t="shared" si="753"/>
        <v>60.875</v>
      </c>
      <c r="N1186" s="32">
        <f t="shared" si="753"/>
        <v>79.25</v>
      </c>
      <c r="O1186" s="32">
        <f t="shared" si="753"/>
        <v>60.875</v>
      </c>
      <c r="P1186" s="32"/>
      <c r="Q1186" s="32">
        <f>SUM(AC1187:AC1320)</f>
        <v>60.875</v>
      </c>
      <c r="R1186" s="34"/>
      <c r="S1186" s="34"/>
      <c r="T1186" s="35" t="s">
        <v>59</v>
      </c>
      <c r="U1186" s="26"/>
      <c r="V1186" s="26"/>
      <c r="W1186" s="26"/>
      <c r="X1186" s="26"/>
      <c r="Y1186" s="26"/>
      <c r="Z1186" s="26"/>
      <c r="AA1186" s="26"/>
      <c r="AB1186" s="26"/>
      <c r="AC1186" s="26"/>
    </row>
    <row r="1187" ht="33.75" customHeight="1">
      <c r="A1187" s="45" t="s">
        <v>2008</v>
      </c>
      <c r="B1187" s="212" t="s">
        <v>2009</v>
      </c>
      <c r="C1187" s="212" t="s">
        <v>2010</v>
      </c>
      <c r="D1187" s="212" t="s">
        <v>2010</v>
      </c>
      <c r="E1187" s="212" t="s">
        <v>2011</v>
      </c>
      <c r="F1187" s="45"/>
      <c r="G1187" s="45"/>
      <c r="H1187" s="45"/>
      <c r="I1187" s="45"/>
      <c r="J1187" s="45"/>
      <c r="K1187" s="123"/>
      <c r="L1187" s="213">
        <f>IF(COUNT(L1188,L1192,L1196,L1200,L1204,L1208)=0,"",SUM(L1188,L1192,L1196,L1200,L1204,L1208))</f>
        <v>4.25</v>
      </c>
      <c r="M1187" s="213">
        <f t="shared" ref="M1187:M1320" si="756">(N1187+L1187)/2</f>
        <v>7.125</v>
      </c>
      <c r="N1187" s="213">
        <f t="shared" ref="N1187:O1187" si="754">IF(COUNT(N1188,N1192,N1196,N1200,N1204,N1208)=0,"",SUM(N1188,N1192,N1196,N1200,N1204,N1208))</f>
        <v>10</v>
      </c>
      <c r="O1187" s="213">
        <f t="shared" si="754"/>
        <v>7.125</v>
      </c>
      <c r="P1187" s="214"/>
      <c r="Q1187" s="213">
        <f>IF(COUNT(Q1188,Q1192,Q1196,Q1200,Q1204,Q1208)=0,"",SUM(Q1188,Q1192,Q1196,Q1200,Q1204,Q1208))</f>
        <v>7.125</v>
      </c>
      <c r="R1187" s="126"/>
      <c r="S1187" s="126"/>
      <c r="T1187" s="45" t="s">
        <v>62</v>
      </c>
      <c r="U1187" s="26"/>
      <c r="V1187" s="26"/>
      <c r="W1187" s="26"/>
      <c r="X1187" s="46">
        <f t="shared" ref="X1187:AA1187" si="755">L1187</f>
        <v>4.25</v>
      </c>
      <c r="Y1187" s="46">
        <f t="shared" si="755"/>
        <v>7.125</v>
      </c>
      <c r="Z1187" s="46">
        <f t="shared" si="755"/>
        <v>10</v>
      </c>
      <c r="AA1187" s="46">
        <f t="shared" si="755"/>
        <v>7.125</v>
      </c>
      <c r="AB1187" s="26"/>
      <c r="AC1187" s="46">
        <f>Q1187</f>
        <v>7.125</v>
      </c>
    </row>
    <row r="1188" ht="33.75" customHeight="1">
      <c r="A1188" s="54" t="s">
        <v>2012</v>
      </c>
      <c r="B1188" s="209" t="s">
        <v>2009</v>
      </c>
      <c r="C1188" s="209" t="s">
        <v>2010</v>
      </c>
      <c r="D1188" s="209" t="s">
        <v>2013</v>
      </c>
      <c r="E1188" s="209" t="s">
        <v>2014</v>
      </c>
      <c r="F1188" s="54"/>
      <c r="G1188" s="54" t="s">
        <v>168</v>
      </c>
      <c r="H1188" s="54" t="s">
        <v>168</v>
      </c>
      <c r="I1188" s="54"/>
      <c r="J1188" s="54" t="s">
        <v>9</v>
      </c>
      <c r="K1188" s="119" t="s">
        <v>9</v>
      </c>
      <c r="L1188" s="202">
        <f>IF(COUNT(L1189:N1191)=0,"",SUM(L1189:L1191))</f>
        <v>1.5</v>
      </c>
      <c r="M1188" s="174">
        <f t="shared" si="756"/>
        <v>3</v>
      </c>
      <c r="N1188" s="202">
        <f>IF(COUNT(L1189:N1191)=0,"",SUM(N1189:N1191))</f>
        <v>4.5</v>
      </c>
      <c r="O1188" s="202">
        <f>IF(COUNT(O1189:O1191)=0,"",SUM(O1189:O1191))</f>
        <v>3</v>
      </c>
      <c r="P1188" s="210"/>
      <c r="Q1188" s="202">
        <f>IF(COUNT(Q1189:Q1191)=0,"",SUM(Q1189:Q1191))</f>
        <v>3</v>
      </c>
      <c r="R1188" s="163"/>
      <c r="S1188" s="163"/>
      <c r="T1188" s="54" t="s">
        <v>65</v>
      </c>
      <c r="U1188" s="179"/>
      <c r="V1188" s="179"/>
      <c r="W1188" s="179"/>
      <c r="X1188" s="105"/>
      <c r="Y1188" s="105"/>
      <c r="Z1188" s="105"/>
      <c r="AA1188" s="105"/>
      <c r="AB1188" s="179"/>
      <c r="AC1188" s="105"/>
    </row>
    <row r="1189" ht="33.75" customHeight="1">
      <c r="A1189" s="65" t="s">
        <v>2015</v>
      </c>
      <c r="B1189" s="215" t="s">
        <v>2009</v>
      </c>
      <c r="C1189" s="215" t="s">
        <v>2010</v>
      </c>
      <c r="D1189" s="215" t="s">
        <v>2013</v>
      </c>
      <c r="E1189" s="215" t="s">
        <v>2014</v>
      </c>
      <c r="F1189" s="65"/>
      <c r="G1189" s="65" t="s">
        <v>168</v>
      </c>
      <c r="H1189" s="65" t="s">
        <v>168</v>
      </c>
      <c r="I1189" s="65"/>
      <c r="J1189" s="65" t="s">
        <v>9</v>
      </c>
      <c r="K1189" s="65" t="s">
        <v>9</v>
      </c>
      <c r="L1189" s="128">
        <v>0.5</v>
      </c>
      <c r="M1189" s="180">
        <f t="shared" si="756"/>
        <v>1</v>
      </c>
      <c r="N1189" s="128">
        <v>1.5</v>
      </c>
      <c r="O1189" s="129">
        <f t="shared" ref="O1189:O1191" si="757">IF(COUNT(L1189:N1189)=0,"",(L1189+4*M1189+N1189)/6)</f>
        <v>1</v>
      </c>
      <c r="P1189" s="159"/>
      <c r="Q1189" s="208">
        <f t="shared" ref="Q1189:Q1191" si="758">IF(O1189="","",IF(P1189="",O1189,O1189*(1+P1189)))</f>
        <v>1</v>
      </c>
      <c r="R1189" s="132"/>
      <c r="S1189" s="132"/>
      <c r="T1189" s="65" t="s">
        <v>31</v>
      </c>
      <c r="U1189" s="26"/>
      <c r="V1189" s="26"/>
      <c r="W1189" s="26"/>
      <c r="X1189" s="26"/>
      <c r="Y1189" s="26"/>
      <c r="Z1189" s="26"/>
      <c r="AA1189" s="26"/>
      <c r="AB1189" s="26"/>
      <c r="AC1189" s="26"/>
    </row>
    <row r="1190" ht="33.75" customHeight="1">
      <c r="A1190" s="65" t="s">
        <v>2016</v>
      </c>
      <c r="B1190" s="215" t="s">
        <v>2009</v>
      </c>
      <c r="C1190" s="215" t="s">
        <v>2010</v>
      </c>
      <c r="D1190" s="215" t="s">
        <v>2013</v>
      </c>
      <c r="E1190" s="215" t="s">
        <v>2014</v>
      </c>
      <c r="F1190" s="65"/>
      <c r="G1190" s="65" t="s">
        <v>168</v>
      </c>
      <c r="H1190" s="65" t="s">
        <v>168</v>
      </c>
      <c r="I1190" s="65"/>
      <c r="J1190" s="65" t="s">
        <v>9</v>
      </c>
      <c r="K1190" s="65" t="s">
        <v>9</v>
      </c>
      <c r="L1190" s="128">
        <v>0.5</v>
      </c>
      <c r="M1190" s="180">
        <f t="shared" si="756"/>
        <v>1</v>
      </c>
      <c r="N1190" s="128">
        <v>1.5</v>
      </c>
      <c r="O1190" s="129">
        <f t="shared" si="757"/>
        <v>1</v>
      </c>
      <c r="P1190" s="159"/>
      <c r="Q1190" s="208">
        <f t="shared" si="758"/>
        <v>1</v>
      </c>
      <c r="R1190" s="132"/>
      <c r="S1190" s="132"/>
      <c r="T1190" s="65" t="s">
        <v>32</v>
      </c>
      <c r="U1190" s="26"/>
      <c r="V1190" s="26"/>
      <c r="W1190" s="26"/>
      <c r="X1190" s="26"/>
      <c r="Y1190" s="26"/>
      <c r="Z1190" s="26"/>
      <c r="AA1190" s="26"/>
      <c r="AB1190" s="26"/>
      <c r="AC1190" s="26"/>
    </row>
    <row r="1191" ht="33.75" customHeight="1">
      <c r="A1191" s="65" t="s">
        <v>2017</v>
      </c>
      <c r="B1191" s="215" t="s">
        <v>2009</v>
      </c>
      <c r="C1191" s="215" t="s">
        <v>2010</v>
      </c>
      <c r="D1191" s="215" t="s">
        <v>2013</v>
      </c>
      <c r="E1191" s="215" t="s">
        <v>2014</v>
      </c>
      <c r="F1191" s="65"/>
      <c r="G1191" s="65" t="s">
        <v>168</v>
      </c>
      <c r="H1191" s="65" t="s">
        <v>168</v>
      </c>
      <c r="I1191" s="65"/>
      <c r="J1191" s="65" t="s">
        <v>9</v>
      </c>
      <c r="K1191" s="65" t="s">
        <v>9</v>
      </c>
      <c r="L1191" s="128">
        <v>0.5</v>
      </c>
      <c r="M1191" s="180">
        <f t="shared" si="756"/>
        <v>1</v>
      </c>
      <c r="N1191" s="128">
        <v>1.5</v>
      </c>
      <c r="O1191" s="129">
        <f t="shared" si="757"/>
        <v>1</v>
      </c>
      <c r="P1191" s="159"/>
      <c r="Q1191" s="208">
        <f t="shared" si="758"/>
        <v>1</v>
      </c>
      <c r="R1191" s="132"/>
      <c r="S1191" s="132"/>
      <c r="T1191" s="65" t="s">
        <v>70</v>
      </c>
      <c r="U1191" s="26"/>
      <c r="V1191" s="26"/>
      <c r="W1191" s="26"/>
      <c r="X1191" s="26"/>
      <c r="Y1191" s="26"/>
      <c r="Z1191" s="26"/>
      <c r="AA1191" s="26"/>
      <c r="AB1191" s="26"/>
      <c r="AC1191" s="26"/>
    </row>
    <row r="1192" ht="33.75" customHeight="1">
      <c r="A1192" s="54" t="s">
        <v>2018</v>
      </c>
      <c r="B1192" s="209" t="s">
        <v>2009</v>
      </c>
      <c r="C1192" s="209" t="s">
        <v>2010</v>
      </c>
      <c r="D1192" s="209" t="s">
        <v>2019</v>
      </c>
      <c r="E1192" s="209" t="s">
        <v>2020</v>
      </c>
      <c r="F1192" s="54" t="s">
        <v>2012</v>
      </c>
      <c r="G1192" s="54" t="s">
        <v>168</v>
      </c>
      <c r="H1192" s="54" t="s">
        <v>168</v>
      </c>
      <c r="I1192" s="54"/>
      <c r="J1192" s="54" t="s">
        <v>9</v>
      </c>
      <c r="K1192" s="54" t="s">
        <v>9</v>
      </c>
      <c r="L1192" s="202">
        <f>IF(COUNT(L1193:N1195)=0,"",SUM(L1193:L1195))</f>
        <v>0.75</v>
      </c>
      <c r="M1192" s="174">
        <f t="shared" si="756"/>
        <v>1</v>
      </c>
      <c r="N1192" s="202">
        <f>IF(COUNT(L1193:N1195)=0,"",SUM(N1193:N1195))</f>
        <v>1.25</v>
      </c>
      <c r="O1192" s="202">
        <f>IF(COUNT(O1193:O1195)=0,"",SUM(O1193:O1195))</f>
        <v>1</v>
      </c>
      <c r="P1192" s="210"/>
      <c r="Q1192" s="202">
        <f>IF(COUNT(Q1193:Q1195)=0,"",SUM(Q1193:Q1195))</f>
        <v>1</v>
      </c>
      <c r="R1192" s="163"/>
      <c r="S1192" s="163"/>
      <c r="T1192" s="54" t="s">
        <v>65</v>
      </c>
      <c r="U1192" s="179"/>
      <c r="V1192" s="179"/>
      <c r="W1192" s="179"/>
      <c r="X1192" s="105"/>
      <c r="Y1192" s="105"/>
      <c r="Z1192" s="105"/>
      <c r="AA1192" s="105"/>
      <c r="AB1192" s="105"/>
      <c r="AC1192" s="105"/>
    </row>
    <row r="1193" ht="33.75" customHeight="1">
      <c r="A1193" s="65" t="s">
        <v>2021</v>
      </c>
      <c r="B1193" s="215" t="s">
        <v>2009</v>
      </c>
      <c r="C1193" s="215" t="s">
        <v>2010</v>
      </c>
      <c r="D1193" s="215" t="s">
        <v>2019</v>
      </c>
      <c r="E1193" s="215" t="s">
        <v>2020</v>
      </c>
      <c r="F1193" s="65" t="s">
        <v>2012</v>
      </c>
      <c r="G1193" s="65" t="s">
        <v>168</v>
      </c>
      <c r="H1193" s="65" t="s">
        <v>168</v>
      </c>
      <c r="I1193" s="65"/>
      <c r="J1193" s="65" t="s">
        <v>9</v>
      </c>
      <c r="K1193" s="65" t="s">
        <v>9</v>
      </c>
      <c r="L1193" s="128">
        <v>0.25</v>
      </c>
      <c r="M1193" s="180">
        <f t="shared" si="756"/>
        <v>0.375</v>
      </c>
      <c r="N1193" s="128">
        <v>0.5</v>
      </c>
      <c r="O1193" s="129">
        <f t="shared" ref="O1193:O1195" si="759">IF(COUNT(L1193:N1193)=0,"",(L1193+4*M1193+N1193)/6)</f>
        <v>0.375</v>
      </c>
      <c r="P1193" s="159"/>
      <c r="Q1193" s="208">
        <f t="shared" ref="Q1193:Q1195" si="760">IF(O1193="","",IF(P1193="",O1193,O1193*(1+P1193)))</f>
        <v>0.375</v>
      </c>
      <c r="R1193" s="132"/>
      <c r="S1193" s="132"/>
      <c r="T1193" s="65" t="s">
        <v>31</v>
      </c>
      <c r="U1193" s="26"/>
      <c r="V1193" s="26"/>
      <c r="W1193" s="26"/>
      <c r="X1193" s="26"/>
      <c r="Y1193" s="26"/>
      <c r="Z1193" s="26"/>
      <c r="AA1193" s="26"/>
      <c r="AB1193" s="26"/>
      <c r="AC1193" s="26"/>
    </row>
    <row r="1194" ht="33.75" customHeight="1">
      <c r="A1194" s="65" t="s">
        <v>2022</v>
      </c>
      <c r="B1194" s="215" t="s">
        <v>2009</v>
      </c>
      <c r="C1194" s="215" t="s">
        <v>2010</v>
      </c>
      <c r="D1194" s="215" t="s">
        <v>2019</v>
      </c>
      <c r="E1194" s="215" t="s">
        <v>2020</v>
      </c>
      <c r="F1194" s="65" t="s">
        <v>2012</v>
      </c>
      <c r="G1194" s="65" t="s">
        <v>168</v>
      </c>
      <c r="H1194" s="65" t="s">
        <v>168</v>
      </c>
      <c r="I1194" s="65"/>
      <c r="J1194" s="65" t="s">
        <v>9</v>
      </c>
      <c r="K1194" s="65" t="s">
        <v>9</v>
      </c>
      <c r="L1194" s="128">
        <v>0.5</v>
      </c>
      <c r="M1194" s="180">
        <f t="shared" si="756"/>
        <v>0.625</v>
      </c>
      <c r="N1194" s="128">
        <v>0.75</v>
      </c>
      <c r="O1194" s="129">
        <f t="shared" si="759"/>
        <v>0.625</v>
      </c>
      <c r="P1194" s="159"/>
      <c r="Q1194" s="208">
        <f t="shared" si="760"/>
        <v>0.625</v>
      </c>
      <c r="R1194" s="132"/>
      <c r="S1194" s="132"/>
      <c r="T1194" s="65" t="s">
        <v>32</v>
      </c>
      <c r="U1194" s="26"/>
      <c r="V1194" s="26"/>
      <c r="W1194" s="26"/>
      <c r="X1194" s="26"/>
      <c r="Y1194" s="26"/>
      <c r="Z1194" s="26"/>
      <c r="AA1194" s="26"/>
      <c r="AB1194" s="26"/>
      <c r="AC1194" s="26"/>
    </row>
    <row r="1195" ht="33.75" customHeight="1">
      <c r="A1195" s="65" t="s">
        <v>2023</v>
      </c>
      <c r="B1195" s="215" t="s">
        <v>2009</v>
      </c>
      <c r="C1195" s="215" t="s">
        <v>2010</v>
      </c>
      <c r="D1195" s="215" t="s">
        <v>2019</v>
      </c>
      <c r="E1195" s="215" t="s">
        <v>2020</v>
      </c>
      <c r="F1195" s="65" t="s">
        <v>2012</v>
      </c>
      <c r="G1195" s="65" t="s">
        <v>168</v>
      </c>
      <c r="H1195" s="65" t="s">
        <v>168</v>
      </c>
      <c r="I1195" s="65"/>
      <c r="J1195" s="65" t="s">
        <v>9</v>
      </c>
      <c r="K1195" s="65" t="s">
        <v>9</v>
      </c>
      <c r="L1195" s="128">
        <v>0.0</v>
      </c>
      <c r="M1195" s="180">
        <f t="shared" si="756"/>
        <v>0</v>
      </c>
      <c r="N1195" s="128">
        <v>0.0</v>
      </c>
      <c r="O1195" s="129">
        <f t="shared" si="759"/>
        <v>0</v>
      </c>
      <c r="P1195" s="159"/>
      <c r="Q1195" s="208">
        <f t="shared" si="760"/>
        <v>0</v>
      </c>
      <c r="R1195" s="132"/>
      <c r="S1195" s="132"/>
      <c r="T1195" s="65" t="s">
        <v>70</v>
      </c>
      <c r="U1195" s="26"/>
      <c r="V1195" s="26"/>
      <c r="W1195" s="26"/>
      <c r="X1195" s="26"/>
      <c r="Y1195" s="26"/>
      <c r="Z1195" s="26"/>
      <c r="AA1195" s="26"/>
      <c r="AB1195" s="26"/>
      <c r="AC1195" s="26"/>
    </row>
    <row r="1196" ht="33.75" customHeight="1">
      <c r="A1196" s="54" t="s">
        <v>2024</v>
      </c>
      <c r="B1196" s="209" t="s">
        <v>2009</v>
      </c>
      <c r="C1196" s="209" t="s">
        <v>2010</v>
      </c>
      <c r="D1196" s="209" t="s">
        <v>2025</v>
      </c>
      <c r="E1196" s="209" t="s">
        <v>2026</v>
      </c>
      <c r="F1196" s="54" t="s">
        <v>2012</v>
      </c>
      <c r="G1196" s="54" t="s">
        <v>168</v>
      </c>
      <c r="H1196" s="54" t="s">
        <v>168</v>
      </c>
      <c r="I1196" s="54"/>
      <c r="J1196" s="54" t="s">
        <v>9</v>
      </c>
      <c r="K1196" s="54" t="s">
        <v>9</v>
      </c>
      <c r="L1196" s="202">
        <f>IF(COUNT(L1197:N1199)=0,"",SUM(L1197:L1199))</f>
        <v>0.75</v>
      </c>
      <c r="M1196" s="174">
        <f t="shared" si="756"/>
        <v>1.125</v>
      </c>
      <c r="N1196" s="202">
        <f>IF(COUNT(L1197:N1199)=0,"",SUM(N1197:N1199))</f>
        <v>1.5</v>
      </c>
      <c r="O1196" s="202">
        <f>IF(COUNT(O1197:O1199)=0,"",SUM(O1197:O1199))</f>
        <v>1.125</v>
      </c>
      <c r="P1196" s="210"/>
      <c r="Q1196" s="202">
        <f>IF(COUNT(Q1197:Q1199)=0,"",SUM(Q1197:Q1199))</f>
        <v>1.125</v>
      </c>
      <c r="R1196" s="163"/>
      <c r="S1196" s="163"/>
      <c r="T1196" s="54" t="s">
        <v>65</v>
      </c>
      <c r="U1196" s="179"/>
      <c r="V1196" s="179"/>
      <c r="W1196" s="179"/>
      <c r="X1196" s="105"/>
      <c r="Y1196" s="105"/>
      <c r="Z1196" s="105"/>
      <c r="AA1196" s="105"/>
      <c r="AB1196" s="105"/>
      <c r="AC1196" s="105"/>
    </row>
    <row r="1197" ht="33.75" customHeight="1">
      <c r="A1197" s="217" t="s">
        <v>2027</v>
      </c>
      <c r="B1197" s="215" t="s">
        <v>2009</v>
      </c>
      <c r="C1197" s="215" t="s">
        <v>2010</v>
      </c>
      <c r="D1197" s="215" t="s">
        <v>2025</v>
      </c>
      <c r="E1197" s="215" t="s">
        <v>2026</v>
      </c>
      <c r="F1197" s="65" t="s">
        <v>2012</v>
      </c>
      <c r="G1197" s="65" t="s">
        <v>168</v>
      </c>
      <c r="H1197" s="65" t="s">
        <v>168</v>
      </c>
      <c r="I1197" s="65"/>
      <c r="J1197" s="65" t="s">
        <v>9</v>
      </c>
      <c r="K1197" s="65" t="s">
        <v>9</v>
      </c>
      <c r="L1197" s="128">
        <v>0.25</v>
      </c>
      <c r="M1197" s="180">
        <f t="shared" si="756"/>
        <v>0.375</v>
      </c>
      <c r="N1197" s="128">
        <v>0.5</v>
      </c>
      <c r="O1197" s="129">
        <f t="shared" ref="O1197:O1199" si="761">IF(COUNT(L1197:N1197)=0,"",(L1197+4*M1197+N1197)/6)</f>
        <v>0.375</v>
      </c>
      <c r="P1197" s="159"/>
      <c r="Q1197" s="208">
        <f t="shared" ref="Q1197:Q1199" si="762">IF(O1197="","",IF(P1197="",O1197,O1197*(1+P1197)))</f>
        <v>0.375</v>
      </c>
      <c r="R1197" s="132"/>
      <c r="S1197" s="132"/>
      <c r="T1197" s="65" t="s">
        <v>31</v>
      </c>
      <c r="U1197" s="26"/>
      <c r="V1197" s="26"/>
      <c r="W1197" s="26"/>
      <c r="X1197" s="26"/>
      <c r="Y1197" s="26"/>
      <c r="Z1197" s="26"/>
      <c r="AA1197" s="26"/>
      <c r="AB1197" s="26"/>
      <c r="AC1197" s="26"/>
    </row>
    <row r="1198" ht="33.75" customHeight="1">
      <c r="A1198" s="217" t="s">
        <v>2028</v>
      </c>
      <c r="B1198" s="215" t="s">
        <v>2009</v>
      </c>
      <c r="C1198" s="215" t="s">
        <v>2010</v>
      </c>
      <c r="D1198" s="215" t="s">
        <v>2025</v>
      </c>
      <c r="E1198" s="215" t="s">
        <v>2026</v>
      </c>
      <c r="F1198" s="65" t="s">
        <v>2012</v>
      </c>
      <c r="G1198" s="65" t="s">
        <v>168</v>
      </c>
      <c r="H1198" s="65" t="s">
        <v>168</v>
      </c>
      <c r="I1198" s="65"/>
      <c r="J1198" s="65" t="s">
        <v>9</v>
      </c>
      <c r="K1198" s="65" t="s">
        <v>9</v>
      </c>
      <c r="L1198" s="128">
        <v>0.25</v>
      </c>
      <c r="M1198" s="180">
        <f t="shared" si="756"/>
        <v>0.375</v>
      </c>
      <c r="N1198" s="128">
        <v>0.5</v>
      </c>
      <c r="O1198" s="129">
        <f t="shared" si="761"/>
        <v>0.375</v>
      </c>
      <c r="P1198" s="159"/>
      <c r="Q1198" s="208">
        <f t="shared" si="762"/>
        <v>0.375</v>
      </c>
      <c r="R1198" s="132"/>
      <c r="S1198" s="132"/>
      <c r="T1198" s="65" t="s">
        <v>32</v>
      </c>
      <c r="U1198" s="26"/>
      <c r="V1198" s="26"/>
      <c r="W1198" s="26"/>
      <c r="X1198" s="26"/>
      <c r="Y1198" s="26"/>
      <c r="Z1198" s="26"/>
      <c r="AA1198" s="26"/>
      <c r="AB1198" s="26"/>
      <c r="AC1198" s="26"/>
    </row>
    <row r="1199" ht="33.75" customHeight="1">
      <c r="A1199" s="217" t="s">
        <v>2029</v>
      </c>
      <c r="B1199" s="215" t="s">
        <v>2009</v>
      </c>
      <c r="C1199" s="215" t="s">
        <v>2010</v>
      </c>
      <c r="D1199" s="215" t="s">
        <v>2025</v>
      </c>
      <c r="E1199" s="215" t="s">
        <v>2026</v>
      </c>
      <c r="F1199" s="65" t="s">
        <v>2012</v>
      </c>
      <c r="G1199" s="65" t="s">
        <v>168</v>
      </c>
      <c r="H1199" s="65" t="s">
        <v>168</v>
      </c>
      <c r="I1199" s="65"/>
      <c r="J1199" s="65" t="s">
        <v>9</v>
      </c>
      <c r="K1199" s="65" t="s">
        <v>9</v>
      </c>
      <c r="L1199" s="128">
        <v>0.25</v>
      </c>
      <c r="M1199" s="180">
        <f t="shared" si="756"/>
        <v>0.375</v>
      </c>
      <c r="N1199" s="128">
        <v>0.5</v>
      </c>
      <c r="O1199" s="129">
        <f t="shared" si="761"/>
        <v>0.375</v>
      </c>
      <c r="P1199" s="159"/>
      <c r="Q1199" s="208">
        <f t="shared" si="762"/>
        <v>0.375</v>
      </c>
      <c r="R1199" s="132"/>
      <c r="S1199" s="132"/>
      <c r="T1199" s="65" t="s">
        <v>70</v>
      </c>
      <c r="U1199" s="26"/>
      <c r="V1199" s="26"/>
      <c r="W1199" s="26"/>
      <c r="X1199" s="26"/>
      <c r="Y1199" s="26"/>
      <c r="Z1199" s="26"/>
      <c r="AA1199" s="26"/>
      <c r="AB1199" s="26"/>
      <c r="AC1199" s="26"/>
    </row>
    <row r="1200" ht="33.75" customHeight="1">
      <c r="A1200" s="54" t="s">
        <v>2030</v>
      </c>
      <c r="B1200" s="209" t="s">
        <v>2009</v>
      </c>
      <c r="C1200" s="209" t="s">
        <v>2010</v>
      </c>
      <c r="D1200" s="209" t="s">
        <v>2031</v>
      </c>
      <c r="E1200" s="209" t="s">
        <v>2032</v>
      </c>
      <c r="F1200" s="54" t="s">
        <v>2012</v>
      </c>
      <c r="G1200" s="54" t="s">
        <v>168</v>
      </c>
      <c r="H1200" s="54" t="s">
        <v>168</v>
      </c>
      <c r="I1200" s="54"/>
      <c r="J1200" s="54" t="s">
        <v>9</v>
      </c>
      <c r="K1200" s="54" t="s">
        <v>9</v>
      </c>
      <c r="L1200" s="202">
        <f>IF(COUNT(L1201:N1203)=0,"",SUM(L1201:L1203))</f>
        <v>0.5</v>
      </c>
      <c r="M1200" s="174">
        <f t="shared" si="756"/>
        <v>0.875</v>
      </c>
      <c r="N1200" s="202">
        <f>IF(COUNT(L1201:N1203)=0,"",SUM(N1201:N1203))</f>
        <v>1.25</v>
      </c>
      <c r="O1200" s="202">
        <f>IF(COUNT(O1201:O1203)=0,"",SUM(O1201:O1203))</f>
        <v>0.875</v>
      </c>
      <c r="P1200" s="210"/>
      <c r="Q1200" s="202">
        <f>IF(COUNT(Q1201:Q1203)=0,"",SUM(Q1201:Q1203))</f>
        <v>0.875</v>
      </c>
      <c r="R1200" s="163"/>
      <c r="S1200" s="163"/>
      <c r="T1200" s="54" t="s">
        <v>65</v>
      </c>
      <c r="U1200" s="179"/>
      <c r="V1200" s="179"/>
      <c r="W1200" s="179"/>
      <c r="X1200" s="105"/>
      <c r="Y1200" s="105"/>
      <c r="Z1200" s="105"/>
      <c r="AA1200" s="105"/>
      <c r="AB1200" s="105"/>
      <c r="AC1200" s="105"/>
    </row>
    <row r="1201" ht="33.75" customHeight="1">
      <c r="A1201" s="65" t="s">
        <v>2033</v>
      </c>
      <c r="B1201" s="215" t="s">
        <v>2009</v>
      </c>
      <c r="C1201" s="215" t="s">
        <v>2010</v>
      </c>
      <c r="D1201" s="215" t="s">
        <v>2031</v>
      </c>
      <c r="E1201" s="215" t="s">
        <v>2032</v>
      </c>
      <c r="F1201" s="65" t="s">
        <v>2012</v>
      </c>
      <c r="G1201" s="65" t="s">
        <v>168</v>
      </c>
      <c r="H1201" s="65" t="s">
        <v>168</v>
      </c>
      <c r="I1201" s="65"/>
      <c r="J1201" s="65" t="s">
        <v>9</v>
      </c>
      <c r="K1201" s="65" t="s">
        <v>9</v>
      </c>
      <c r="L1201" s="128">
        <v>0.25</v>
      </c>
      <c r="M1201" s="180">
        <f t="shared" si="756"/>
        <v>0.375</v>
      </c>
      <c r="N1201" s="128">
        <v>0.5</v>
      </c>
      <c r="O1201" s="129">
        <f t="shared" ref="O1201:O1203" si="763">IF(COUNT(L1201:N1201)=0,"",(L1201+4*M1201+N1201)/6)</f>
        <v>0.375</v>
      </c>
      <c r="P1201" s="159"/>
      <c r="Q1201" s="208">
        <f t="shared" ref="Q1201:Q1203" si="764">IF(O1201="","",IF(P1201="",O1201,O1201*(1+P1201)))</f>
        <v>0.375</v>
      </c>
      <c r="R1201" s="132"/>
      <c r="S1201" s="132"/>
      <c r="T1201" s="65" t="s">
        <v>31</v>
      </c>
      <c r="U1201" s="26"/>
      <c r="V1201" s="26"/>
      <c r="W1201" s="26"/>
      <c r="X1201" s="26"/>
      <c r="Y1201" s="26"/>
      <c r="Z1201" s="26"/>
      <c r="AA1201" s="26"/>
      <c r="AB1201" s="26"/>
      <c r="AC1201" s="26"/>
    </row>
    <row r="1202" ht="33.75" customHeight="1">
      <c r="A1202" s="65" t="s">
        <v>2034</v>
      </c>
      <c r="B1202" s="215" t="s">
        <v>2009</v>
      </c>
      <c r="C1202" s="215" t="s">
        <v>2010</v>
      </c>
      <c r="D1202" s="215" t="s">
        <v>2031</v>
      </c>
      <c r="E1202" s="215" t="s">
        <v>2032</v>
      </c>
      <c r="F1202" s="65" t="s">
        <v>2012</v>
      </c>
      <c r="G1202" s="65" t="s">
        <v>168</v>
      </c>
      <c r="H1202" s="65" t="s">
        <v>168</v>
      </c>
      <c r="I1202" s="65"/>
      <c r="J1202" s="65" t="s">
        <v>9</v>
      </c>
      <c r="K1202" s="65" t="s">
        <v>9</v>
      </c>
      <c r="L1202" s="128">
        <v>0.25</v>
      </c>
      <c r="M1202" s="180">
        <f t="shared" si="756"/>
        <v>0.5</v>
      </c>
      <c r="N1202" s="128">
        <v>0.75</v>
      </c>
      <c r="O1202" s="129">
        <f t="shared" si="763"/>
        <v>0.5</v>
      </c>
      <c r="P1202" s="159"/>
      <c r="Q1202" s="208">
        <f t="shared" si="764"/>
        <v>0.5</v>
      </c>
      <c r="R1202" s="132"/>
      <c r="S1202" s="132"/>
      <c r="T1202" s="65" t="s">
        <v>32</v>
      </c>
      <c r="U1202" s="26"/>
      <c r="V1202" s="26"/>
      <c r="W1202" s="26"/>
      <c r="X1202" s="26"/>
      <c r="Y1202" s="26"/>
      <c r="Z1202" s="26"/>
      <c r="AA1202" s="26"/>
      <c r="AB1202" s="26"/>
      <c r="AC1202" s="26"/>
    </row>
    <row r="1203" ht="33.75" customHeight="1">
      <c r="A1203" s="65" t="s">
        <v>2035</v>
      </c>
      <c r="B1203" s="215" t="s">
        <v>2009</v>
      </c>
      <c r="C1203" s="215" t="s">
        <v>2010</v>
      </c>
      <c r="D1203" s="215" t="s">
        <v>2031</v>
      </c>
      <c r="E1203" s="215" t="s">
        <v>2032</v>
      </c>
      <c r="F1203" s="65" t="s">
        <v>2012</v>
      </c>
      <c r="G1203" s="65" t="s">
        <v>168</v>
      </c>
      <c r="H1203" s="65" t="s">
        <v>168</v>
      </c>
      <c r="I1203" s="65"/>
      <c r="J1203" s="65" t="s">
        <v>9</v>
      </c>
      <c r="K1203" s="65" t="s">
        <v>9</v>
      </c>
      <c r="L1203" s="128">
        <v>0.0</v>
      </c>
      <c r="M1203" s="180">
        <f t="shared" si="756"/>
        <v>0</v>
      </c>
      <c r="N1203" s="128">
        <v>0.0</v>
      </c>
      <c r="O1203" s="129">
        <f t="shared" si="763"/>
        <v>0</v>
      </c>
      <c r="P1203" s="159"/>
      <c r="Q1203" s="208">
        <f t="shared" si="764"/>
        <v>0</v>
      </c>
      <c r="R1203" s="132"/>
      <c r="S1203" s="132"/>
      <c r="T1203" s="65" t="s">
        <v>70</v>
      </c>
      <c r="U1203" s="26"/>
      <c r="V1203" s="26"/>
      <c r="W1203" s="26"/>
      <c r="X1203" s="26"/>
      <c r="Y1203" s="26"/>
      <c r="Z1203" s="26"/>
      <c r="AA1203" s="26"/>
      <c r="AB1203" s="26"/>
      <c r="AC1203" s="26"/>
    </row>
    <row r="1204" ht="33.75" customHeight="1">
      <c r="A1204" s="54" t="s">
        <v>2036</v>
      </c>
      <c r="B1204" s="209" t="s">
        <v>2009</v>
      </c>
      <c r="C1204" s="209" t="s">
        <v>2010</v>
      </c>
      <c r="D1204" s="209" t="s">
        <v>2037</v>
      </c>
      <c r="E1204" s="209" t="s">
        <v>2038</v>
      </c>
      <c r="F1204" s="54" t="s">
        <v>2012</v>
      </c>
      <c r="G1204" s="54" t="s">
        <v>154</v>
      </c>
      <c r="H1204" s="54" t="s">
        <v>154</v>
      </c>
      <c r="I1204" s="54"/>
      <c r="J1204" s="54" t="s">
        <v>9</v>
      </c>
      <c r="K1204" s="54" t="s">
        <v>9</v>
      </c>
      <c r="L1204" s="202">
        <f>IF(COUNT(L1205:N1207)=0,"",SUM(L1205:L1207))</f>
        <v>0.75</v>
      </c>
      <c r="M1204" s="174">
        <f t="shared" si="756"/>
        <v>1.125</v>
      </c>
      <c r="N1204" s="202">
        <f>IF(COUNT(L1205:N1207)=0,"",SUM(N1205:N1207))</f>
        <v>1.5</v>
      </c>
      <c r="O1204" s="202">
        <f>IF(COUNT(O1205:O1207)=0,"",SUM(O1205:O1207))</f>
        <v>1.125</v>
      </c>
      <c r="P1204" s="210"/>
      <c r="Q1204" s="202">
        <f>IF(COUNT(Q1205:Q1207)=0,"",SUM(Q1205:Q1207))</f>
        <v>1.125</v>
      </c>
      <c r="R1204" s="163"/>
      <c r="S1204" s="163"/>
      <c r="T1204" s="54" t="s">
        <v>65</v>
      </c>
      <c r="U1204" s="179"/>
      <c r="V1204" s="179"/>
      <c r="W1204" s="179"/>
      <c r="X1204" s="105"/>
      <c r="Y1204" s="105"/>
      <c r="Z1204" s="105"/>
      <c r="AA1204" s="105"/>
      <c r="AB1204" s="105"/>
      <c r="AC1204" s="105"/>
    </row>
    <row r="1205" ht="33.75" customHeight="1">
      <c r="A1205" s="217" t="s">
        <v>2039</v>
      </c>
      <c r="B1205" s="215" t="s">
        <v>2009</v>
      </c>
      <c r="C1205" s="215" t="s">
        <v>2010</v>
      </c>
      <c r="D1205" s="215" t="s">
        <v>2037</v>
      </c>
      <c r="E1205" s="215" t="s">
        <v>2038</v>
      </c>
      <c r="F1205" s="65" t="s">
        <v>2012</v>
      </c>
      <c r="G1205" s="65" t="s">
        <v>154</v>
      </c>
      <c r="H1205" s="65" t="s">
        <v>154</v>
      </c>
      <c r="I1205" s="65"/>
      <c r="J1205" s="65" t="s">
        <v>9</v>
      </c>
      <c r="K1205" s="65" t="s">
        <v>9</v>
      </c>
      <c r="L1205" s="128">
        <v>0.25</v>
      </c>
      <c r="M1205" s="180">
        <f t="shared" si="756"/>
        <v>0.375</v>
      </c>
      <c r="N1205" s="128">
        <v>0.5</v>
      </c>
      <c r="O1205" s="129">
        <f t="shared" ref="O1205:O1207" si="765">IF(COUNT(L1205:N1205)=0,"",(L1205+4*M1205+N1205)/6)</f>
        <v>0.375</v>
      </c>
      <c r="P1205" s="159"/>
      <c r="Q1205" s="208">
        <f t="shared" ref="Q1205:Q1207" si="766">IF(O1205="","",IF(P1205="",O1205,O1205*(1+P1205)))</f>
        <v>0.375</v>
      </c>
      <c r="R1205" s="132"/>
      <c r="S1205" s="132"/>
      <c r="T1205" s="65" t="s">
        <v>31</v>
      </c>
      <c r="U1205" s="26"/>
      <c r="V1205" s="26"/>
      <c r="W1205" s="26"/>
      <c r="X1205" s="26"/>
      <c r="Y1205" s="26"/>
      <c r="Z1205" s="26"/>
      <c r="AA1205" s="26"/>
      <c r="AB1205" s="26"/>
      <c r="AC1205" s="26"/>
    </row>
    <row r="1206" ht="33.75" customHeight="1">
      <c r="A1206" s="217" t="s">
        <v>2040</v>
      </c>
      <c r="B1206" s="215" t="s">
        <v>2009</v>
      </c>
      <c r="C1206" s="215" t="s">
        <v>2010</v>
      </c>
      <c r="D1206" s="215" t="s">
        <v>2037</v>
      </c>
      <c r="E1206" s="215" t="s">
        <v>2038</v>
      </c>
      <c r="F1206" s="65" t="s">
        <v>2012</v>
      </c>
      <c r="G1206" s="65" t="s">
        <v>154</v>
      </c>
      <c r="H1206" s="65" t="s">
        <v>154</v>
      </c>
      <c r="I1206" s="65"/>
      <c r="J1206" s="65" t="s">
        <v>9</v>
      </c>
      <c r="K1206" s="65" t="s">
        <v>9</v>
      </c>
      <c r="L1206" s="128">
        <v>0.25</v>
      </c>
      <c r="M1206" s="180">
        <f t="shared" si="756"/>
        <v>0.375</v>
      </c>
      <c r="N1206" s="128">
        <v>0.5</v>
      </c>
      <c r="O1206" s="129">
        <f t="shared" si="765"/>
        <v>0.375</v>
      </c>
      <c r="P1206" s="159"/>
      <c r="Q1206" s="208">
        <f t="shared" si="766"/>
        <v>0.375</v>
      </c>
      <c r="R1206" s="132"/>
      <c r="S1206" s="132"/>
      <c r="T1206" s="65" t="s">
        <v>32</v>
      </c>
      <c r="U1206" s="26"/>
      <c r="V1206" s="26"/>
      <c r="W1206" s="26"/>
      <c r="X1206" s="26"/>
      <c r="Y1206" s="26"/>
      <c r="Z1206" s="26"/>
      <c r="AA1206" s="26"/>
      <c r="AB1206" s="26"/>
      <c r="AC1206" s="26"/>
    </row>
    <row r="1207" ht="33.75" customHeight="1">
      <c r="A1207" s="217" t="s">
        <v>2041</v>
      </c>
      <c r="B1207" s="215" t="s">
        <v>2009</v>
      </c>
      <c r="C1207" s="215" t="s">
        <v>2010</v>
      </c>
      <c r="D1207" s="215" t="s">
        <v>2037</v>
      </c>
      <c r="E1207" s="215" t="s">
        <v>2038</v>
      </c>
      <c r="F1207" s="65" t="s">
        <v>2012</v>
      </c>
      <c r="G1207" s="65" t="s">
        <v>154</v>
      </c>
      <c r="H1207" s="65" t="s">
        <v>154</v>
      </c>
      <c r="I1207" s="65"/>
      <c r="J1207" s="65" t="s">
        <v>9</v>
      </c>
      <c r="K1207" s="65" t="s">
        <v>9</v>
      </c>
      <c r="L1207" s="128">
        <v>0.25</v>
      </c>
      <c r="M1207" s="180">
        <f t="shared" si="756"/>
        <v>0.375</v>
      </c>
      <c r="N1207" s="128">
        <v>0.5</v>
      </c>
      <c r="O1207" s="129">
        <f t="shared" si="765"/>
        <v>0.375</v>
      </c>
      <c r="P1207" s="159"/>
      <c r="Q1207" s="208">
        <f t="shared" si="766"/>
        <v>0.375</v>
      </c>
      <c r="R1207" s="132"/>
      <c r="S1207" s="132"/>
      <c r="T1207" s="65" t="s">
        <v>70</v>
      </c>
      <c r="U1207" s="26"/>
      <c r="V1207" s="26"/>
      <c r="W1207" s="26"/>
      <c r="X1207" s="26"/>
      <c r="Y1207" s="26"/>
      <c r="Z1207" s="26"/>
      <c r="AA1207" s="26"/>
      <c r="AB1207" s="26"/>
      <c r="AC1207" s="26"/>
    </row>
    <row r="1208" ht="33.75" customHeight="1">
      <c r="A1208" s="98" t="s">
        <v>2042</v>
      </c>
      <c r="B1208" s="99" t="s">
        <v>2009</v>
      </c>
      <c r="C1208" s="99" t="s">
        <v>2010</v>
      </c>
      <c r="D1208" s="99" t="s">
        <v>2043</v>
      </c>
      <c r="E1208" s="99" t="s">
        <v>2044</v>
      </c>
      <c r="F1208" s="98" t="s">
        <v>2030</v>
      </c>
      <c r="G1208" s="98" t="s">
        <v>168</v>
      </c>
      <c r="H1208" s="98" t="s">
        <v>168</v>
      </c>
      <c r="I1208" s="98"/>
      <c r="J1208" s="98" t="s">
        <v>12</v>
      </c>
      <c r="K1208" s="100" t="s">
        <v>12</v>
      </c>
      <c r="L1208" s="101">
        <f>IF(COUNT(L1209:N1211)=0,"",SUM(L1209:L1211))</f>
        <v>0</v>
      </c>
      <c r="M1208" s="102">
        <f t="shared" si="756"/>
        <v>0</v>
      </c>
      <c r="N1208" s="101">
        <f>IF(COUNT(L1209:N1211)=0,"",SUM(N1209:N1211))</f>
        <v>0</v>
      </c>
      <c r="O1208" s="101">
        <f>IF(COUNT(O1209:O1211)=0,"",SUM(O1209:O1211))</f>
        <v>0</v>
      </c>
      <c r="P1208" s="103"/>
      <c r="Q1208" s="101">
        <f>IF(COUNT(Q1209:Q1211)=0,"",SUM(Q1209:Q1211))</f>
        <v>0</v>
      </c>
      <c r="R1208" s="104"/>
      <c r="S1208" s="104"/>
      <c r="T1208" s="98" t="s">
        <v>65</v>
      </c>
      <c r="U1208" s="179"/>
      <c r="V1208" s="179"/>
      <c r="W1208" s="179"/>
      <c r="X1208" s="105"/>
      <c r="Y1208" s="105"/>
      <c r="Z1208" s="105"/>
      <c r="AA1208" s="105"/>
      <c r="AB1208" s="105"/>
      <c r="AC1208" s="105"/>
    </row>
    <row r="1209" ht="33.75" customHeight="1">
      <c r="A1209" s="106" t="s">
        <v>2045</v>
      </c>
      <c r="B1209" s="107" t="s">
        <v>2009</v>
      </c>
      <c r="C1209" s="107" t="s">
        <v>2010</v>
      </c>
      <c r="D1209" s="107" t="s">
        <v>2043</v>
      </c>
      <c r="E1209" s="107" t="s">
        <v>2044</v>
      </c>
      <c r="F1209" s="106" t="s">
        <v>2030</v>
      </c>
      <c r="G1209" s="106" t="s">
        <v>168</v>
      </c>
      <c r="H1209" s="106" t="s">
        <v>168</v>
      </c>
      <c r="I1209" s="106"/>
      <c r="J1209" s="106" t="s">
        <v>12</v>
      </c>
      <c r="K1209" s="108" t="s">
        <v>12</v>
      </c>
      <c r="L1209" s="109"/>
      <c r="M1209" s="109">
        <f t="shared" si="756"/>
        <v>0</v>
      </c>
      <c r="N1209" s="109"/>
      <c r="O1209" s="109">
        <f t="shared" ref="O1209:O1211" si="767">IF(COUNT(L1209:N1209)=0,"",(L1209+4*M1209+N1209)/6)</f>
        <v>0</v>
      </c>
      <c r="P1209" s="110"/>
      <c r="Q1209" s="109">
        <f t="shared" ref="Q1209:Q1211" si="768">IF(O1209="","",IF(P1209="",O1209,O1209*(1+P1209)))</f>
        <v>0</v>
      </c>
      <c r="R1209" s="111"/>
      <c r="S1209" s="111"/>
      <c r="T1209" s="106" t="s">
        <v>31</v>
      </c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ht="33.75" customHeight="1">
      <c r="A1210" s="106" t="s">
        <v>2046</v>
      </c>
      <c r="B1210" s="107" t="s">
        <v>2009</v>
      </c>
      <c r="C1210" s="107" t="s">
        <v>2010</v>
      </c>
      <c r="D1210" s="107" t="s">
        <v>2043</v>
      </c>
      <c r="E1210" s="107" t="s">
        <v>2044</v>
      </c>
      <c r="F1210" s="106" t="s">
        <v>2030</v>
      </c>
      <c r="G1210" s="106" t="s">
        <v>168</v>
      </c>
      <c r="H1210" s="106" t="s">
        <v>168</v>
      </c>
      <c r="I1210" s="106"/>
      <c r="J1210" s="106" t="s">
        <v>12</v>
      </c>
      <c r="K1210" s="108" t="s">
        <v>12</v>
      </c>
      <c r="L1210" s="109"/>
      <c r="M1210" s="109">
        <f t="shared" si="756"/>
        <v>0</v>
      </c>
      <c r="N1210" s="109"/>
      <c r="O1210" s="109">
        <f t="shared" si="767"/>
        <v>0</v>
      </c>
      <c r="P1210" s="110"/>
      <c r="Q1210" s="109">
        <f t="shared" si="768"/>
        <v>0</v>
      </c>
      <c r="R1210" s="111"/>
      <c r="S1210" s="111"/>
      <c r="T1210" s="106" t="s">
        <v>32</v>
      </c>
      <c r="U1210" s="26"/>
      <c r="V1210" s="26"/>
      <c r="W1210" s="26"/>
      <c r="X1210" s="26"/>
      <c r="Y1210" s="26"/>
      <c r="Z1210" s="26"/>
      <c r="AA1210" s="26"/>
      <c r="AB1210" s="26"/>
      <c r="AC1210" s="26"/>
    </row>
    <row r="1211" ht="33.75" customHeight="1">
      <c r="A1211" s="106" t="s">
        <v>2047</v>
      </c>
      <c r="B1211" s="107" t="s">
        <v>2009</v>
      </c>
      <c r="C1211" s="107" t="s">
        <v>2010</v>
      </c>
      <c r="D1211" s="107" t="s">
        <v>2043</v>
      </c>
      <c r="E1211" s="107" t="s">
        <v>2044</v>
      </c>
      <c r="F1211" s="106" t="s">
        <v>2030</v>
      </c>
      <c r="G1211" s="106" t="s">
        <v>168</v>
      </c>
      <c r="H1211" s="106" t="s">
        <v>168</v>
      </c>
      <c r="I1211" s="106"/>
      <c r="J1211" s="106" t="s">
        <v>12</v>
      </c>
      <c r="K1211" s="108" t="s">
        <v>12</v>
      </c>
      <c r="L1211" s="109"/>
      <c r="M1211" s="109">
        <f t="shared" si="756"/>
        <v>0</v>
      </c>
      <c r="N1211" s="109"/>
      <c r="O1211" s="109">
        <f t="shared" si="767"/>
        <v>0</v>
      </c>
      <c r="P1211" s="110"/>
      <c r="Q1211" s="109">
        <f t="shared" si="768"/>
        <v>0</v>
      </c>
      <c r="R1211" s="111"/>
      <c r="S1211" s="111"/>
      <c r="T1211" s="106" t="s">
        <v>70</v>
      </c>
      <c r="U1211" s="26"/>
      <c r="V1211" s="26"/>
      <c r="W1211" s="26"/>
      <c r="X1211" s="26"/>
      <c r="Y1211" s="26"/>
      <c r="Z1211" s="26"/>
      <c r="AA1211" s="26"/>
      <c r="AB1211" s="26"/>
      <c r="AC1211" s="26"/>
    </row>
    <row r="1212" ht="33.75" customHeight="1">
      <c r="A1212" s="45" t="s">
        <v>2048</v>
      </c>
      <c r="B1212" s="212" t="s">
        <v>2009</v>
      </c>
      <c r="C1212" s="212" t="s">
        <v>2049</v>
      </c>
      <c r="D1212" s="212" t="s">
        <v>2049</v>
      </c>
      <c r="E1212" s="212" t="s">
        <v>2050</v>
      </c>
      <c r="F1212" s="45"/>
      <c r="G1212" s="45"/>
      <c r="H1212" s="45"/>
      <c r="I1212" s="45"/>
      <c r="J1212" s="45"/>
      <c r="K1212" s="123"/>
      <c r="L1212" s="213">
        <f>IF(COUNT(L1213,L1217,L1221,L1225,L1229,L1233)=0,"",SUM(L1213,L1217,L1221,L1225,L1229,L1233))</f>
        <v>6.5</v>
      </c>
      <c r="M1212" s="213">
        <f t="shared" si="756"/>
        <v>8</v>
      </c>
      <c r="N1212" s="213">
        <f t="shared" ref="N1212:O1212" si="769">IF(COUNT(N1213,N1217,N1221,N1225,N1229,N1233)=0,"",SUM(N1213,N1217,N1221,N1225,N1229,N1233))</f>
        <v>9.5</v>
      </c>
      <c r="O1212" s="213">
        <f t="shared" si="769"/>
        <v>8</v>
      </c>
      <c r="P1212" s="214"/>
      <c r="Q1212" s="213">
        <f>IF(COUNT(Q1213,Q1217,Q1221,Q1225,Q1229,Q1233)=0,"",SUM(Q1213,Q1217,Q1221,Q1225,Q1229,Q1233))</f>
        <v>8</v>
      </c>
      <c r="R1212" s="126"/>
      <c r="S1212" s="126"/>
      <c r="T1212" s="45" t="s">
        <v>62</v>
      </c>
      <c r="U1212" s="26"/>
      <c r="V1212" s="26"/>
      <c r="W1212" s="26"/>
      <c r="X1212" s="46">
        <f t="shared" ref="X1212:AA1212" si="770">L1212</f>
        <v>6.5</v>
      </c>
      <c r="Y1212" s="46">
        <f t="shared" si="770"/>
        <v>8</v>
      </c>
      <c r="Z1212" s="46">
        <f t="shared" si="770"/>
        <v>9.5</v>
      </c>
      <c r="AA1212" s="46">
        <f t="shared" si="770"/>
        <v>8</v>
      </c>
      <c r="AB1212" s="26"/>
      <c r="AC1212" s="46">
        <f>Q1212</f>
        <v>8</v>
      </c>
    </row>
    <row r="1213" ht="33.75" customHeight="1">
      <c r="A1213" s="54" t="s">
        <v>2051</v>
      </c>
      <c r="B1213" s="209" t="s">
        <v>2009</v>
      </c>
      <c r="C1213" s="209" t="s">
        <v>2049</v>
      </c>
      <c r="D1213" s="209" t="s">
        <v>2052</v>
      </c>
      <c r="E1213" s="209" t="s">
        <v>2053</v>
      </c>
      <c r="F1213" s="54" t="s">
        <v>2054</v>
      </c>
      <c r="G1213" s="54" t="s">
        <v>168</v>
      </c>
      <c r="H1213" s="54" t="s">
        <v>168</v>
      </c>
      <c r="I1213" s="54"/>
      <c r="J1213" s="54" t="s">
        <v>9</v>
      </c>
      <c r="K1213" s="119" t="s">
        <v>9</v>
      </c>
      <c r="L1213" s="202">
        <f>IF(COUNT(L1214:N1216)=0,"",SUM(L1214:L1216))</f>
        <v>0</v>
      </c>
      <c r="M1213" s="174">
        <f t="shared" si="756"/>
        <v>0</v>
      </c>
      <c r="N1213" s="202">
        <f>IF(COUNT(L1214:N1216)=0,"",SUM(N1214:N1216))</f>
        <v>0</v>
      </c>
      <c r="O1213" s="202">
        <f>IF(COUNT(O1214:O1216)=0,"",SUM(O1214:O1216))</f>
        <v>0</v>
      </c>
      <c r="P1213" s="210"/>
      <c r="Q1213" s="202">
        <f>IF(COUNT(Q1214:Q1216)=0,"",SUM(Q1214:Q1216))</f>
        <v>0</v>
      </c>
      <c r="R1213" s="163"/>
      <c r="S1213" s="163"/>
      <c r="T1213" s="54" t="s">
        <v>65</v>
      </c>
      <c r="U1213" s="179"/>
      <c r="V1213" s="179"/>
      <c r="W1213" s="179"/>
      <c r="X1213" s="105"/>
      <c r="Y1213" s="105"/>
      <c r="Z1213" s="105"/>
      <c r="AA1213" s="105"/>
      <c r="AB1213" s="179"/>
      <c r="AC1213" s="105"/>
    </row>
    <row r="1214" ht="33.75" customHeight="1">
      <c r="A1214" s="65" t="s">
        <v>2055</v>
      </c>
      <c r="B1214" s="215" t="s">
        <v>2009</v>
      </c>
      <c r="C1214" s="215" t="s">
        <v>2049</v>
      </c>
      <c r="D1214" s="215" t="s">
        <v>2052</v>
      </c>
      <c r="E1214" s="215" t="s">
        <v>2053</v>
      </c>
      <c r="F1214" s="65" t="s">
        <v>2054</v>
      </c>
      <c r="G1214" s="65" t="s">
        <v>168</v>
      </c>
      <c r="H1214" s="65" t="s">
        <v>168</v>
      </c>
      <c r="I1214" s="65"/>
      <c r="J1214" s="65" t="s">
        <v>9</v>
      </c>
      <c r="K1214" s="65" t="s">
        <v>9</v>
      </c>
      <c r="L1214" s="128">
        <v>0.0</v>
      </c>
      <c r="M1214" s="180">
        <f t="shared" si="756"/>
        <v>0</v>
      </c>
      <c r="N1214" s="128">
        <v>0.0</v>
      </c>
      <c r="O1214" s="129">
        <f t="shared" ref="O1214:O1216" si="771">IF(COUNT(L1214:N1214)=0,"",(L1214+4*M1214+N1214)/6)</f>
        <v>0</v>
      </c>
      <c r="P1214" s="159"/>
      <c r="Q1214" s="208">
        <f t="shared" ref="Q1214:Q1216" si="772">IF(O1214="","",IF(P1214="",O1214,O1214*(1+P1214)))</f>
        <v>0</v>
      </c>
      <c r="R1214" s="132"/>
      <c r="S1214" s="132"/>
      <c r="T1214" s="65" t="s">
        <v>31</v>
      </c>
      <c r="U1214" s="26"/>
      <c r="V1214" s="26"/>
      <c r="W1214" s="26"/>
      <c r="X1214" s="26"/>
      <c r="Y1214" s="26"/>
      <c r="Z1214" s="26"/>
      <c r="AA1214" s="26"/>
      <c r="AB1214" s="26"/>
      <c r="AC1214" s="26"/>
    </row>
    <row r="1215" ht="33.75" customHeight="1">
      <c r="A1215" s="65" t="s">
        <v>2056</v>
      </c>
      <c r="B1215" s="215" t="s">
        <v>2009</v>
      </c>
      <c r="C1215" s="215" t="s">
        <v>2049</v>
      </c>
      <c r="D1215" s="215" t="s">
        <v>2052</v>
      </c>
      <c r="E1215" s="215" t="s">
        <v>2053</v>
      </c>
      <c r="F1215" s="65" t="s">
        <v>2054</v>
      </c>
      <c r="G1215" s="65" t="s">
        <v>168</v>
      </c>
      <c r="H1215" s="65" t="s">
        <v>168</v>
      </c>
      <c r="I1215" s="65"/>
      <c r="J1215" s="65" t="s">
        <v>9</v>
      </c>
      <c r="K1215" s="65" t="s">
        <v>9</v>
      </c>
      <c r="L1215" s="128">
        <v>0.0</v>
      </c>
      <c r="M1215" s="180">
        <f t="shared" si="756"/>
        <v>0</v>
      </c>
      <c r="N1215" s="128">
        <v>0.0</v>
      </c>
      <c r="O1215" s="129">
        <f t="shared" si="771"/>
        <v>0</v>
      </c>
      <c r="P1215" s="159"/>
      <c r="Q1215" s="208">
        <f t="shared" si="772"/>
        <v>0</v>
      </c>
      <c r="R1215" s="132"/>
      <c r="S1215" s="132"/>
      <c r="T1215" s="65" t="s">
        <v>32</v>
      </c>
      <c r="U1215" s="26"/>
      <c r="V1215" s="26"/>
      <c r="W1215" s="26"/>
      <c r="X1215" s="26"/>
      <c r="Y1215" s="26"/>
      <c r="Z1215" s="26"/>
      <c r="AA1215" s="26"/>
      <c r="AB1215" s="26"/>
      <c r="AC1215" s="26"/>
    </row>
    <row r="1216" ht="33.75" customHeight="1">
      <c r="A1216" s="65" t="s">
        <v>2057</v>
      </c>
      <c r="B1216" s="215" t="s">
        <v>2009</v>
      </c>
      <c r="C1216" s="215" t="s">
        <v>2049</v>
      </c>
      <c r="D1216" s="215" t="s">
        <v>2052</v>
      </c>
      <c r="E1216" s="215" t="s">
        <v>2053</v>
      </c>
      <c r="F1216" s="65" t="s">
        <v>2054</v>
      </c>
      <c r="G1216" s="65" t="s">
        <v>168</v>
      </c>
      <c r="H1216" s="65" t="s">
        <v>168</v>
      </c>
      <c r="I1216" s="65"/>
      <c r="J1216" s="65" t="s">
        <v>9</v>
      </c>
      <c r="K1216" s="65" t="s">
        <v>9</v>
      </c>
      <c r="L1216" s="128">
        <v>0.0</v>
      </c>
      <c r="M1216" s="180">
        <f t="shared" si="756"/>
        <v>0</v>
      </c>
      <c r="N1216" s="128">
        <v>0.0</v>
      </c>
      <c r="O1216" s="129">
        <f t="shared" si="771"/>
        <v>0</v>
      </c>
      <c r="P1216" s="159"/>
      <c r="Q1216" s="208">
        <f t="shared" si="772"/>
        <v>0</v>
      </c>
      <c r="R1216" s="132"/>
      <c r="S1216" s="132"/>
      <c r="T1216" s="65" t="s">
        <v>70</v>
      </c>
      <c r="U1216" s="26"/>
      <c r="V1216" s="26"/>
      <c r="W1216" s="26"/>
      <c r="X1216" s="26"/>
      <c r="Y1216" s="26"/>
      <c r="Z1216" s="26"/>
      <c r="AA1216" s="26"/>
      <c r="AB1216" s="26"/>
      <c r="AC1216" s="26"/>
    </row>
    <row r="1217" ht="33.75" customHeight="1">
      <c r="A1217" s="54" t="s">
        <v>2058</v>
      </c>
      <c r="B1217" s="209" t="s">
        <v>2009</v>
      </c>
      <c r="C1217" s="209" t="s">
        <v>2049</v>
      </c>
      <c r="D1217" s="209" t="s">
        <v>2059</v>
      </c>
      <c r="E1217" s="209" t="s">
        <v>2060</v>
      </c>
      <c r="F1217" s="54" t="s">
        <v>2051</v>
      </c>
      <c r="G1217" s="54" t="s">
        <v>168</v>
      </c>
      <c r="H1217" s="54" t="s">
        <v>168</v>
      </c>
      <c r="I1217" s="54"/>
      <c r="J1217" s="54" t="s">
        <v>9</v>
      </c>
      <c r="K1217" s="54" t="s">
        <v>9</v>
      </c>
      <c r="L1217" s="202">
        <f>IF(COUNT(L1218:N1220)=0,"",SUM(L1218:L1220))</f>
        <v>1</v>
      </c>
      <c r="M1217" s="174">
        <f t="shared" si="756"/>
        <v>1.5</v>
      </c>
      <c r="N1217" s="202">
        <f>IF(COUNT(L1218:N1220)=0,"",SUM(N1218:N1220))</f>
        <v>2</v>
      </c>
      <c r="O1217" s="202">
        <f>IF(COUNT(O1218:O1220)=0,"",SUM(O1218:O1220))</f>
        <v>1.5</v>
      </c>
      <c r="P1217" s="210"/>
      <c r="Q1217" s="202">
        <f>IF(COUNT(Q1218:Q1220)=0,"",SUM(Q1218:Q1220))</f>
        <v>1.5</v>
      </c>
      <c r="R1217" s="163"/>
      <c r="S1217" s="163"/>
      <c r="T1217" s="54" t="s">
        <v>65</v>
      </c>
      <c r="U1217" s="179"/>
      <c r="V1217" s="179"/>
      <c r="W1217" s="179"/>
      <c r="X1217" s="105"/>
      <c r="Y1217" s="105"/>
      <c r="Z1217" s="105"/>
      <c r="AA1217" s="105"/>
      <c r="AB1217" s="105"/>
      <c r="AC1217" s="105"/>
    </row>
    <row r="1218" ht="33.75" customHeight="1">
      <c r="A1218" s="65" t="s">
        <v>2061</v>
      </c>
      <c r="B1218" s="215" t="s">
        <v>2009</v>
      </c>
      <c r="C1218" s="215" t="s">
        <v>2049</v>
      </c>
      <c r="D1218" s="215" t="s">
        <v>2059</v>
      </c>
      <c r="E1218" s="215" t="s">
        <v>2060</v>
      </c>
      <c r="F1218" s="65" t="s">
        <v>2051</v>
      </c>
      <c r="G1218" s="65" t="s">
        <v>168</v>
      </c>
      <c r="H1218" s="65" t="s">
        <v>168</v>
      </c>
      <c r="I1218" s="65"/>
      <c r="J1218" s="65" t="s">
        <v>9</v>
      </c>
      <c r="K1218" s="65" t="s">
        <v>9</v>
      </c>
      <c r="L1218" s="128">
        <v>0.0</v>
      </c>
      <c r="M1218" s="180">
        <f t="shared" si="756"/>
        <v>0</v>
      </c>
      <c r="N1218" s="128">
        <v>0.0</v>
      </c>
      <c r="O1218" s="129">
        <f t="shared" ref="O1218:O1220" si="773">IF(COUNT(L1218:N1218)=0,"",(L1218+4*M1218+N1218)/6)</f>
        <v>0</v>
      </c>
      <c r="P1218" s="159"/>
      <c r="Q1218" s="208">
        <f t="shared" ref="Q1218:Q1220" si="774">IF(O1218="","",IF(P1218="",O1218,O1218*(1+P1218)))</f>
        <v>0</v>
      </c>
      <c r="R1218" s="132"/>
      <c r="S1218" s="132"/>
      <c r="T1218" s="65" t="s">
        <v>31</v>
      </c>
      <c r="U1218" s="26"/>
      <c r="V1218" s="26"/>
      <c r="W1218" s="26"/>
      <c r="X1218" s="26"/>
      <c r="Y1218" s="26"/>
      <c r="Z1218" s="26"/>
      <c r="AA1218" s="26"/>
      <c r="AB1218" s="26"/>
      <c r="AC1218" s="26"/>
    </row>
    <row r="1219" ht="33.75" customHeight="1">
      <c r="A1219" s="65" t="s">
        <v>2062</v>
      </c>
      <c r="B1219" s="215" t="s">
        <v>2009</v>
      </c>
      <c r="C1219" s="215" t="s">
        <v>2049</v>
      </c>
      <c r="D1219" s="215" t="s">
        <v>2059</v>
      </c>
      <c r="E1219" s="215" t="s">
        <v>2060</v>
      </c>
      <c r="F1219" s="65" t="s">
        <v>2051</v>
      </c>
      <c r="G1219" s="65" t="s">
        <v>168</v>
      </c>
      <c r="H1219" s="65" t="s">
        <v>168</v>
      </c>
      <c r="I1219" s="65"/>
      <c r="J1219" s="65" t="s">
        <v>9</v>
      </c>
      <c r="K1219" s="65" t="s">
        <v>9</v>
      </c>
      <c r="L1219" s="128">
        <v>1.0</v>
      </c>
      <c r="M1219" s="180">
        <f t="shared" si="756"/>
        <v>1.5</v>
      </c>
      <c r="N1219" s="128">
        <v>2.0</v>
      </c>
      <c r="O1219" s="129">
        <f t="shared" si="773"/>
        <v>1.5</v>
      </c>
      <c r="P1219" s="159"/>
      <c r="Q1219" s="208">
        <f t="shared" si="774"/>
        <v>1.5</v>
      </c>
      <c r="R1219" s="132"/>
      <c r="S1219" s="132"/>
      <c r="T1219" s="65" t="s">
        <v>32</v>
      </c>
      <c r="U1219" s="26"/>
      <c r="V1219" s="26"/>
      <c r="W1219" s="26"/>
      <c r="X1219" s="26"/>
      <c r="Y1219" s="26"/>
      <c r="Z1219" s="26"/>
      <c r="AA1219" s="26"/>
      <c r="AB1219" s="26"/>
      <c r="AC1219" s="26"/>
    </row>
    <row r="1220" ht="33.75" customHeight="1">
      <c r="A1220" s="65" t="s">
        <v>2063</v>
      </c>
      <c r="B1220" s="215" t="s">
        <v>2009</v>
      </c>
      <c r="C1220" s="215" t="s">
        <v>2049</v>
      </c>
      <c r="D1220" s="215" t="s">
        <v>2059</v>
      </c>
      <c r="E1220" s="215" t="s">
        <v>2060</v>
      </c>
      <c r="F1220" s="65" t="s">
        <v>2051</v>
      </c>
      <c r="G1220" s="65" t="s">
        <v>168</v>
      </c>
      <c r="H1220" s="65" t="s">
        <v>168</v>
      </c>
      <c r="I1220" s="65"/>
      <c r="J1220" s="65" t="s">
        <v>9</v>
      </c>
      <c r="K1220" s="65" t="s">
        <v>9</v>
      </c>
      <c r="L1220" s="128">
        <v>0.0</v>
      </c>
      <c r="M1220" s="180">
        <f t="shared" si="756"/>
        <v>0</v>
      </c>
      <c r="N1220" s="128">
        <v>0.0</v>
      </c>
      <c r="O1220" s="129">
        <f t="shared" si="773"/>
        <v>0</v>
      </c>
      <c r="P1220" s="159"/>
      <c r="Q1220" s="208">
        <f t="shared" si="774"/>
        <v>0</v>
      </c>
      <c r="R1220" s="132"/>
      <c r="S1220" s="132"/>
      <c r="T1220" s="65" t="s">
        <v>70</v>
      </c>
      <c r="U1220" s="26"/>
      <c r="V1220" s="26"/>
      <c r="W1220" s="26"/>
      <c r="X1220" s="26"/>
      <c r="Y1220" s="26"/>
      <c r="Z1220" s="26"/>
      <c r="AA1220" s="26"/>
      <c r="AB1220" s="26"/>
      <c r="AC1220" s="26"/>
    </row>
    <row r="1221" ht="33.75" customHeight="1">
      <c r="A1221" s="54" t="s">
        <v>2064</v>
      </c>
      <c r="B1221" s="209" t="s">
        <v>2009</v>
      </c>
      <c r="C1221" s="209" t="s">
        <v>2049</v>
      </c>
      <c r="D1221" s="209" t="s">
        <v>2065</v>
      </c>
      <c r="E1221" s="209" t="s">
        <v>2066</v>
      </c>
      <c r="F1221" s="54"/>
      <c r="G1221" s="54" t="s">
        <v>154</v>
      </c>
      <c r="H1221" s="54" t="s">
        <v>154</v>
      </c>
      <c r="I1221" s="54"/>
      <c r="J1221" s="54" t="s">
        <v>9</v>
      </c>
      <c r="K1221" s="54" t="s">
        <v>9</v>
      </c>
      <c r="L1221" s="202">
        <f>IF(COUNT(L1222:N1224)=0,"",SUM(L1222:L1224))</f>
        <v>0.5</v>
      </c>
      <c r="M1221" s="174">
        <f t="shared" si="756"/>
        <v>0.75</v>
      </c>
      <c r="N1221" s="202">
        <f>IF(COUNT(L1222:N1224)=0,"",SUM(N1222:N1224))</f>
        <v>1</v>
      </c>
      <c r="O1221" s="202">
        <f>IF(COUNT(O1222:O1224)=0,"",SUM(O1222:O1224))</f>
        <v>0.75</v>
      </c>
      <c r="P1221" s="210"/>
      <c r="Q1221" s="202">
        <f>IF(COUNT(Q1222:Q1224)=0,"",SUM(Q1222:Q1224))</f>
        <v>0.75</v>
      </c>
      <c r="R1221" s="163"/>
      <c r="S1221" s="163"/>
      <c r="T1221" s="54" t="s">
        <v>65</v>
      </c>
      <c r="U1221" s="179"/>
      <c r="V1221" s="179"/>
      <c r="W1221" s="179"/>
      <c r="X1221" s="105"/>
      <c r="Y1221" s="105"/>
      <c r="Z1221" s="105"/>
      <c r="AA1221" s="105"/>
      <c r="AB1221" s="105"/>
      <c r="AC1221" s="105"/>
    </row>
    <row r="1222" ht="33.75" customHeight="1">
      <c r="A1222" s="65" t="s">
        <v>2067</v>
      </c>
      <c r="B1222" s="215" t="s">
        <v>2009</v>
      </c>
      <c r="C1222" s="215" t="s">
        <v>2049</v>
      </c>
      <c r="D1222" s="215" t="s">
        <v>2065</v>
      </c>
      <c r="E1222" s="215" t="s">
        <v>2066</v>
      </c>
      <c r="F1222" s="65"/>
      <c r="G1222" s="65" t="s">
        <v>154</v>
      </c>
      <c r="H1222" s="65" t="s">
        <v>154</v>
      </c>
      <c r="I1222" s="65"/>
      <c r="J1222" s="65" t="s">
        <v>9</v>
      </c>
      <c r="K1222" s="65" t="s">
        <v>9</v>
      </c>
      <c r="L1222" s="128">
        <v>0.0</v>
      </c>
      <c r="M1222" s="180">
        <f t="shared" si="756"/>
        <v>0</v>
      </c>
      <c r="N1222" s="128">
        <v>0.0</v>
      </c>
      <c r="O1222" s="129">
        <f t="shared" ref="O1222:O1224" si="775">IF(COUNT(L1222:N1222)=0,"",(L1222+4*M1222+N1222)/6)</f>
        <v>0</v>
      </c>
      <c r="P1222" s="159"/>
      <c r="Q1222" s="208">
        <f t="shared" ref="Q1222:Q1224" si="776">IF(O1222="","",IF(P1222="",O1222,O1222*(1+P1222)))</f>
        <v>0</v>
      </c>
      <c r="R1222" s="132"/>
      <c r="S1222" s="132"/>
      <c r="T1222" s="65" t="s">
        <v>31</v>
      </c>
      <c r="U1222" s="26"/>
      <c r="V1222" s="26"/>
      <c r="W1222" s="26"/>
      <c r="X1222" s="26"/>
      <c r="Y1222" s="26"/>
      <c r="Z1222" s="26"/>
      <c r="AA1222" s="26"/>
      <c r="AB1222" s="26"/>
      <c r="AC1222" s="26"/>
    </row>
    <row r="1223" ht="33.75" customHeight="1">
      <c r="A1223" s="65" t="s">
        <v>2068</v>
      </c>
      <c r="B1223" s="215" t="s">
        <v>2009</v>
      </c>
      <c r="C1223" s="215" t="s">
        <v>2049</v>
      </c>
      <c r="D1223" s="215" t="s">
        <v>2065</v>
      </c>
      <c r="E1223" s="215" t="s">
        <v>2066</v>
      </c>
      <c r="F1223" s="65"/>
      <c r="G1223" s="65" t="s">
        <v>154</v>
      </c>
      <c r="H1223" s="65" t="s">
        <v>154</v>
      </c>
      <c r="I1223" s="65"/>
      <c r="J1223" s="65" t="s">
        <v>9</v>
      </c>
      <c r="K1223" s="65" t="s">
        <v>9</v>
      </c>
      <c r="L1223" s="128">
        <v>0.0</v>
      </c>
      <c r="M1223" s="180">
        <f t="shared" si="756"/>
        <v>0</v>
      </c>
      <c r="N1223" s="128">
        <v>0.0</v>
      </c>
      <c r="O1223" s="129">
        <f t="shared" si="775"/>
        <v>0</v>
      </c>
      <c r="P1223" s="159"/>
      <c r="Q1223" s="208">
        <f t="shared" si="776"/>
        <v>0</v>
      </c>
      <c r="R1223" s="132"/>
      <c r="S1223" s="132"/>
      <c r="T1223" s="65" t="s">
        <v>32</v>
      </c>
      <c r="U1223" s="26"/>
      <c r="V1223" s="26"/>
      <c r="W1223" s="26"/>
      <c r="X1223" s="26"/>
      <c r="Y1223" s="26"/>
      <c r="Z1223" s="26"/>
      <c r="AA1223" s="26"/>
      <c r="AB1223" s="26"/>
      <c r="AC1223" s="26"/>
    </row>
    <row r="1224" ht="33.75" customHeight="1">
      <c r="A1224" s="65" t="s">
        <v>2069</v>
      </c>
      <c r="B1224" s="215" t="s">
        <v>2009</v>
      </c>
      <c r="C1224" s="215" t="s">
        <v>2049</v>
      </c>
      <c r="D1224" s="215" t="s">
        <v>2065</v>
      </c>
      <c r="E1224" s="215" t="s">
        <v>2066</v>
      </c>
      <c r="F1224" s="65"/>
      <c r="G1224" s="65" t="s">
        <v>154</v>
      </c>
      <c r="H1224" s="65" t="s">
        <v>154</v>
      </c>
      <c r="I1224" s="65"/>
      <c r="J1224" s="65" t="s">
        <v>9</v>
      </c>
      <c r="K1224" s="65" t="s">
        <v>9</v>
      </c>
      <c r="L1224" s="128">
        <v>0.5</v>
      </c>
      <c r="M1224" s="180">
        <f t="shared" si="756"/>
        <v>0.75</v>
      </c>
      <c r="N1224" s="128">
        <v>1.0</v>
      </c>
      <c r="O1224" s="129">
        <f t="shared" si="775"/>
        <v>0.75</v>
      </c>
      <c r="P1224" s="159"/>
      <c r="Q1224" s="208">
        <f t="shared" si="776"/>
        <v>0.75</v>
      </c>
      <c r="R1224" s="132"/>
      <c r="S1224" s="132"/>
      <c r="T1224" s="65" t="s">
        <v>70</v>
      </c>
      <c r="U1224" s="26"/>
      <c r="V1224" s="26"/>
      <c r="W1224" s="26"/>
      <c r="X1224" s="26"/>
      <c r="Y1224" s="26"/>
      <c r="Z1224" s="26"/>
      <c r="AA1224" s="26"/>
      <c r="AB1224" s="26"/>
      <c r="AC1224" s="26"/>
    </row>
    <row r="1225" ht="33.75" customHeight="1">
      <c r="A1225" s="54" t="s">
        <v>2070</v>
      </c>
      <c r="B1225" s="209" t="s">
        <v>2009</v>
      </c>
      <c r="C1225" s="209" t="s">
        <v>2049</v>
      </c>
      <c r="D1225" s="209" t="s">
        <v>2071</v>
      </c>
      <c r="E1225" s="209" t="s">
        <v>2072</v>
      </c>
      <c r="F1225" s="54" t="s">
        <v>2051</v>
      </c>
      <c r="G1225" s="54" t="s">
        <v>200</v>
      </c>
      <c r="H1225" s="54" t="s">
        <v>200</v>
      </c>
      <c r="I1225" s="54"/>
      <c r="J1225" s="54" t="s">
        <v>9</v>
      </c>
      <c r="K1225" s="54" t="s">
        <v>9</v>
      </c>
      <c r="L1225" s="202">
        <f>IF(COUNT(L1226:N1228)=0,"",SUM(L1226:L1228))</f>
        <v>3</v>
      </c>
      <c r="M1225" s="174">
        <f t="shared" si="756"/>
        <v>3.75</v>
      </c>
      <c r="N1225" s="202">
        <f>IF(COUNT(L1226:N1228)=0,"",SUM(N1226:N1228))</f>
        <v>4.5</v>
      </c>
      <c r="O1225" s="202">
        <f>IF(COUNT(O1226:O1228)=0,"",SUM(O1226:O1228))</f>
        <v>3.75</v>
      </c>
      <c r="P1225" s="210"/>
      <c r="Q1225" s="202">
        <f>IF(COUNT(Q1226:Q1228)=0,"",SUM(Q1226:Q1228))</f>
        <v>3.75</v>
      </c>
      <c r="R1225" s="163"/>
      <c r="S1225" s="163"/>
      <c r="T1225" s="54" t="s">
        <v>65</v>
      </c>
      <c r="U1225" s="179"/>
      <c r="V1225" s="179"/>
      <c r="W1225" s="179"/>
      <c r="X1225" s="105"/>
      <c r="Y1225" s="105"/>
      <c r="Z1225" s="105"/>
      <c r="AA1225" s="105"/>
      <c r="AB1225" s="105"/>
      <c r="AC1225" s="105"/>
    </row>
    <row r="1226" ht="33.75" customHeight="1">
      <c r="A1226" s="65" t="s">
        <v>2073</v>
      </c>
      <c r="B1226" s="215" t="s">
        <v>2009</v>
      </c>
      <c r="C1226" s="215" t="s">
        <v>2049</v>
      </c>
      <c r="D1226" s="215" t="s">
        <v>2071</v>
      </c>
      <c r="E1226" s="215" t="s">
        <v>2072</v>
      </c>
      <c r="F1226" s="65" t="s">
        <v>2051</v>
      </c>
      <c r="G1226" s="65" t="s">
        <v>200</v>
      </c>
      <c r="H1226" s="65" t="s">
        <v>200</v>
      </c>
      <c r="I1226" s="65"/>
      <c r="J1226" s="65" t="s">
        <v>9</v>
      </c>
      <c r="K1226" s="65" t="s">
        <v>9</v>
      </c>
      <c r="L1226" s="128">
        <v>0.0</v>
      </c>
      <c r="M1226" s="180">
        <f t="shared" si="756"/>
        <v>0</v>
      </c>
      <c r="N1226" s="128">
        <v>0.0</v>
      </c>
      <c r="O1226" s="129">
        <f t="shared" ref="O1226:O1228" si="777">IF(COUNT(L1226:N1226)=0,"",(L1226+4*M1226+N1226)/6)</f>
        <v>0</v>
      </c>
      <c r="P1226" s="159"/>
      <c r="Q1226" s="208">
        <f t="shared" ref="Q1226:Q1228" si="778">IF(O1226="","",IF(P1226="",O1226,O1226*(1+P1226)))</f>
        <v>0</v>
      </c>
      <c r="R1226" s="132"/>
      <c r="S1226" s="132"/>
      <c r="T1226" s="65" t="s">
        <v>31</v>
      </c>
      <c r="U1226" s="26"/>
      <c r="V1226" s="26"/>
      <c r="W1226" s="26"/>
      <c r="X1226" s="26"/>
      <c r="Y1226" s="26"/>
      <c r="Z1226" s="26"/>
      <c r="AA1226" s="26"/>
      <c r="AB1226" s="26"/>
      <c r="AC1226" s="26"/>
    </row>
    <row r="1227" ht="33.75" customHeight="1">
      <c r="A1227" s="65" t="s">
        <v>2074</v>
      </c>
      <c r="B1227" s="215" t="s">
        <v>2009</v>
      </c>
      <c r="C1227" s="215" t="s">
        <v>2049</v>
      </c>
      <c r="D1227" s="215" t="s">
        <v>2071</v>
      </c>
      <c r="E1227" s="215" t="s">
        <v>2072</v>
      </c>
      <c r="F1227" s="65" t="s">
        <v>2051</v>
      </c>
      <c r="G1227" s="65" t="s">
        <v>200</v>
      </c>
      <c r="H1227" s="65" t="s">
        <v>200</v>
      </c>
      <c r="I1227" s="65"/>
      <c r="J1227" s="65" t="s">
        <v>9</v>
      </c>
      <c r="K1227" s="65" t="s">
        <v>9</v>
      </c>
      <c r="L1227" s="128">
        <v>2.0</v>
      </c>
      <c r="M1227" s="180">
        <f t="shared" si="756"/>
        <v>2.5</v>
      </c>
      <c r="N1227" s="128">
        <v>3.0</v>
      </c>
      <c r="O1227" s="129">
        <f t="shared" si="777"/>
        <v>2.5</v>
      </c>
      <c r="P1227" s="159"/>
      <c r="Q1227" s="208">
        <f t="shared" si="778"/>
        <v>2.5</v>
      </c>
      <c r="R1227" s="132"/>
      <c r="S1227" s="132"/>
      <c r="T1227" s="65" t="s">
        <v>32</v>
      </c>
      <c r="U1227" s="26"/>
      <c r="V1227" s="26"/>
      <c r="W1227" s="26"/>
      <c r="X1227" s="26"/>
      <c r="Y1227" s="26"/>
      <c r="Z1227" s="26"/>
      <c r="AA1227" s="26"/>
      <c r="AB1227" s="26"/>
      <c r="AC1227" s="26"/>
    </row>
    <row r="1228" ht="33.75" customHeight="1">
      <c r="A1228" s="65" t="s">
        <v>2075</v>
      </c>
      <c r="B1228" s="215" t="s">
        <v>2009</v>
      </c>
      <c r="C1228" s="215" t="s">
        <v>2049</v>
      </c>
      <c r="D1228" s="215" t="s">
        <v>2071</v>
      </c>
      <c r="E1228" s="215" t="s">
        <v>2072</v>
      </c>
      <c r="F1228" s="65" t="s">
        <v>2051</v>
      </c>
      <c r="G1228" s="65" t="s">
        <v>200</v>
      </c>
      <c r="H1228" s="65" t="s">
        <v>200</v>
      </c>
      <c r="I1228" s="65"/>
      <c r="J1228" s="65" t="s">
        <v>9</v>
      </c>
      <c r="K1228" s="65" t="s">
        <v>9</v>
      </c>
      <c r="L1228" s="128">
        <v>1.0</v>
      </c>
      <c r="M1228" s="180">
        <f t="shared" si="756"/>
        <v>1.25</v>
      </c>
      <c r="N1228" s="128">
        <v>1.5</v>
      </c>
      <c r="O1228" s="129">
        <f t="shared" si="777"/>
        <v>1.25</v>
      </c>
      <c r="P1228" s="159"/>
      <c r="Q1228" s="208">
        <f t="shared" si="778"/>
        <v>1.25</v>
      </c>
      <c r="R1228" s="132"/>
      <c r="S1228" s="132"/>
      <c r="T1228" s="65" t="s">
        <v>70</v>
      </c>
      <c r="U1228" s="26"/>
      <c r="V1228" s="26"/>
      <c r="W1228" s="26"/>
      <c r="X1228" s="26"/>
      <c r="Y1228" s="26"/>
      <c r="Z1228" s="26"/>
      <c r="AA1228" s="26"/>
      <c r="AB1228" s="26"/>
      <c r="AC1228" s="26"/>
    </row>
    <row r="1229" ht="33.75" customHeight="1">
      <c r="A1229" s="54" t="s">
        <v>2076</v>
      </c>
      <c r="B1229" s="209" t="s">
        <v>2009</v>
      </c>
      <c r="C1229" s="209" t="s">
        <v>2049</v>
      </c>
      <c r="D1229" s="209" t="s">
        <v>2077</v>
      </c>
      <c r="E1229" s="209" t="s">
        <v>2078</v>
      </c>
      <c r="F1229" s="54" t="s">
        <v>2051</v>
      </c>
      <c r="G1229" s="54" t="s">
        <v>168</v>
      </c>
      <c r="H1229" s="54" t="s">
        <v>168</v>
      </c>
      <c r="I1229" s="54"/>
      <c r="J1229" s="54" t="s">
        <v>9</v>
      </c>
      <c r="K1229" s="54" t="s">
        <v>9</v>
      </c>
      <c r="L1229" s="202">
        <f>IF(COUNT(L1230:N1232)=0,"",SUM(L1230:L1232))</f>
        <v>1</v>
      </c>
      <c r="M1229" s="174">
        <f t="shared" si="756"/>
        <v>1</v>
      </c>
      <c r="N1229" s="202">
        <f>IF(COUNT(L1230:N1232)=0,"",SUM(N1230:N1232))</f>
        <v>1</v>
      </c>
      <c r="O1229" s="202">
        <f>IF(COUNT(O1230:O1232)=0,"",SUM(O1230:O1232))</f>
        <v>1</v>
      </c>
      <c r="P1229" s="210"/>
      <c r="Q1229" s="202">
        <f>IF(COUNT(Q1230:Q1232)=0,"",SUM(Q1230:Q1232))</f>
        <v>1</v>
      </c>
      <c r="R1229" s="163"/>
      <c r="S1229" s="163"/>
      <c r="T1229" s="54" t="s">
        <v>65</v>
      </c>
      <c r="U1229" s="179"/>
      <c r="V1229" s="179"/>
      <c r="W1229" s="179"/>
      <c r="X1229" s="105"/>
      <c r="Y1229" s="105"/>
      <c r="Z1229" s="105"/>
      <c r="AA1229" s="105"/>
      <c r="AB1229" s="105"/>
      <c r="AC1229" s="105"/>
    </row>
    <row r="1230" ht="33.75" customHeight="1">
      <c r="A1230" s="65" t="s">
        <v>2079</v>
      </c>
      <c r="B1230" s="215" t="s">
        <v>2009</v>
      </c>
      <c r="C1230" s="215" t="s">
        <v>2049</v>
      </c>
      <c r="D1230" s="215" t="s">
        <v>2077</v>
      </c>
      <c r="E1230" s="215" t="s">
        <v>2078</v>
      </c>
      <c r="F1230" s="65" t="s">
        <v>2051</v>
      </c>
      <c r="G1230" s="65" t="s">
        <v>168</v>
      </c>
      <c r="H1230" s="65" t="s">
        <v>168</v>
      </c>
      <c r="I1230" s="65"/>
      <c r="J1230" s="65" t="s">
        <v>9</v>
      </c>
      <c r="K1230" s="65" t="s">
        <v>9</v>
      </c>
      <c r="L1230" s="128">
        <v>0.0</v>
      </c>
      <c r="M1230" s="180">
        <f t="shared" si="756"/>
        <v>0</v>
      </c>
      <c r="N1230" s="128">
        <v>0.0</v>
      </c>
      <c r="O1230" s="129">
        <f t="shared" ref="O1230:O1232" si="779">IF(COUNT(L1230:N1230)=0,"",(L1230+4*M1230+N1230)/6)</f>
        <v>0</v>
      </c>
      <c r="P1230" s="159"/>
      <c r="Q1230" s="208">
        <f t="shared" ref="Q1230:Q1232" si="780">IF(O1230="","",IF(P1230="",O1230,O1230*(1+P1230)))</f>
        <v>0</v>
      </c>
      <c r="R1230" s="132"/>
      <c r="S1230" s="132"/>
      <c r="T1230" s="65" t="s">
        <v>31</v>
      </c>
      <c r="U1230" s="26"/>
      <c r="V1230" s="26"/>
      <c r="W1230" s="26"/>
      <c r="X1230" s="26"/>
      <c r="Y1230" s="26"/>
      <c r="Z1230" s="26"/>
      <c r="AA1230" s="26"/>
      <c r="AB1230" s="26"/>
      <c r="AC1230" s="26"/>
    </row>
    <row r="1231" ht="33.75" customHeight="1">
      <c r="A1231" s="65" t="s">
        <v>2080</v>
      </c>
      <c r="B1231" s="215" t="s">
        <v>2009</v>
      </c>
      <c r="C1231" s="215" t="s">
        <v>2049</v>
      </c>
      <c r="D1231" s="215" t="s">
        <v>2077</v>
      </c>
      <c r="E1231" s="215" t="s">
        <v>2078</v>
      </c>
      <c r="F1231" s="65" t="s">
        <v>2051</v>
      </c>
      <c r="G1231" s="65" t="s">
        <v>168</v>
      </c>
      <c r="H1231" s="65" t="s">
        <v>168</v>
      </c>
      <c r="I1231" s="65"/>
      <c r="J1231" s="65" t="s">
        <v>9</v>
      </c>
      <c r="K1231" s="65" t="s">
        <v>9</v>
      </c>
      <c r="L1231" s="128">
        <v>1.0</v>
      </c>
      <c r="M1231" s="180">
        <f t="shared" si="756"/>
        <v>1</v>
      </c>
      <c r="N1231" s="128">
        <v>1.0</v>
      </c>
      <c r="O1231" s="129">
        <f t="shared" si="779"/>
        <v>1</v>
      </c>
      <c r="P1231" s="159"/>
      <c r="Q1231" s="208">
        <f t="shared" si="780"/>
        <v>1</v>
      </c>
      <c r="R1231" s="132"/>
      <c r="S1231" s="132"/>
      <c r="T1231" s="65" t="s">
        <v>32</v>
      </c>
      <c r="U1231" s="26"/>
      <c r="V1231" s="26"/>
      <c r="W1231" s="26"/>
      <c r="X1231" s="26"/>
      <c r="Y1231" s="26"/>
      <c r="Z1231" s="26"/>
      <c r="AA1231" s="26"/>
      <c r="AB1231" s="26"/>
      <c r="AC1231" s="26"/>
    </row>
    <row r="1232" ht="33.75" customHeight="1">
      <c r="A1232" s="65" t="s">
        <v>2081</v>
      </c>
      <c r="B1232" s="215" t="s">
        <v>2009</v>
      </c>
      <c r="C1232" s="215" t="s">
        <v>2049</v>
      </c>
      <c r="D1232" s="215" t="s">
        <v>2077</v>
      </c>
      <c r="E1232" s="215" t="s">
        <v>2078</v>
      </c>
      <c r="F1232" s="65" t="s">
        <v>2051</v>
      </c>
      <c r="G1232" s="65" t="s">
        <v>168</v>
      </c>
      <c r="H1232" s="65" t="s">
        <v>168</v>
      </c>
      <c r="I1232" s="65"/>
      <c r="J1232" s="65" t="s">
        <v>9</v>
      </c>
      <c r="K1232" s="65" t="s">
        <v>9</v>
      </c>
      <c r="L1232" s="128">
        <v>0.0</v>
      </c>
      <c r="M1232" s="180">
        <f t="shared" si="756"/>
        <v>0</v>
      </c>
      <c r="N1232" s="128">
        <v>0.0</v>
      </c>
      <c r="O1232" s="129">
        <f t="shared" si="779"/>
        <v>0</v>
      </c>
      <c r="P1232" s="159"/>
      <c r="Q1232" s="208">
        <f t="shared" si="780"/>
        <v>0</v>
      </c>
      <c r="R1232" s="132"/>
      <c r="S1232" s="132"/>
      <c r="T1232" s="65" t="s">
        <v>70</v>
      </c>
      <c r="U1232" s="26"/>
      <c r="V1232" s="26"/>
      <c r="W1232" s="26"/>
      <c r="X1232" s="26"/>
      <c r="Y1232" s="26"/>
      <c r="Z1232" s="26"/>
      <c r="AA1232" s="26"/>
      <c r="AB1232" s="26"/>
      <c r="AC1232" s="26"/>
    </row>
    <row r="1233" ht="33.75" customHeight="1">
      <c r="A1233" s="54" t="s">
        <v>2082</v>
      </c>
      <c r="B1233" s="209" t="s">
        <v>2009</v>
      </c>
      <c r="C1233" s="209" t="s">
        <v>2049</v>
      </c>
      <c r="D1233" s="209" t="s">
        <v>2083</v>
      </c>
      <c r="E1233" s="209" t="s">
        <v>2084</v>
      </c>
      <c r="F1233" s="54" t="s">
        <v>2058</v>
      </c>
      <c r="G1233" s="54" t="s">
        <v>168</v>
      </c>
      <c r="H1233" s="54" t="s">
        <v>168</v>
      </c>
      <c r="I1233" s="54"/>
      <c r="J1233" s="54" t="s">
        <v>9</v>
      </c>
      <c r="K1233" s="54" t="s">
        <v>9</v>
      </c>
      <c r="L1233" s="202">
        <f>IF(COUNT(L1234:N1236)=0,"",SUM(L1234:L1236))</f>
        <v>1</v>
      </c>
      <c r="M1233" s="174">
        <f t="shared" si="756"/>
        <v>1</v>
      </c>
      <c r="N1233" s="202">
        <f>IF(COUNT(L1234:N1236)=0,"",SUM(N1234:N1236))</f>
        <v>1</v>
      </c>
      <c r="O1233" s="202">
        <f>IF(COUNT(O1234:O1236)=0,"",SUM(O1234:O1236))</f>
        <v>1</v>
      </c>
      <c r="P1233" s="210"/>
      <c r="Q1233" s="202">
        <f>IF(COUNT(Q1234:Q1236)=0,"",SUM(Q1234:Q1236))</f>
        <v>1</v>
      </c>
      <c r="R1233" s="163"/>
      <c r="S1233" s="163"/>
      <c r="T1233" s="54" t="s">
        <v>65</v>
      </c>
      <c r="U1233" s="179"/>
      <c r="V1233" s="179"/>
      <c r="W1233" s="179"/>
      <c r="X1233" s="105"/>
      <c r="Y1233" s="105"/>
      <c r="Z1233" s="105"/>
      <c r="AA1233" s="105"/>
      <c r="AB1233" s="105"/>
      <c r="AC1233" s="105"/>
    </row>
    <row r="1234" ht="33.75" customHeight="1">
      <c r="A1234" s="65" t="s">
        <v>2085</v>
      </c>
      <c r="B1234" s="215" t="s">
        <v>2009</v>
      </c>
      <c r="C1234" s="215" t="s">
        <v>2049</v>
      </c>
      <c r="D1234" s="215" t="s">
        <v>2083</v>
      </c>
      <c r="E1234" s="215" t="s">
        <v>2084</v>
      </c>
      <c r="F1234" s="65" t="s">
        <v>2058</v>
      </c>
      <c r="G1234" s="65" t="s">
        <v>168</v>
      </c>
      <c r="H1234" s="65" t="s">
        <v>168</v>
      </c>
      <c r="I1234" s="65"/>
      <c r="J1234" s="65" t="s">
        <v>9</v>
      </c>
      <c r="K1234" s="65" t="s">
        <v>9</v>
      </c>
      <c r="L1234" s="128">
        <v>0.0</v>
      </c>
      <c r="M1234" s="180">
        <f t="shared" si="756"/>
        <v>0</v>
      </c>
      <c r="N1234" s="128">
        <v>0.0</v>
      </c>
      <c r="O1234" s="129">
        <f t="shared" ref="O1234:O1236" si="781">IF(COUNT(L1234:N1234)=0,"",(L1234+4*M1234+N1234)/6)</f>
        <v>0</v>
      </c>
      <c r="P1234" s="159"/>
      <c r="Q1234" s="208">
        <f t="shared" ref="Q1234:Q1236" si="782">IF(O1234="","",IF(P1234="",O1234,O1234*(1+P1234)))</f>
        <v>0</v>
      </c>
      <c r="R1234" s="132"/>
      <c r="S1234" s="132"/>
      <c r="T1234" s="65" t="s">
        <v>31</v>
      </c>
      <c r="U1234" s="26"/>
      <c r="V1234" s="26"/>
      <c r="W1234" s="26"/>
      <c r="X1234" s="26"/>
      <c r="Y1234" s="26"/>
      <c r="Z1234" s="26"/>
      <c r="AA1234" s="26"/>
      <c r="AB1234" s="26"/>
      <c r="AC1234" s="26"/>
    </row>
    <row r="1235" ht="33.75" customHeight="1">
      <c r="A1235" s="65" t="s">
        <v>2086</v>
      </c>
      <c r="B1235" s="215" t="s">
        <v>2009</v>
      </c>
      <c r="C1235" s="215" t="s">
        <v>2049</v>
      </c>
      <c r="D1235" s="215" t="s">
        <v>2083</v>
      </c>
      <c r="E1235" s="215" t="s">
        <v>2084</v>
      </c>
      <c r="F1235" s="65" t="s">
        <v>2058</v>
      </c>
      <c r="G1235" s="65" t="s">
        <v>168</v>
      </c>
      <c r="H1235" s="65" t="s">
        <v>168</v>
      </c>
      <c r="I1235" s="65"/>
      <c r="J1235" s="65" t="s">
        <v>9</v>
      </c>
      <c r="K1235" s="65" t="s">
        <v>9</v>
      </c>
      <c r="L1235" s="128">
        <v>1.0</v>
      </c>
      <c r="M1235" s="180">
        <f t="shared" si="756"/>
        <v>1</v>
      </c>
      <c r="N1235" s="128">
        <v>1.0</v>
      </c>
      <c r="O1235" s="129">
        <f t="shared" si="781"/>
        <v>1</v>
      </c>
      <c r="P1235" s="159"/>
      <c r="Q1235" s="208">
        <f t="shared" si="782"/>
        <v>1</v>
      </c>
      <c r="R1235" s="132"/>
      <c r="S1235" s="132"/>
      <c r="T1235" s="65" t="s">
        <v>32</v>
      </c>
      <c r="U1235" s="26"/>
      <c r="V1235" s="26"/>
      <c r="W1235" s="26"/>
      <c r="X1235" s="26"/>
      <c r="Y1235" s="26"/>
      <c r="Z1235" s="26"/>
      <c r="AA1235" s="26"/>
      <c r="AB1235" s="26"/>
      <c r="AC1235" s="26"/>
    </row>
    <row r="1236" ht="33.75" customHeight="1">
      <c r="A1236" s="65" t="s">
        <v>2087</v>
      </c>
      <c r="B1236" s="215" t="s">
        <v>2009</v>
      </c>
      <c r="C1236" s="215" t="s">
        <v>2049</v>
      </c>
      <c r="D1236" s="215" t="s">
        <v>2083</v>
      </c>
      <c r="E1236" s="215" t="s">
        <v>2084</v>
      </c>
      <c r="F1236" s="65" t="s">
        <v>2058</v>
      </c>
      <c r="G1236" s="65" t="s">
        <v>168</v>
      </c>
      <c r="H1236" s="65" t="s">
        <v>168</v>
      </c>
      <c r="I1236" s="65"/>
      <c r="J1236" s="65" t="s">
        <v>9</v>
      </c>
      <c r="K1236" s="65" t="s">
        <v>9</v>
      </c>
      <c r="L1236" s="128">
        <v>0.0</v>
      </c>
      <c r="M1236" s="180">
        <f t="shared" si="756"/>
        <v>0</v>
      </c>
      <c r="N1236" s="128">
        <v>0.0</v>
      </c>
      <c r="O1236" s="129">
        <f t="shared" si="781"/>
        <v>0</v>
      </c>
      <c r="P1236" s="159"/>
      <c r="Q1236" s="208">
        <f t="shared" si="782"/>
        <v>0</v>
      </c>
      <c r="R1236" s="132"/>
      <c r="S1236" s="132"/>
      <c r="T1236" s="65" t="s">
        <v>70</v>
      </c>
      <c r="U1236" s="26"/>
      <c r="V1236" s="26"/>
      <c r="W1236" s="26"/>
      <c r="X1236" s="26"/>
      <c r="Y1236" s="26"/>
      <c r="Z1236" s="26"/>
      <c r="AA1236" s="26"/>
      <c r="AB1236" s="26"/>
      <c r="AC1236" s="26"/>
    </row>
    <row r="1237" ht="33.75" customHeight="1">
      <c r="A1237" s="45" t="s">
        <v>2088</v>
      </c>
      <c r="B1237" s="212" t="s">
        <v>2009</v>
      </c>
      <c r="C1237" s="212" t="s">
        <v>2089</v>
      </c>
      <c r="D1237" s="212" t="s">
        <v>2089</v>
      </c>
      <c r="E1237" s="212" t="s">
        <v>2090</v>
      </c>
      <c r="F1237" s="45"/>
      <c r="G1237" s="45"/>
      <c r="H1237" s="45"/>
      <c r="I1237" s="45"/>
      <c r="J1237" s="45"/>
      <c r="K1237" s="123"/>
      <c r="L1237" s="213">
        <f>IF(COUNT(L1238,L1242,L1246,L1250,L1254)=0,"",SUM(L1238,L1242,L1246,L1250,L1254))</f>
        <v>8.25</v>
      </c>
      <c r="M1237" s="213">
        <f t="shared" si="756"/>
        <v>11.875</v>
      </c>
      <c r="N1237" s="213">
        <f t="shared" ref="N1237:O1237" si="783">IF(COUNT(N1238,N1242,N1246,N1250,N1254)=0,"",SUM(N1238,N1242,N1246,N1250,N1254))</f>
        <v>15.5</v>
      </c>
      <c r="O1237" s="213">
        <f t="shared" si="783"/>
        <v>11.875</v>
      </c>
      <c r="P1237" s="214"/>
      <c r="Q1237" s="213">
        <f>IF(COUNT(Q1238,Q1242,Q1246,Q1250,Q1254)=0,"",SUM(Q1238,Q1242,Q1246,Q1250,Q1254))</f>
        <v>11.875</v>
      </c>
      <c r="R1237" s="126"/>
      <c r="S1237" s="126"/>
      <c r="T1237" s="45" t="s">
        <v>62</v>
      </c>
      <c r="U1237" s="26"/>
      <c r="V1237" s="26"/>
      <c r="W1237" s="26"/>
      <c r="X1237" s="46">
        <f t="shared" ref="X1237:AA1237" si="784">L1237</f>
        <v>8.25</v>
      </c>
      <c r="Y1237" s="46">
        <f t="shared" si="784"/>
        <v>11.875</v>
      </c>
      <c r="Z1237" s="46">
        <f t="shared" si="784"/>
        <v>15.5</v>
      </c>
      <c r="AA1237" s="46">
        <f t="shared" si="784"/>
        <v>11.875</v>
      </c>
      <c r="AB1237" s="26"/>
      <c r="AC1237" s="46">
        <f>Q1237</f>
        <v>11.875</v>
      </c>
    </row>
    <row r="1238" ht="33.75" customHeight="1">
      <c r="A1238" s="54" t="s">
        <v>2091</v>
      </c>
      <c r="B1238" s="209" t="s">
        <v>2009</v>
      </c>
      <c r="C1238" s="209" t="s">
        <v>2089</v>
      </c>
      <c r="D1238" s="209" t="s">
        <v>2092</v>
      </c>
      <c r="E1238" s="209" t="s">
        <v>2093</v>
      </c>
      <c r="F1238" s="54" t="s">
        <v>2054</v>
      </c>
      <c r="G1238" s="54" t="s">
        <v>200</v>
      </c>
      <c r="H1238" s="54" t="s">
        <v>200</v>
      </c>
      <c r="I1238" s="54"/>
      <c r="J1238" s="54" t="s">
        <v>9</v>
      </c>
      <c r="K1238" s="119" t="s">
        <v>9</v>
      </c>
      <c r="L1238" s="202">
        <f>IF(COUNT(L1239:N1241)=0,"",SUM(L1239:L1241))</f>
        <v>1.5</v>
      </c>
      <c r="M1238" s="174">
        <f t="shared" si="756"/>
        <v>2.25</v>
      </c>
      <c r="N1238" s="202">
        <f>IF(COUNT(L1239:N1241)=0,"",SUM(N1239:N1241))</f>
        <v>3</v>
      </c>
      <c r="O1238" s="202">
        <f>IF(COUNT(O1239:O1241)=0,"",SUM(O1239:O1241))</f>
        <v>2.25</v>
      </c>
      <c r="P1238" s="210"/>
      <c r="Q1238" s="202">
        <f>IF(COUNT(Q1239:Q1241)=0,"",SUM(Q1239:Q1241))</f>
        <v>2.25</v>
      </c>
      <c r="R1238" s="163"/>
      <c r="S1238" s="163"/>
      <c r="T1238" s="54" t="s">
        <v>65</v>
      </c>
      <c r="U1238" s="179"/>
      <c r="V1238" s="179"/>
      <c r="W1238" s="179"/>
      <c r="X1238" s="105"/>
      <c r="Y1238" s="105"/>
      <c r="Z1238" s="105"/>
      <c r="AA1238" s="105"/>
      <c r="AB1238" s="179"/>
      <c r="AC1238" s="105"/>
    </row>
    <row r="1239" ht="33.75" customHeight="1">
      <c r="A1239" s="65" t="s">
        <v>2094</v>
      </c>
      <c r="B1239" s="215" t="s">
        <v>2009</v>
      </c>
      <c r="C1239" s="215" t="s">
        <v>2089</v>
      </c>
      <c r="D1239" s="215" t="s">
        <v>2092</v>
      </c>
      <c r="E1239" s="215" t="s">
        <v>2093</v>
      </c>
      <c r="F1239" s="65" t="s">
        <v>2054</v>
      </c>
      <c r="G1239" s="65" t="s">
        <v>200</v>
      </c>
      <c r="H1239" s="65" t="s">
        <v>200</v>
      </c>
      <c r="I1239" s="65"/>
      <c r="J1239" s="65" t="s">
        <v>9</v>
      </c>
      <c r="K1239" s="65" t="s">
        <v>9</v>
      </c>
      <c r="L1239" s="128">
        <v>0.5</v>
      </c>
      <c r="M1239" s="180">
        <f t="shared" si="756"/>
        <v>0.75</v>
      </c>
      <c r="N1239" s="128">
        <v>1.0</v>
      </c>
      <c r="O1239" s="129">
        <f t="shared" ref="O1239:O1241" si="785">IF(COUNT(L1239:N1239)=0,"",(L1239+4*M1239+N1239)/6)</f>
        <v>0.75</v>
      </c>
      <c r="P1239" s="159"/>
      <c r="Q1239" s="208">
        <f t="shared" ref="Q1239:Q1241" si="786">IF(O1239="","",IF(P1239="",O1239,O1239*(1+P1239)))</f>
        <v>0.75</v>
      </c>
      <c r="R1239" s="132"/>
      <c r="S1239" s="132"/>
      <c r="T1239" s="65" t="s">
        <v>31</v>
      </c>
      <c r="U1239" s="26"/>
      <c r="V1239" s="26"/>
      <c r="W1239" s="26"/>
      <c r="X1239" s="26"/>
      <c r="Y1239" s="26"/>
      <c r="Z1239" s="26"/>
      <c r="AA1239" s="26"/>
      <c r="AB1239" s="26"/>
      <c r="AC1239" s="26"/>
    </row>
    <row r="1240" ht="33.75" customHeight="1">
      <c r="A1240" s="65" t="s">
        <v>2095</v>
      </c>
      <c r="B1240" s="215" t="s">
        <v>2009</v>
      </c>
      <c r="C1240" s="215" t="s">
        <v>2089</v>
      </c>
      <c r="D1240" s="215" t="s">
        <v>2092</v>
      </c>
      <c r="E1240" s="215" t="s">
        <v>2093</v>
      </c>
      <c r="F1240" s="65" t="s">
        <v>2054</v>
      </c>
      <c r="G1240" s="65" t="s">
        <v>200</v>
      </c>
      <c r="H1240" s="65" t="s">
        <v>200</v>
      </c>
      <c r="I1240" s="65"/>
      <c r="J1240" s="65" t="s">
        <v>9</v>
      </c>
      <c r="K1240" s="65" t="s">
        <v>9</v>
      </c>
      <c r="L1240" s="128">
        <v>0.5</v>
      </c>
      <c r="M1240" s="180">
        <f t="shared" si="756"/>
        <v>0.75</v>
      </c>
      <c r="N1240" s="128">
        <v>1.0</v>
      </c>
      <c r="O1240" s="129">
        <f t="shared" si="785"/>
        <v>0.75</v>
      </c>
      <c r="P1240" s="159"/>
      <c r="Q1240" s="208">
        <f t="shared" si="786"/>
        <v>0.75</v>
      </c>
      <c r="R1240" s="132"/>
      <c r="S1240" s="132"/>
      <c r="T1240" s="65" t="s">
        <v>32</v>
      </c>
      <c r="U1240" s="26"/>
      <c r="V1240" s="26"/>
      <c r="W1240" s="26"/>
      <c r="X1240" s="26"/>
      <c r="Y1240" s="26"/>
      <c r="Z1240" s="26"/>
      <c r="AA1240" s="26"/>
      <c r="AB1240" s="26"/>
      <c r="AC1240" s="26"/>
    </row>
    <row r="1241" ht="33.75" customHeight="1">
      <c r="A1241" s="65" t="s">
        <v>2096</v>
      </c>
      <c r="B1241" s="215" t="s">
        <v>2009</v>
      </c>
      <c r="C1241" s="215" t="s">
        <v>2089</v>
      </c>
      <c r="D1241" s="215" t="s">
        <v>2092</v>
      </c>
      <c r="E1241" s="215" t="s">
        <v>2093</v>
      </c>
      <c r="F1241" s="65" t="s">
        <v>2054</v>
      </c>
      <c r="G1241" s="65" t="s">
        <v>200</v>
      </c>
      <c r="H1241" s="65" t="s">
        <v>200</v>
      </c>
      <c r="I1241" s="65"/>
      <c r="J1241" s="65" t="s">
        <v>9</v>
      </c>
      <c r="K1241" s="65" t="s">
        <v>9</v>
      </c>
      <c r="L1241" s="128">
        <v>0.5</v>
      </c>
      <c r="M1241" s="180">
        <f t="shared" si="756"/>
        <v>0.75</v>
      </c>
      <c r="N1241" s="128">
        <v>1.0</v>
      </c>
      <c r="O1241" s="129">
        <f t="shared" si="785"/>
        <v>0.75</v>
      </c>
      <c r="P1241" s="159"/>
      <c r="Q1241" s="208">
        <f t="shared" si="786"/>
        <v>0.75</v>
      </c>
      <c r="R1241" s="132"/>
      <c r="S1241" s="132"/>
      <c r="T1241" s="65" t="s">
        <v>70</v>
      </c>
      <c r="U1241" s="26"/>
      <c r="V1241" s="26"/>
      <c r="W1241" s="26"/>
      <c r="X1241" s="26"/>
      <c r="Y1241" s="26"/>
      <c r="Z1241" s="26"/>
      <c r="AA1241" s="26"/>
      <c r="AB1241" s="26"/>
      <c r="AC1241" s="26"/>
    </row>
    <row r="1242" ht="33.75" customHeight="1">
      <c r="A1242" s="54" t="s">
        <v>2097</v>
      </c>
      <c r="B1242" s="209" t="s">
        <v>2009</v>
      </c>
      <c r="C1242" s="209" t="s">
        <v>2089</v>
      </c>
      <c r="D1242" s="209" t="s">
        <v>2098</v>
      </c>
      <c r="E1242" s="209" t="s">
        <v>2099</v>
      </c>
      <c r="F1242" s="54" t="s">
        <v>2091</v>
      </c>
      <c r="G1242" s="54" t="s">
        <v>168</v>
      </c>
      <c r="H1242" s="54" t="s">
        <v>168</v>
      </c>
      <c r="I1242" s="54"/>
      <c r="J1242" s="54" t="s">
        <v>9</v>
      </c>
      <c r="K1242" s="54" t="s">
        <v>9</v>
      </c>
      <c r="L1242" s="202">
        <f>IF(COUNT(L1243:N1245)=0,"",SUM(L1243:L1245))</f>
        <v>1.5</v>
      </c>
      <c r="M1242" s="174">
        <f t="shared" si="756"/>
        <v>2.25</v>
      </c>
      <c r="N1242" s="202">
        <f>IF(COUNT(L1243:N1245)=0,"",SUM(N1243:N1245))</f>
        <v>3</v>
      </c>
      <c r="O1242" s="202">
        <f>IF(COUNT(O1243:O1245)=0,"",SUM(O1243:O1245))</f>
        <v>2.25</v>
      </c>
      <c r="P1242" s="210"/>
      <c r="Q1242" s="202">
        <f>IF(COUNT(Q1243:Q1245)=0,"",SUM(Q1243:Q1245))</f>
        <v>2.25</v>
      </c>
      <c r="R1242" s="163"/>
      <c r="S1242" s="163"/>
      <c r="T1242" s="54" t="s">
        <v>65</v>
      </c>
      <c r="U1242" s="179"/>
      <c r="V1242" s="179"/>
      <c r="W1242" s="179"/>
      <c r="X1242" s="105"/>
      <c r="Y1242" s="105"/>
      <c r="Z1242" s="105"/>
      <c r="AA1242" s="105"/>
      <c r="AB1242" s="105"/>
      <c r="AC1242" s="105"/>
    </row>
    <row r="1243" ht="33.75" customHeight="1">
      <c r="A1243" s="65" t="s">
        <v>2100</v>
      </c>
      <c r="B1243" s="215" t="s">
        <v>2009</v>
      </c>
      <c r="C1243" s="215" t="s">
        <v>2089</v>
      </c>
      <c r="D1243" s="215" t="s">
        <v>2098</v>
      </c>
      <c r="E1243" s="215" t="s">
        <v>2099</v>
      </c>
      <c r="F1243" s="65" t="s">
        <v>2091</v>
      </c>
      <c r="G1243" s="65" t="s">
        <v>168</v>
      </c>
      <c r="H1243" s="65" t="s">
        <v>168</v>
      </c>
      <c r="I1243" s="65"/>
      <c r="J1243" s="65" t="s">
        <v>9</v>
      </c>
      <c r="K1243" s="65" t="s">
        <v>9</v>
      </c>
      <c r="L1243" s="128">
        <v>0.25</v>
      </c>
      <c r="M1243" s="180">
        <f t="shared" si="756"/>
        <v>0.375</v>
      </c>
      <c r="N1243" s="128">
        <v>0.5</v>
      </c>
      <c r="O1243" s="129">
        <f t="shared" ref="O1243:O1245" si="787">IF(COUNT(L1243:N1243)=0,"",(L1243+4*M1243+N1243)/6)</f>
        <v>0.375</v>
      </c>
      <c r="P1243" s="159"/>
      <c r="Q1243" s="208">
        <f t="shared" ref="Q1243:Q1245" si="788">IF(O1243="","",IF(P1243="",O1243,O1243*(1+P1243)))</f>
        <v>0.375</v>
      </c>
      <c r="R1243" s="132"/>
      <c r="S1243" s="132"/>
      <c r="T1243" s="65" t="s">
        <v>31</v>
      </c>
      <c r="U1243" s="26"/>
      <c r="V1243" s="26"/>
      <c r="W1243" s="26"/>
      <c r="X1243" s="26"/>
      <c r="Y1243" s="26"/>
      <c r="Z1243" s="26"/>
      <c r="AA1243" s="26"/>
      <c r="AB1243" s="26"/>
      <c r="AC1243" s="26"/>
    </row>
    <row r="1244" ht="33.75" customHeight="1">
      <c r="A1244" s="65" t="s">
        <v>2101</v>
      </c>
      <c r="B1244" s="215" t="s">
        <v>2009</v>
      </c>
      <c r="C1244" s="215" t="s">
        <v>2089</v>
      </c>
      <c r="D1244" s="215" t="s">
        <v>2098</v>
      </c>
      <c r="E1244" s="215" t="s">
        <v>2099</v>
      </c>
      <c r="F1244" s="65" t="s">
        <v>2091</v>
      </c>
      <c r="G1244" s="65" t="s">
        <v>168</v>
      </c>
      <c r="H1244" s="65" t="s">
        <v>168</v>
      </c>
      <c r="I1244" s="65"/>
      <c r="J1244" s="65" t="s">
        <v>9</v>
      </c>
      <c r="K1244" s="65" t="s">
        <v>9</v>
      </c>
      <c r="L1244" s="128">
        <v>1.0</v>
      </c>
      <c r="M1244" s="180">
        <f t="shared" si="756"/>
        <v>1.5</v>
      </c>
      <c r="N1244" s="128">
        <v>2.0</v>
      </c>
      <c r="O1244" s="129">
        <f t="shared" si="787"/>
        <v>1.5</v>
      </c>
      <c r="P1244" s="159"/>
      <c r="Q1244" s="208">
        <f t="shared" si="788"/>
        <v>1.5</v>
      </c>
      <c r="R1244" s="132"/>
      <c r="S1244" s="132"/>
      <c r="T1244" s="65" t="s">
        <v>32</v>
      </c>
      <c r="U1244" s="26"/>
      <c r="V1244" s="26"/>
      <c r="W1244" s="26"/>
      <c r="X1244" s="26"/>
      <c r="Y1244" s="26"/>
      <c r="Z1244" s="26"/>
      <c r="AA1244" s="26"/>
      <c r="AB1244" s="26"/>
      <c r="AC1244" s="26"/>
    </row>
    <row r="1245" ht="33.75" customHeight="1">
      <c r="A1245" s="65" t="s">
        <v>2102</v>
      </c>
      <c r="B1245" s="215" t="s">
        <v>2009</v>
      </c>
      <c r="C1245" s="215" t="s">
        <v>2089</v>
      </c>
      <c r="D1245" s="215" t="s">
        <v>2098</v>
      </c>
      <c r="E1245" s="215" t="s">
        <v>2099</v>
      </c>
      <c r="F1245" s="65" t="s">
        <v>2091</v>
      </c>
      <c r="G1245" s="65" t="s">
        <v>168</v>
      </c>
      <c r="H1245" s="65" t="s">
        <v>168</v>
      </c>
      <c r="I1245" s="65"/>
      <c r="J1245" s="65" t="s">
        <v>9</v>
      </c>
      <c r="K1245" s="65" t="s">
        <v>9</v>
      </c>
      <c r="L1245" s="128">
        <v>0.25</v>
      </c>
      <c r="M1245" s="180">
        <f t="shared" si="756"/>
        <v>0.375</v>
      </c>
      <c r="N1245" s="128">
        <v>0.5</v>
      </c>
      <c r="O1245" s="129">
        <f t="shared" si="787"/>
        <v>0.375</v>
      </c>
      <c r="P1245" s="159"/>
      <c r="Q1245" s="208">
        <f t="shared" si="788"/>
        <v>0.375</v>
      </c>
      <c r="R1245" s="132"/>
      <c r="S1245" s="132"/>
      <c r="T1245" s="65" t="s">
        <v>70</v>
      </c>
      <c r="U1245" s="26"/>
      <c r="V1245" s="26"/>
      <c r="W1245" s="26"/>
      <c r="X1245" s="26"/>
      <c r="Y1245" s="26"/>
      <c r="Z1245" s="26"/>
      <c r="AA1245" s="26"/>
      <c r="AB1245" s="26"/>
      <c r="AC1245" s="26"/>
    </row>
    <row r="1246" ht="33.75" customHeight="1">
      <c r="A1246" s="54" t="s">
        <v>2103</v>
      </c>
      <c r="B1246" s="209" t="s">
        <v>2009</v>
      </c>
      <c r="C1246" s="209" t="s">
        <v>2089</v>
      </c>
      <c r="D1246" s="209" t="s">
        <v>2104</v>
      </c>
      <c r="E1246" s="209" t="s">
        <v>2105</v>
      </c>
      <c r="F1246" s="54" t="s">
        <v>2091</v>
      </c>
      <c r="G1246" s="54" t="s">
        <v>168</v>
      </c>
      <c r="H1246" s="54" t="s">
        <v>168</v>
      </c>
      <c r="I1246" s="54"/>
      <c r="J1246" s="54" t="s">
        <v>9</v>
      </c>
      <c r="K1246" s="54" t="s">
        <v>9</v>
      </c>
      <c r="L1246" s="202">
        <f>IF(COUNT(L1247:N1249)=0,"",SUM(L1247:L1249))</f>
        <v>2.5</v>
      </c>
      <c r="M1246" s="174">
        <f t="shared" si="756"/>
        <v>3.5</v>
      </c>
      <c r="N1246" s="202">
        <f>IF(COUNT(L1247:N1249)=0,"",SUM(N1247:N1249))</f>
        <v>4.5</v>
      </c>
      <c r="O1246" s="202">
        <f>IF(COUNT(O1247:O1249)=0,"",SUM(O1247:O1249))</f>
        <v>3.5</v>
      </c>
      <c r="P1246" s="210"/>
      <c r="Q1246" s="202">
        <f>IF(COUNT(Q1247:Q1249)=0,"",SUM(Q1247:Q1249))</f>
        <v>3.5</v>
      </c>
      <c r="R1246" s="163"/>
      <c r="S1246" s="163"/>
      <c r="T1246" s="54" t="s">
        <v>65</v>
      </c>
      <c r="U1246" s="179"/>
      <c r="V1246" s="179"/>
      <c r="W1246" s="179"/>
      <c r="X1246" s="105"/>
      <c r="Y1246" s="105"/>
      <c r="Z1246" s="105"/>
      <c r="AA1246" s="105"/>
      <c r="AB1246" s="105"/>
      <c r="AC1246" s="105"/>
    </row>
    <row r="1247" ht="33.75" customHeight="1">
      <c r="A1247" s="65" t="s">
        <v>2106</v>
      </c>
      <c r="B1247" s="215" t="s">
        <v>2009</v>
      </c>
      <c r="C1247" s="215" t="s">
        <v>2089</v>
      </c>
      <c r="D1247" s="215" t="s">
        <v>2104</v>
      </c>
      <c r="E1247" s="215" t="s">
        <v>2105</v>
      </c>
      <c r="F1247" s="65" t="s">
        <v>2091</v>
      </c>
      <c r="G1247" s="65" t="s">
        <v>168</v>
      </c>
      <c r="H1247" s="65" t="s">
        <v>168</v>
      </c>
      <c r="I1247" s="65"/>
      <c r="J1247" s="65" t="s">
        <v>9</v>
      </c>
      <c r="K1247" s="65" t="s">
        <v>9</v>
      </c>
      <c r="L1247" s="128">
        <v>1.0</v>
      </c>
      <c r="M1247" s="180">
        <f t="shared" si="756"/>
        <v>1.25</v>
      </c>
      <c r="N1247" s="128">
        <v>1.5</v>
      </c>
      <c r="O1247" s="129">
        <f t="shared" ref="O1247:O1249" si="789">IF(COUNT(L1247:N1247)=0,"",(L1247+4*M1247+N1247)/6)</f>
        <v>1.25</v>
      </c>
      <c r="P1247" s="159"/>
      <c r="Q1247" s="208">
        <f t="shared" ref="Q1247:Q1249" si="790">IF(O1247="","",IF(P1247="",O1247,O1247*(1+P1247)))</f>
        <v>1.25</v>
      </c>
      <c r="R1247" s="132"/>
      <c r="S1247" s="132"/>
      <c r="T1247" s="65" t="s">
        <v>31</v>
      </c>
      <c r="U1247" s="26"/>
      <c r="V1247" s="26"/>
      <c r="W1247" s="26"/>
      <c r="X1247" s="26"/>
      <c r="Y1247" s="26"/>
      <c r="Z1247" s="26"/>
      <c r="AA1247" s="26"/>
      <c r="AB1247" s="26"/>
      <c r="AC1247" s="26"/>
    </row>
    <row r="1248" ht="33.75" customHeight="1">
      <c r="A1248" s="65" t="s">
        <v>2107</v>
      </c>
      <c r="B1248" s="215" t="s">
        <v>2009</v>
      </c>
      <c r="C1248" s="215" t="s">
        <v>2089</v>
      </c>
      <c r="D1248" s="215" t="s">
        <v>2104</v>
      </c>
      <c r="E1248" s="215" t="s">
        <v>2105</v>
      </c>
      <c r="F1248" s="65" t="s">
        <v>2091</v>
      </c>
      <c r="G1248" s="65" t="s">
        <v>168</v>
      </c>
      <c r="H1248" s="65" t="s">
        <v>168</v>
      </c>
      <c r="I1248" s="65"/>
      <c r="J1248" s="65" t="s">
        <v>9</v>
      </c>
      <c r="K1248" s="65" t="s">
        <v>9</v>
      </c>
      <c r="L1248" s="128">
        <v>1.0</v>
      </c>
      <c r="M1248" s="180">
        <f t="shared" si="756"/>
        <v>1.5</v>
      </c>
      <c r="N1248" s="128">
        <v>2.0</v>
      </c>
      <c r="O1248" s="129">
        <f t="shared" si="789"/>
        <v>1.5</v>
      </c>
      <c r="P1248" s="159"/>
      <c r="Q1248" s="208">
        <f t="shared" si="790"/>
        <v>1.5</v>
      </c>
      <c r="R1248" s="132"/>
      <c r="S1248" s="132"/>
      <c r="T1248" s="65" t="s">
        <v>32</v>
      </c>
      <c r="U1248" s="26"/>
      <c r="V1248" s="26"/>
      <c r="W1248" s="26"/>
      <c r="X1248" s="26"/>
      <c r="Y1248" s="26"/>
      <c r="Z1248" s="26"/>
      <c r="AA1248" s="26"/>
      <c r="AB1248" s="26"/>
      <c r="AC1248" s="26"/>
    </row>
    <row r="1249" ht="33.75" customHeight="1">
      <c r="A1249" s="65" t="s">
        <v>2108</v>
      </c>
      <c r="B1249" s="215" t="s">
        <v>2009</v>
      </c>
      <c r="C1249" s="215" t="s">
        <v>2089</v>
      </c>
      <c r="D1249" s="215" t="s">
        <v>2104</v>
      </c>
      <c r="E1249" s="215" t="s">
        <v>2105</v>
      </c>
      <c r="F1249" s="65" t="s">
        <v>2091</v>
      </c>
      <c r="G1249" s="65" t="s">
        <v>168</v>
      </c>
      <c r="H1249" s="65" t="s">
        <v>168</v>
      </c>
      <c r="I1249" s="65"/>
      <c r="J1249" s="65" t="s">
        <v>9</v>
      </c>
      <c r="K1249" s="65" t="s">
        <v>9</v>
      </c>
      <c r="L1249" s="128">
        <v>0.5</v>
      </c>
      <c r="M1249" s="180">
        <f t="shared" si="756"/>
        <v>0.75</v>
      </c>
      <c r="N1249" s="128">
        <v>1.0</v>
      </c>
      <c r="O1249" s="129">
        <f t="shared" si="789"/>
        <v>0.75</v>
      </c>
      <c r="P1249" s="159"/>
      <c r="Q1249" s="208">
        <f t="shared" si="790"/>
        <v>0.75</v>
      </c>
      <c r="R1249" s="132"/>
      <c r="S1249" s="132"/>
      <c r="T1249" s="65" t="s">
        <v>70</v>
      </c>
      <c r="U1249" s="26"/>
      <c r="V1249" s="26"/>
      <c r="W1249" s="26"/>
      <c r="X1249" s="26"/>
      <c r="Y1249" s="26"/>
      <c r="Z1249" s="26"/>
      <c r="AA1249" s="26"/>
      <c r="AB1249" s="26"/>
      <c r="AC1249" s="26"/>
    </row>
    <row r="1250" ht="33.75" customHeight="1">
      <c r="A1250" s="54" t="s">
        <v>2109</v>
      </c>
      <c r="B1250" s="209" t="s">
        <v>2009</v>
      </c>
      <c r="C1250" s="209" t="s">
        <v>2089</v>
      </c>
      <c r="D1250" s="209" t="s">
        <v>2110</v>
      </c>
      <c r="E1250" s="209" t="s">
        <v>2111</v>
      </c>
      <c r="F1250" s="54" t="s">
        <v>2103</v>
      </c>
      <c r="G1250" s="54" t="s">
        <v>200</v>
      </c>
      <c r="H1250" s="54" t="s">
        <v>200</v>
      </c>
      <c r="I1250" s="54"/>
      <c r="J1250" s="54" t="s">
        <v>9</v>
      </c>
      <c r="K1250" s="54" t="s">
        <v>9</v>
      </c>
      <c r="L1250" s="202">
        <f>IF(COUNT(L1251:N1253)=0,"",SUM(L1251:L1253))</f>
        <v>1.25</v>
      </c>
      <c r="M1250" s="174">
        <f t="shared" si="756"/>
        <v>1.625</v>
      </c>
      <c r="N1250" s="202">
        <f>IF(COUNT(L1251:N1253)=0,"",SUM(N1251:N1253))</f>
        <v>2</v>
      </c>
      <c r="O1250" s="202">
        <f>IF(COUNT(O1251:O1253)=0,"",SUM(O1251:O1253))</f>
        <v>1.625</v>
      </c>
      <c r="P1250" s="210"/>
      <c r="Q1250" s="202">
        <f>IF(COUNT(Q1251:Q1253)=0,"",SUM(Q1251:Q1253))</f>
        <v>1.625</v>
      </c>
      <c r="R1250" s="163"/>
      <c r="S1250" s="163"/>
      <c r="T1250" s="54" t="s">
        <v>65</v>
      </c>
      <c r="U1250" s="179"/>
      <c r="V1250" s="179"/>
      <c r="W1250" s="179"/>
      <c r="X1250" s="105"/>
      <c r="Y1250" s="105"/>
      <c r="Z1250" s="105"/>
      <c r="AA1250" s="105"/>
      <c r="AB1250" s="105"/>
      <c r="AC1250" s="105"/>
    </row>
    <row r="1251" ht="33.75" customHeight="1">
      <c r="A1251" s="65" t="s">
        <v>2112</v>
      </c>
      <c r="B1251" s="215" t="s">
        <v>2009</v>
      </c>
      <c r="C1251" s="215" t="s">
        <v>2089</v>
      </c>
      <c r="D1251" s="215" t="s">
        <v>2110</v>
      </c>
      <c r="E1251" s="215" t="s">
        <v>2111</v>
      </c>
      <c r="F1251" s="65" t="s">
        <v>2103</v>
      </c>
      <c r="G1251" s="65" t="s">
        <v>200</v>
      </c>
      <c r="H1251" s="65" t="s">
        <v>200</v>
      </c>
      <c r="I1251" s="65"/>
      <c r="J1251" s="65" t="s">
        <v>9</v>
      </c>
      <c r="K1251" s="65" t="s">
        <v>9</v>
      </c>
      <c r="L1251" s="128">
        <v>0.5</v>
      </c>
      <c r="M1251" s="180">
        <f t="shared" si="756"/>
        <v>0.625</v>
      </c>
      <c r="N1251" s="128">
        <v>0.75</v>
      </c>
      <c r="O1251" s="129">
        <f t="shared" ref="O1251:O1253" si="791">IF(COUNT(L1251:N1251)=0,"",(L1251+4*M1251+N1251)/6)</f>
        <v>0.625</v>
      </c>
      <c r="P1251" s="159"/>
      <c r="Q1251" s="208">
        <f t="shared" ref="Q1251:Q1253" si="792">IF(O1251="","",IF(P1251="",O1251,O1251*(1+P1251)))</f>
        <v>0.625</v>
      </c>
      <c r="R1251" s="132"/>
      <c r="S1251" s="132"/>
      <c r="T1251" s="65" t="s">
        <v>31</v>
      </c>
      <c r="U1251" s="26"/>
      <c r="V1251" s="26"/>
      <c r="W1251" s="26"/>
      <c r="X1251" s="26"/>
      <c r="Y1251" s="26"/>
      <c r="Z1251" s="26"/>
      <c r="AA1251" s="26"/>
      <c r="AB1251" s="26"/>
      <c r="AC1251" s="26"/>
    </row>
    <row r="1252" ht="33.75" customHeight="1">
      <c r="A1252" s="65" t="s">
        <v>2113</v>
      </c>
      <c r="B1252" s="215" t="s">
        <v>2009</v>
      </c>
      <c r="C1252" s="215" t="s">
        <v>2089</v>
      </c>
      <c r="D1252" s="215" t="s">
        <v>2110</v>
      </c>
      <c r="E1252" s="215" t="s">
        <v>2111</v>
      </c>
      <c r="F1252" s="65" t="s">
        <v>2103</v>
      </c>
      <c r="G1252" s="65" t="s">
        <v>200</v>
      </c>
      <c r="H1252" s="65" t="s">
        <v>200</v>
      </c>
      <c r="I1252" s="65"/>
      <c r="J1252" s="65" t="s">
        <v>9</v>
      </c>
      <c r="K1252" s="65" t="s">
        <v>9</v>
      </c>
      <c r="L1252" s="128">
        <v>0.5</v>
      </c>
      <c r="M1252" s="180">
        <f t="shared" si="756"/>
        <v>0.625</v>
      </c>
      <c r="N1252" s="128">
        <v>0.75</v>
      </c>
      <c r="O1252" s="129">
        <f t="shared" si="791"/>
        <v>0.625</v>
      </c>
      <c r="P1252" s="159"/>
      <c r="Q1252" s="208">
        <f t="shared" si="792"/>
        <v>0.625</v>
      </c>
      <c r="R1252" s="132"/>
      <c r="S1252" s="132"/>
      <c r="T1252" s="65" t="s">
        <v>32</v>
      </c>
      <c r="U1252" s="26"/>
      <c r="V1252" s="26"/>
      <c r="W1252" s="26"/>
      <c r="X1252" s="26"/>
      <c r="Y1252" s="26"/>
      <c r="Z1252" s="26"/>
      <c r="AA1252" s="26"/>
      <c r="AB1252" s="26"/>
      <c r="AC1252" s="26"/>
    </row>
    <row r="1253" ht="33.75" customHeight="1">
      <c r="A1253" s="65" t="s">
        <v>2114</v>
      </c>
      <c r="B1253" s="215" t="s">
        <v>2009</v>
      </c>
      <c r="C1253" s="215" t="s">
        <v>2089</v>
      </c>
      <c r="D1253" s="215" t="s">
        <v>2110</v>
      </c>
      <c r="E1253" s="215" t="s">
        <v>2111</v>
      </c>
      <c r="F1253" s="65" t="s">
        <v>2103</v>
      </c>
      <c r="G1253" s="65" t="s">
        <v>200</v>
      </c>
      <c r="H1253" s="65" t="s">
        <v>200</v>
      </c>
      <c r="I1253" s="65"/>
      <c r="J1253" s="65" t="s">
        <v>9</v>
      </c>
      <c r="K1253" s="65" t="s">
        <v>9</v>
      </c>
      <c r="L1253" s="128">
        <v>0.25</v>
      </c>
      <c r="M1253" s="180">
        <f t="shared" si="756"/>
        <v>0.375</v>
      </c>
      <c r="N1253" s="128">
        <v>0.5</v>
      </c>
      <c r="O1253" s="129">
        <f t="shared" si="791"/>
        <v>0.375</v>
      </c>
      <c r="P1253" s="159"/>
      <c r="Q1253" s="208">
        <f t="shared" si="792"/>
        <v>0.375</v>
      </c>
      <c r="R1253" s="132"/>
      <c r="S1253" s="132"/>
      <c r="T1253" s="65" t="s">
        <v>70</v>
      </c>
      <c r="U1253" s="26"/>
      <c r="V1253" s="26"/>
      <c r="W1253" s="26"/>
      <c r="X1253" s="26"/>
      <c r="Y1253" s="26"/>
      <c r="Z1253" s="26"/>
      <c r="AA1253" s="26"/>
      <c r="AB1253" s="26"/>
      <c r="AC1253" s="26"/>
    </row>
    <row r="1254" ht="33.75" customHeight="1">
      <c r="A1254" s="54" t="s">
        <v>2115</v>
      </c>
      <c r="B1254" s="209" t="s">
        <v>2009</v>
      </c>
      <c r="C1254" s="209" t="s">
        <v>2089</v>
      </c>
      <c r="D1254" s="209" t="s">
        <v>2116</v>
      </c>
      <c r="E1254" s="209" t="s">
        <v>2117</v>
      </c>
      <c r="F1254" s="54" t="s">
        <v>2091</v>
      </c>
      <c r="G1254" s="54" t="s">
        <v>168</v>
      </c>
      <c r="H1254" s="54" t="s">
        <v>168</v>
      </c>
      <c r="I1254" s="54"/>
      <c r="J1254" s="54" t="s">
        <v>9</v>
      </c>
      <c r="K1254" s="54" t="s">
        <v>9</v>
      </c>
      <c r="L1254" s="202">
        <f>IF(COUNT(L1255:N1257)=0,"",SUM(L1255:L1257))</f>
        <v>1.5</v>
      </c>
      <c r="M1254" s="174">
        <f t="shared" si="756"/>
        <v>2.25</v>
      </c>
      <c r="N1254" s="202">
        <f>IF(COUNT(L1255:N1257)=0,"",SUM(N1255:N1257))</f>
        <v>3</v>
      </c>
      <c r="O1254" s="202">
        <f>IF(COUNT(O1255:O1257)=0,"",SUM(O1255:O1257))</f>
        <v>2.25</v>
      </c>
      <c r="P1254" s="210"/>
      <c r="Q1254" s="202">
        <f>IF(COUNT(Q1255:Q1257)=0,"",SUM(Q1255:Q1257))</f>
        <v>2.25</v>
      </c>
      <c r="R1254" s="163"/>
      <c r="S1254" s="163"/>
      <c r="T1254" s="54" t="s">
        <v>65</v>
      </c>
      <c r="U1254" s="179"/>
      <c r="V1254" s="179"/>
      <c r="W1254" s="179"/>
      <c r="X1254" s="105"/>
      <c r="Y1254" s="105"/>
      <c r="Z1254" s="105"/>
      <c r="AA1254" s="105"/>
      <c r="AB1254" s="105"/>
      <c r="AC1254" s="105"/>
    </row>
    <row r="1255" ht="33.75" customHeight="1">
      <c r="A1255" s="65" t="s">
        <v>2118</v>
      </c>
      <c r="B1255" s="215" t="s">
        <v>2009</v>
      </c>
      <c r="C1255" s="215" t="s">
        <v>2089</v>
      </c>
      <c r="D1255" s="215" t="s">
        <v>2116</v>
      </c>
      <c r="E1255" s="215" t="s">
        <v>2117</v>
      </c>
      <c r="F1255" s="65" t="s">
        <v>2091</v>
      </c>
      <c r="G1255" s="65" t="s">
        <v>168</v>
      </c>
      <c r="H1255" s="65" t="s">
        <v>168</v>
      </c>
      <c r="I1255" s="65"/>
      <c r="J1255" s="65" t="s">
        <v>9</v>
      </c>
      <c r="K1255" s="65" t="s">
        <v>9</v>
      </c>
      <c r="L1255" s="128">
        <v>0.5</v>
      </c>
      <c r="M1255" s="180">
        <f t="shared" si="756"/>
        <v>0.75</v>
      </c>
      <c r="N1255" s="128">
        <v>1.0</v>
      </c>
      <c r="O1255" s="129">
        <f t="shared" ref="O1255:O1257" si="793">IF(COUNT(L1255:N1255)=0,"",(L1255+4*M1255+N1255)/6)</f>
        <v>0.75</v>
      </c>
      <c r="P1255" s="159"/>
      <c r="Q1255" s="208">
        <f t="shared" ref="Q1255:Q1257" si="794">IF(O1255="","",IF(P1255="",O1255,O1255*(1+P1255)))</f>
        <v>0.75</v>
      </c>
      <c r="R1255" s="132"/>
      <c r="S1255" s="132"/>
      <c r="T1255" s="65" t="s">
        <v>31</v>
      </c>
      <c r="U1255" s="26"/>
      <c r="V1255" s="26"/>
      <c r="W1255" s="26"/>
      <c r="X1255" s="26"/>
      <c r="Y1255" s="26"/>
      <c r="Z1255" s="26"/>
      <c r="AA1255" s="26"/>
      <c r="AB1255" s="26"/>
      <c r="AC1255" s="26"/>
    </row>
    <row r="1256" ht="33.75" customHeight="1">
      <c r="A1256" s="65" t="s">
        <v>2119</v>
      </c>
      <c r="B1256" s="215" t="s">
        <v>2009</v>
      </c>
      <c r="C1256" s="215" t="s">
        <v>2089</v>
      </c>
      <c r="D1256" s="215" t="s">
        <v>2116</v>
      </c>
      <c r="E1256" s="215" t="s">
        <v>2117</v>
      </c>
      <c r="F1256" s="65" t="s">
        <v>2091</v>
      </c>
      <c r="G1256" s="65" t="s">
        <v>168</v>
      </c>
      <c r="H1256" s="65" t="s">
        <v>168</v>
      </c>
      <c r="I1256" s="65"/>
      <c r="J1256" s="65" t="s">
        <v>9</v>
      </c>
      <c r="K1256" s="65" t="s">
        <v>9</v>
      </c>
      <c r="L1256" s="128">
        <v>0.5</v>
      </c>
      <c r="M1256" s="180">
        <f t="shared" si="756"/>
        <v>0.75</v>
      </c>
      <c r="N1256" s="128">
        <v>1.0</v>
      </c>
      <c r="O1256" s="129">
        <f t="shared" si="793"/>
        <v>0.75</v>
      </c>
      <c r="P1256" s="159"/>
      <c r="Q1256" s="208">
        <f t="shared" si="794"/>
        <v>0.75</v>
      </c>
      <c r="R1256" s="132"/>
      <c r="S1256" s="132"/>
      <c r="T1256" s="65" t="s">
        <v>32</v>
      </c>
      <c r="U1256" s="26"/>
      <c r="V1256" s="26"/>
      <c r="W1256" s="26"/>
      <c r="X1256" s="26"/>
      <c r="Y1256" s="26"/>
      <c r="Z1256" s="26"/>
      <c r="AA1256" s="26"/>
      <c r="AB1256" s="26"/>
      <c r="AC1256" s="26"/>
    </row>
    <row r="1257" ht="33.75" customHeight="1">
      <c r="A1257" s="65" t="s">
        <v>2120</v>
      </c>
      <c r="B1257" s="215" t="s">
        <v>2009</v>
      </c>
      <c r="C1257" s="215" t="s">
        <v>2089</v>
      </c>
      <c r="D1257" s="215" t="s">
        <v>2116</v>
      </c>
      <c r="E1257" s="215" t="s">
        <v>2117</v>
      </c>
      <c r="F1257" s="65" t="s">
        <v>2091</v>
      </c>
      <c r="G1257" s="65" t="s">
        <v>168</v>
      </c>
      <c r="H1257" s="65" t="s">
        <v>168</v>
      </c>
      <c r="I1257" s="65"/>
      <c r="J1257" s="65" t="s">
        <v>9</v>
      </c>
      <c r="K1257" s="65" t="s">
        <v>9</v>
      </c>
      <c r="L1257" s="128">
        <v>0.5</v>
      </c>
      <c r="M1257" s="180">
        <f t="shared" si="756"/>
        <v>0.75</v>
      </c>
      <c r="N1257" s="128">
        <v>1.0</v>
      </c>
      <c r="O1257" s="129">
        <f t="shared" si="793"/>
        <v>0.75</v>
      </c>
      <c r="P1257" s="159"/>
      <c r="Q1257" s="208">
        <f t="shared" si="794"/>
        <v>0.75</v>
      </c>
      <c r="R1257" s="132"/>
      <c r="S1257" s="132"/>
      <c r="T1257" s="65" t="s">
        <v>70</v>
      </c>
      <c r="U1257" s="26"/>
      <c r="V1257" s="26"/>
      <c r="W1257" s="26"/>
      <c r="X1257" s="26"/>
      <c r="Y1257" s="26"/>
      <c r="Z1257" s="26"/>
      <c r="AA1257" s="26"/>
      <c r="AB1257" s="26"/>
      <c r="AC1257" s="26"/>
    </row>
    <row r="1258" ht="33.75" customHeight="1">
      <c r="A1258" s="45" t="s">
        <v>2121</v>
      </c>
      <c r="B1258" s="212" t="s">
        <v>2009</v>
      </c>
      <c r="C1258" s="212" t="s">
        <v>2122</v>
      </c>
      <c r="D1258" s="212" t="s">
        <v>2122</v>
      </c>
      <c r="E1258" s="212" t="s">
        <v>2123</v>
      </c>
      <c r="F1258" s="45"/>
      <c r="G1258" s="45"/>
      <c r="H1258" s="45"/>
      <c r="I1258" s="45"/>
      <c r="J1258" s="45"/>
      <c r="K1258" s="123"/>
      <c r="L1258" s="213">
        <f>IF(COUNT(L1259,L1263,L1267,L1271,L1275)=0,"",SUM(L1259,L1263,L1267,L1271,L1275))</f>
        <v>8.25</v>
      </c>
      <c r="M1258" s="213">
        <f t="shared" si="756"/>
        <v>11.5</v>
      </c>
      <c r="N1258" s="213">
        <f t="shared" ref="N1258:O1258" si="795">IF(COUNT(N1259,N1263,N1267,N1271,N1275)=0,"",SUM(N1259,N1263,N1267,N1271,N1275))</f>
        <v>14.75</v>
      </c>
      <c r="O1258" s="213">
        <f t="shared" si="795"/>
        <v>11.5</v>
      </c>
      <c r="P1258" s="214"/>
      <c r="Q1258" s="213">
        <f>IF(COUNT(Q1259,Q1263,Q1267,Q1271,Q1275)=0,"",SUM(Q1259,Q1263,Q1267,Q1271,Q1275))</f>
        <v>11.5</v>
      </c>
      <c r="R1258" s="126"/>
      <c r="S1258" s="126"/>
      <c r="T1258" s="45" t="s">
        <v>62</v>
      </c>
      <c r="U1258" s="26"/>
      <c r="V1258" s="26"/>
      <c r="W1258" s="26"/>
      <c r="X1258" s="46">
        <f t="shared" ref="X1258:AA1258" si="796">L1258</f>
        <v>8.25</v>
      </c>
      <c r="Y1258" s="46">
        <f t="shared" si="796"/>
        <v>11.5</v>
      </c>
      <c r="Z1258" s="46">
        <f t="shared" si="796"/>
        <v>14.75</v>
      </c>
      <c r="AA1258" s="46">
        <f t="shared" si="796"/>
        <v>11.5</v>
      </c>
      <c r="AB1258" s="26"/>
      <c r="AC1258" s="46">
        <f>Q1258</f>
        <v>11.5</v>
      </c>
    </row>
    <row r="1259" ht="33.75" customHeight="1">
      <c r="A1259" s="54" t="s">
        <v>2124</v>
      </c>
      <c r="B1259" s="209" t="s">
        <v>2009</v>
      </c>
      <c r="C1259" s="209" t="s">
        <v>2122</v>
      </c>
      <c r="D1259" s="209" t="s">
        <v>2125</v>
      </c>
      <c r="E1259" s="209" t="s">
        <v>2126</v>
      </c>
      <c r="F1259" s="54" t="s">
        <v>2070</v>
      </c>
      <c r="G1259" s="54" t="s">
        <v>168</v>
      </c>
      <c r="H1259" s="54" t="s">
        <v>168</v>
      </c>
      <c r="I1259" s="54"/>
      <c r="J1259" s="54" t="s">
        <v>9</v>
      </c>
      <c r="K1259" s="119" t="s">
        <v>9</v>
      </c>
      <c r="L1259" s="202">
        <f>IF(COUNT(L1260:N1262)=0,"",SUM(L1260:L1262))</f>
        <v>3</v>
      </c>
      <c r="M1259" s="174">
        <f t="shared" si="756"/>
        <v>4.125</v>
      </c>
      <c r="N1259" s="202">
        <f>IF(COUNT(L1260:N1262)=0,"",SUM(N1260:N1262))</f>
        <v>5.25</v>
      </c>
      <c r="O1259" s="202">
        <f>IF(COUNT(O1260:O1262)=0,"",SUM(O1260:O1262))</f>
        <v>4.125</v>
      </c>
      <c r="P1259" s="210"/>
      <c r="Q1259" s="202">
        <f>IF(COUNT(Q1260:Q1262)=0,"",SUM(Q1260:Q1262))</f>
        <v>4.125</v>
      </c>
      <c r="R1259" s="163"/>
      <c r="S1259" s="163"/>
      <c r="T1259" s="54" t="s">
        <v>65</v>
      </c>
      <c r="U1259" s="179"/>
      <c r="V1259" s="179"/>
      <c r="W1259" s="179"/>
      <c r="X1259" s="105"/>
      <c r="Y1259" s="105"/>
      <c r="Z1259" s="105"/>
      <c r="AA1259" s="105"/>
      <c r="AB1259" s="179"/>
      <c r="AC1259" s="105"/>
    </row>
    <row r="1260" ht="33.75" customHeight="1">
      <c r="A1260" s="65" t="s">
        <v>2127</v>
      </c>
      <c r="B1260" s="215" t="s">
        <v>2009</v>
      </c>
      <c r="C1260" s="215" t="s">
        <v>2122</v>
      </c>
      <c r="D1260" s="215" t="s">
        <v>2125</v>
      </c>
      <c r="E1260" s="215" t="s">
        <v>2126</v>
      </c>
      <c r="F1260" s="65" t="s">
        <v>2070</v>
      </c>
      <c r="G1260" s="65" t="s">
        <v>168</v>
      </c>
      <c r="H1260" s="65" t="s">
        <v>168</v>
      </c>
      <c r="I1260" s="65"/>
      <c r="J1260" s="65" t="s">
        <v>9</v>
      </c>
      <c r="K1260" s="65" t="s">
        <v>9</v>
      </c>
      <c r="L1260" s="128">
        <v>1.0</v>
      </c>
      <c r="M1260" s="180">
        <f t="shared" si="756"/>
        <v>1.5</v>
      </c>
      <c r="N1260" s="128">
        <v>2.0</v>
      </c>
      <c r="O1260" s="129">
        <f t="shared" ref="O1260:O1262" si="797">IF(COUNT(L1260:N1260)=0,"",(L1260+4*M1260+N1260)/6)</f>
        <v>1.5</v>
      </c>
      <c r="P1260" s="159"/>
      <c r="Q1260" s="208">
        <f t="shared" ref="Q1260:Q1262" si="798">IF(O1260="","",IF(P1260="",O1260,O1260*(1+P1260)))</f>
        <v>1.5</v>
      </c>
      <c r="R1260" s="132"/>
      <c r="S1260" s="132"/>
      <c r="T1260" s="65" t="s">
        <v>31</v>
      </c>
      <c r="U1260" s="26"/>
      <c r="V1260" s="26"/>
      <c r="W1260" s="26"/>
      <c r="X1260" s="26"/>
      <c r="Y1260" s="26"/>
      <c r="Z1260" s="26"/>
      <c r="AA1260" s="26"/>
      <c r="AB1260" s="26"/>
      <c r="AC1260" s="26"/>
    </row>
    <row r="1261" ht="33.75" customHeight="1">
      <c r="A1261" s="65" t="s">
        <v>2128</v>
      </c>
      <c r="B1261" s="215" t="s">
        <v>2009</v>
      </c>
      <c r="C1261" s="215" t="s">
        <v>2122</v>
      </c>
      <c r="D1261" s="215" t="s">
        <v>2125</v>
      </c>
      <c r="E1261" s="215" t="s">
        <v>2126</v>
      </c>
      <c r="F1261" s="65" t="s">
        <v>2070</v>
      </c>
      <c r="G1261" s="65" t="s">
        <v>168</v>
      </c>
      <c r="H1261" s="65" t="s">
        <v>168</v>
      </c>
      <c r="I1261" s="65"/>
      <c r="J1261" s="65" t="s">
        <v>9</v>
      </c>
      <c r="K1261" s="65" t="s">
        <v>9</v>
      </c>
      <c r="L1261" s="128">
        <v>1.0</v>
      </c>
      <c r="M1261" s="180">
        <f t="shared" si="756"/>
        <v>1.5</v>
      </c>
      <c r="N1261" s="128">
        <v>2.0</v>
      </c>
      <c r="O1261" s="129">
        <f t="shared" si="797"/>
        <v>1.5</v>
      </c>
      <c r="P1261" s="159"/>
      <c r="Q1261" s="208">
        <f t="shared" si="798"/>
        <v>1.5</v>
      </c>
      <c r="R1261" s="132"/>
      <c r="S1261" s="132"/>
      <c r="T1261" s="65" t="s">
        <v>32</v>
      </c>
      <c r="U1261" s="26"/>
      <c r="V1261" s="26"/>
      <c r="W1261" s="26"/>
      <c r="X1261" s="26"/>
      <c r="Y1261" s="26"/>
      <c r="Z1261" s="26"/>
      <c r="AA1261" s="26"/>
      <c r="AB1261" s="26"/>
      <c r="AC1261" s="26"/>
    </row>
    <row r="1262" ht="33.75" customHeight="1">
      <c r="A1262" s="65" t="s">
        <v>2129</v>
      </c>
      <c r="B1262" s="215" t="s">
        <v>2009</v>
      </c>
      <c r="C1262" s="215" t="s">
        <v>2122</v>
      </c>
      <c r="D1262" s="215" t="s">
        <v>2125</v>
      </c>
      <c r="E1262" s="215" t="s">
        <v>2126</v>
      </c>
      <c r="F1262" s="65" t="s">
        <v>2070</v>
      </c>
      <c r="G1262" s="65" t="s">
        <v>168</v>
      </c>
      <c r="H1262" s="65" t="s">
        <v>168</v>
      </c>
      <c r="I1262" s="65"/>
      <c r="J1262" s="65" t="s">
        <v>9</v>
      </c>
      <c r="K1262" s="65" t="s">
        <v>9</v>
      </c>
      <c r="L1262" s="128">
        <v>1.0</v>
      </c>
      <c r="M1262" s="180">
        <f t="shared" si="756"/>
        <v>1.125</v>
      </c>
      <c r="N1262" s="128">
        <v>1.25</v>
      </c>
      <c r="O1262" s="129">
        <f t="shared" si="797"/>
        <v>1.125</v>
      </c>
      <c r="P1262" s="159"/>
      <c r="Q1262" s="208">
        <f t="shared" si="798"/>
        <v>1.125</v>
      </c>
      <c r="R1262" s="132"/>
      <c r="S1262" s="132"/>
      <c r="T1262" s="65" t="s">
        <v>70</v>
      </c>
      <c r="U1262" s="26"/>
      <c r="V1262" s="26"/>
      <c r="W1262" s="26"/>
      <c r="X1262" s="26"/>
      <c r="Y1262" s="26"/>
      <c r="Z1262" s="26"/>
      <c r="AA1262" s="26"/>
      <c r="AB1262" s="26"/>
      <c r="AC1262" s="26"/>
    </row>
    <row r="1263" ht="33.75" customHeight="1">
      <c r="A1263" s="54" t="s">
        <v>2130</v>
      </c>
      <c r="B1263" s="209" t="s">
        <v>2009</v>
      </c>
      <c r="C1263" s="209" t="s">
        <v>2122</v>
      </c>
      <c r="D1263" s="209" t="s">
        <v>2131</v>
      </c>
      <c r="E1263" s="209" t="s">
        <v>2132</v>
      </c>
      <c r="F1263" s="54" t="s">
        <v>2124</v>
      </c>
      <c r="G1263" s="54" t="s">
        <v>168</v>
      </c>
      <c r="H1263" s="54" t="s">
        <v>168</v>
      </c>
      <c r="I1263" s="54"/>
      <c r="J1263" s="54" t="s">
        <v>9</v>
      </c>
      <c r="K1263" s="54" t="s">
        <v>9</v>
      </c>
      <c r="L1263" s="202">
        <f>IF(COUNT(L1264:N1266)=0,"",SUM(L1264:L1266))</f>
        <v>1.5</v>
      </c>
      <c r="M1263" s="174">
        <f t="shared" si="756"/>
        <v>1.875</v>
      </c>
      <c r="N1263" s="202">
        <f>IF(COUNT(L1264:N1266)=0,"",SUM(N1264:N1266))</f>
        <v>2.25</v>
      </c>
      <c r="O1263" s="202">
        <f>IF(COUNT(O1264:O1266)=0,"",SUM(O1264:O1266))</f>
        <v>1.875</v>
      </c>
      <c r="P1263" s="210"/>
      <c r="Q1263" s="202">
        <f>IF(COUNT(Q1264:Q1266)=0,"",SUM(Q1264:Q1266))</f>
        <v>1.875</v>
      </c>
      <c r="R1263" s="163"/>
      <c r="S1263" s="163"/>
      <c r="T1263" s="54" t="s">
        <v>65</v>
      </c>
      <c r="U1263" s="179"/>
      <c r="V1263" s="179"/>
      <c r="W1263" s="179"/>
      <c r="X1263" s="105"/>
      <c r="Y1263" s="105"/>
      <c r="Z1263" s="105"/>
      <c r="AA1263" s="105"/>
      <c r="AB1263" s="105"/>
      <c r="AC1263" s="105"/>
    </row>
    <row r="1264" ht="33.75" customHeight="1">
      <c r="A1264" s="65" t="s">
        <v>2133</v>
      </c>
      <c r="B1264" s="215" t="s">
        <v>2009</v>
      </c>
      <c r="C1264" s="215" t="s">
        <v>2122</v>
      </c>
      <c r="D1264" s="215" t="s">
        <v>2131</v>
      </c>
      <c r="E1264" s="215" t="s">
        <v>2132</v>
      </c>
      <c r="F1264" s="65" t="s">
        <v>2124</v>
      </c>
      <c r="G1264" s="65" t="s">
        <v>168</v>
      </c>
      <c r="H1264" s="65" t="s">
        <v>168</v>
      </c>
      <c r="I1264" s="65"/>
      <c r="J1264" s="65" t="s">
        <v>9</v>
      </c>
      <c r="K1264" s="65" t="s">
        <v>9</v>
      </c>
      <c r="L1264" s="128">
        <v>0.25</v>
      </c>
      <c r="M1264" s="180">
        <f t="shared" si="756"/>
        <v>0.375</v>
      </c>
      <c r="N1264" s="128">
        <v>0.5</v>
      </c>
      <c r="O1264" s="129">
        <f t="shared" ref="O1264:O1266" si="799">IF(COUNT(L1264:N1264)=0,"",(L1264+4*M1264+N1264)/6)</f>
        <v>0.375</v>
      </c>
      <c r="P1264" s="159"/>
      <c r="Q1264" s="208">
        <f t="shared" ref="Q1264:Q1266" si="800">IF(O1264="","",IF(P1264="",O1264,O1264*(1+P1264)))</f>
        <v>0.375</v>
      </c>
      <c r="R1264" s="132"/>
      <c r="S1264" s="132"/>
      <c r="T1264" s="65" t="s">
        <v>31</v>
      </c>
      <c r="U1264" s="26"/>
      <c r="V1264" s="26"/>
      <c r="W1264" s="26"/>
      <c r="X1264" s="26"/>
      <c r="Y1264" s="26"/>
      <c r="Z1264" s="26"/>
      <c r="AA1264" s="26"/>
      <c r="AB1264" s="26"/>
      <c r="AC1264" s="26"/>
    </row>
    <row r="1265" ht="33.75" customHeight="1">
      <c r="A1265" s="65" t="s">
        <v>2134</v>
      </c>
      <c r="B1265" s="215" t="s">
        <v>2009</v>
      </c>
      <c r="C1265" s="215" t="s">
        <v>2122</v>
      </c>
      <c r="D1265" s="215" t="s">
        <v>2131</v>
      </c>
      <c r="E1265" s="215" t="s">
        <v>2132</v>
      </c>
      <c r="F1265" s="65" t="s">
        <v>2124</v>
      </c>
      <c r="G1265" s="65" t="s">
        <v>168</v>
      </c>
      <c r="H1265" s="65" t="s">
        <v>168</v>
      </c>
      <c r="I1265" s="65"/>
      <c r="J1265" s="65" t="s">
        <v>9</v>
      </c>
      <c r="K1265" s="65" t="s">
        <v>9</v>
      </c>
      <c r="L1265" s="128">
        <v>1.0</v>
      </c>
      <c r="M1265" s="180">
        <f t="shared" si="756"/>
        <v>1.125</v>
      </c>
      <c r="N1265" s="128">
        <v>1.25</v>
      </c>
      <c r="O1265" s="129">
        <f t="shared" si="799"/>
        <v>1.125</v>
      </c>
      <c r="P1265" s="159"/>
      <c r="Q1265" s="208">
        <f t="shared" si="800"/>
        <v>1.125</v>
      </c>
      <c r="R1265" s="132"/>
      <c r="S1265" s="132"/>
      <c r="T1265" s="65" t="s">
        <v>32</v>
      </c>
      <c r="U1265" s="26"/>
      <c r="V1265" s="26"/>
      <c r="W1265" s="26"/>
      <c r="X1265" s="26"/>
      <c r="Y1265" s="26"/>
      <c r="Z1265" s="26"/>
      <c r="AA1265" s="26"/>
      <c r="AB1265" s="26"/>
      <c r="AC1265" s="26"/>
    </row>
    <row r="1266" ht="33.75" customHeight="1">
      <c r="A1266" s="65" t="s">
        <v>2135</v>
      </c>
      <c r="B1266" s="215" t="s">
        <v>2009</v>
      </c>
      <c r="C1266" s="215" t="s">
        <v>2122</v>
      </c>
      <c r="D1266" s="215" t="s">
        <v>2131</v>
      </c>
      <c r="E1266" s="215" t="s">
        <v>2132</v>
      </c>
      <c r="F1266" s="65" t="s">
        <v>2124</v>
      </c>
      <c r="G1266" s="65" t="s">
        <v>168</v>
      </c>
      <c r="H1266" s="65" t="s">
        <v>168</v>
      </c>
      <c r="I1266" s="65"/>
      <c r="J1266" s="65" t="s">
        <v>9</v>
      </c>
      <c r="K1266" s="65" t="s">
        <v>9</v>
      </c>
      <c r="L1266" s="128">
        <v>0.25</v>
      </c>
      <c r="M1266" s="180">
        <f t="shared" si="756"/>
        <v>0.375</v>
      </c>
      <c r="N1266" s="128">
        <v>0.5</v>
      </c>
      <c r="O1266" s="129">
        <f t="shared" si="799"/>
        <v>0.375</v>
      </c>
      <c r="P1266" s="159"/>
      <c r="Q1266" s="208">
        <f t="shared" si="800"/>
        <v>0.375</v>
      </c>
      <c r="R1266" s="132"/>
      <c r="S1266" s="132"/>
      <c r="T1266" s="65" t="s">
        <v>70</v>
      </c>
      <c r="U1266" s="26"/>
      <c r="V1266" s="26"/>
      <c r="W1266" s="26"/>
      <c r="X1266" s="26"/>
      <c r="Y1266" s="26"/>
      <c r="Z1266" s="26"/>
      <c r="AA1266" s="26"/>
      <c r="AB1266" s="26"/>
      <c r="AC1266" s="26"/>
    </row>
    <row r="1267" ht="33.75" customHeight="1">
      <c r="A1267" s="54" t="s">
        <v>2136</v>
      </c>
      <c r="B1267" s="209" t="s">
        <v>2009</v>
      </c>
      <c r="C1267" s="209" t="s">
        <v>2122</v>
      </c>
      <c r="D1267" s="209" t="s">
        <v>2137</v>
      </c>
      <c r="E1267" s="209" t="s">
        <v>2138</v>
      </c>
      <c r="F1267" s="54" t="s">
        <v>2124</v>
      </c>
      <c r="G1267" s="54" t="s">
        <v>168</v>
      </c>
      <c r="H1267" s="54" t="s">
        <v>168</v>
      </c>
      <c r="I1267" s="54"/>
      <c r="J1267" s="54" t="s">
        <v>9</v>
      </c>
      <c r="K1267" s="54" t="s">
        <v>9</v>
      </c>
      <c r="L1267" s="202">
        <f>IF(COUNT(L1268:N1270)=0,"",SUM(L1268:L1270))</f>
        <v>1.5</v>
      </c>
      <c r="M1267" s="174">
        <f t="shared" si="756"/>
        <v>2.25</v>
      </c>
      <c r="N1267" s="202">
        <f>IF(COUNT(L1268:N1270)=0,"",SUM(N1268:N1270))</f>
        <v>3</v>
      </c>
      <c r="O1267" s="202">
        <f>IF(COUNT(O1268:O1270)=0,"",SUM(O1268:O1270))</f>
        <v>2.25</v>
      </c>
      <c r="P1267" s="210"/>
      <c r="Q1267" s="202">
        <f>IF(COUNT(Q1268:Q1270)=0,"",SUM(Q1268:Q1270))</f>
        <v>2.25</v>
      </c>
      <c r="R1267" s="163"/>
      <c r="S1267" s="163"/>
      <c r="T1267" s="54" t="s">
        <v>65</v>
      </c>
      <c r="U1267" s="179"/>
      <c r="V1267" s="179"/>
      <c r="W1267" s="179"/>
      <c r="X1267" s="105"/>
      <c r="Y1267" s="105"/>
      <c r="Z1267" s="105"/>
      <c r="AA1267" s="105"/>
      <c r="AB1267" s="105"/>
      <c r="AC1267" s="105"/>
    </row>
    <row r="1268" ht="33.75" customHeight="1">
      <c r="A1268" s="65" t="s">
        <v>2139</v>
      </c>
      <c r="B1268" s="215" t="s">
        <v>2009</v>
      </c>
      <c r="C1268" s="215" t="s">
        <v>2122</v>
      </c>
      <c r="D1268" s="215" t="s">
        <v>2137</v>
      </c>
      <c r="E1268" s="215" t="s">
        <v>2138</v>
      </c>
      <c r="F1268" s="65" t="s">
        <v>2124</v>
      </c>
      <c r="G1268" s="65" t="s">
        <v>168</v>
      </c>
      <c r="H1268" s="65" t="s">
        <v>168</v>
      </c>
      <c r="I1268" s="65"/>
      <c r="J1268" s="65" t="s">
        <v>9</v>
      </c>
      <c r="K1268" s="65" t="s">
        <v>9</v>
      </c>
      <c r="L1268" s="128">
        <v>0.5</v>
      </c>
      <c r="M1268" s="180">
        <f t="shared" si="756"/>
        <v>0.75</v>
      </c>
      <c r="N1268" s="128">
        <v>1.0</v>
      </c>
      <c r="O1268" s="129">
        <f t="shared" ref="O1268:O1270" si="801">IF(COUNT(L1268:N1268)=0,"",(L1268+4*M1268+N1268)/6)</f>
        <v>0.75</v>
      </c>
      <c r="P1268" s="159"/>
      <c r="Q1268" s="208">
        <f t="shared" ref="Q1268:Q1270" si="802">IF(O1268="","",IF(P1268="",O1268,O1268*(1+P1268)))</f>
        <v>0.75</v>
      </c>
      <c r="R1268" s="132"/>
      <c r="S1268" s="132"/>
      <c r="T1268" s="65" t="s">
        <v>31</v>
      </c>
      <c r="U1268" s="26"/>
      <c r="V1268" s="26"/>
      <c r="W1268" s="26"/>
      <c r="X1268" s="26"/>
      <c r="Y1268" s="26"/>
      <c r="Z1268" s="26"/>
      <c r="AA1268" s="26"/>
      <c r="AB1268" s="26"/>
      <c r="AC1268" s="26"/>
    </row>
    <row r="1269" ht="33.75" customHeight="1">
      <c r="A1269" s="65" t="s">
        <v>2140</v>
      </c>
      <c r="B1269" s="215" t="s">
        <v>2009</v>
      </c>
      <c r="C1269" s="215" t="s">
        <v>2122</v>
      </c>
      <c r="D1269" s="215" t="s">
        <v>2137</v>
      </c>
      <c r="E1269" s="215" t="s">
        <v>2138</v>
      </c>
      <c r="F1269" s="65" t="s">
        <v>2124</v>
      </c>
      <c r="G1269" s="65" t="s">
        <v>168</v>
      </c>
      <c r="H1269" s="65" t="s">
        <v>168</v>
      </c>
      <c r="I1269" s="65"/>
      <c r="J1269" s="65" t="s">
        <v>9</v>
      </c>
      <c r="K1269" s="65" t="s">
        <v>9</v>
      </c>
      <c r="L1269" s="128">
        <v>0.5</v>
      </c>
      <c r="M1269" s="180">
        <f t="shared" si="756"/>
        <v>0.875</v>
      </c>
      <c r="N1269" s="128">
        <v>1.25</v>
      </c>
      <c r="O1269" s="129">
        <f t="shared" si="801"/>
        <v>0.875</v>
      </c>
      <c r="P1269" s="159"/>
      <c r="Q1269" s="208">
        <f t="shared" si="802"/>
        <v>0.875</v>
      </c>
      <c r="R1269" s="132"/>
      <c r="S1269" s="132"/>
      <c r="T1269" s="65" t="s">
        <v>32</v>
      </c>
      <c r="U1269" s="26"/>
      <c r="V1269" s="26"/>
      <c r="W1269" s="26"/>
      <c r="X1269" s="26"/>
      <c r="Y1269" s="26"/>
      <c r="Z1269" s="26"/>
      <c r="AA1269" s="26"/>
      <c r="AB1269" s="26"/>
      <c r="AC1269" s="26"/>
    </row>
    <row r="1270" ht="33.75" customHeight="1">
      <c r="A1270" s="65" t="s">
        <v>2141</v>
      </c>
      <c r="B1270" s="215" t="s">
        <v>2009</v>
      </c>
      <c r="C1270" s="215" t="s">
        <v>2122</v>
      </c>
      <c r="D1270" s="215" t="s">
        <v>2137</v>
      </c>
      <c r="E1270" s="215" t="s">
        <v>2138</v>
      </c>
      <c r="F1270" s="65" t="s">
        <v>2124</v>
      </c>
      <c r="G1270" s="65" t="s">
        <v>168</v>
      </c>
      <c r="H1270" s="65" t="s">
        <v>168</v>
      </c>
      <c r="I1270" s="65"/>
      <c r="J1270" s="65" t="s">
        <v>9</v>
      </c>
      <c r="K1270" s="65" t="s">
        <v>9</v>
      </c>
      <c r="L1270" s="128">
        <v>0.5</v>
      </c>
      <c r="M1270" s="180">
        <f t="shared" si="756"/>
        <v>0.625</v>
      </c>
      <c r="N1270" s="128">
        <v>0.75</v>
      </c>
      <c r="O1270" s="129">
        <f t="shared" si="801"/>
        <v>0.625</v>
      </c>
      <c r="P1270" s="159"/>
      <c r="Q1270" s="208">
        <f t="shared" si="802"/>
        <v>0.625</v>
      </c>
      <c r="R1270" s="132"/>
      <c r="S1270" s="132"/>
      <c r="T1270" s="65" t="s">
        <v>70</v>
      </c>
      <c r="U1270" s="26"/>
      <c r="V1270" s="26"/>
      <c r="W1270" s="26"/>
      <c r="X1270" s="26"/>
      <c r="Y1270" s="26"/>
      <c r="Z1270" s="26"/>
      <c r="AA1270" s="26"/>
      <c r="AB1270" s="26"/>
      <c r="AC1270" s="26"/>
    </row>
    <row r="1271" ht="33.75" customHeight="1">
      <c r="A1271" s="54" t="s">
        <v>2142</v>
      </c>
      <c r="B1271" s="209" t="s">
        <v>2009</v>
      </c>
      <c r="C1271" s="209" t="s">
        <v>2122</v>
      </c>
      <c r="D1271" s="209" t="s">
        <v>2143</v>
      </c>
      <c r="E1271" s="209" t="s">
        <v>2144</v>
      </c>
      <c r="F1271" s="54" t="s">
        <v>2145</v>
      </c>
      <c r="G1271" s="54" t="s">
        <v>200</v>
      </c>
      <c r="H1271" s="54" t="s">
        <v>200</v>
      </c>
      <c r="I1271" s="54"/>
      <c r="J1271" s="54" t="s">
        <v>9</v>
      </c>
      <c r="K1271" s="54" t="s">
        <v>9</v>
      </c>
      <c r="L1271" s="202">
        <f>IF(COUNT(L1272:N1274)=0,"",SUM(L1272:L1274))</f>
        <v>1.5</v>
      </c>
      <c r="M1271" s="174">
        <f t="shared" si="756"/>
        <v>2.25</v>
      </c>
      <c r="N1271" s="202">
        <f>IF(COUNT(L1272:N1274)=0,"",SUM(N1272:N1274))</f>
        <v>3</v>
      </c>
      <c r="O1271" s="202">
        <f>IF(COUNT(O1272:O1274)=0,"",SUM(O1272:O1274))</f>
        <v>2.25</v>
      </c>
      <c r="P1271" s="210"/>
      <c r="Q1271" s="202">
        <f>IF(COUNT(Q1272:Q1274)=0,"",SUM(Q1272:Q1274))</f>
        <v>2.25</v>
      </c>
      <c r="R1271" s="163"/>
      <c r="S1271" s="163"/>
      <c r="T1271" s="54" t="s">
        <v>65</v>
      </c>
      <c r="U1271" s="179"/>
      <c r="V1271" s="179"/>
      <c r="W1271" s="179"/>
      <c r="X1271" s="105"/>
      <c r="Y1271" s="105"/>
      <c r="Z1271" s="105"/>
      <c r="AA1271" s="105"/>
      <c r="AB1271" s="105"/>
      <c r="AC1271" s="105"/>
    </row>
    <row r="1272" ht="33.75" customHeight="1">
      <c r="A1272" s="65" t="s">
        <v>2146</v>
      </c>
      <c r="B1272" s="215" t="s">
        <v>2009</v>
      </c>
      <c r="C1272" s="215" t="s">
        <v>2122</v>
      </c>
      <c r="D1272" s="215" t="s">
        <v>2143</v>
      </c>
      <c r="E1272" s="215" t="s">
        <v>2144</v>
      </c>
      <c r="F1272" s="65" t="s">
        <v>2145</v>
      </c>
      <c r="G1272" s="65" t="s">
        <v>200</v>
      </c>
      <c r="H1272" s="65" t="s">
        <v>200</v>
      </c>
      <c r="I1272" s="65"/>
      <c r="J1272" s="65" t="s">
        <v>9</v>
      </c>
      <c r="K1272" s="65" t="s">
        <v>9</v>
      </c>
      <c r="L1272" s="128">
        <v>0.25</v>
      </c>
      <c r="M1272" s="180">
        <f t="shared" si="756"/>
        <v>0.375</v>
      </c>
      <c r="N1272" s="128">
        <v>0.5</v>
      </c>
      <c r="O1272" s="129">
        <f t="shared" ref="O1272:O1274" si="803">IF(COUNT(L1272:N1272)=0,"",(L1272+4*M1272+N1272)/6)</f>
        <v>0.375</v>
      </c>
      <c r="P1272" s="159"/>
      <c r="Q1272" s="208">
        <f t="shared" ref="Q1272:Q1274" si="804">IF(O1272="","",IF(P1272="",O1272,O1272*(1+P1272)))</f>
        <v>0.375</v>
      </c>
      <c r="R1272" s="132"/>
      <c r="S1272" s="132"/>
      <c r="T1272" s="65" t="s">
        <v>31</v>
      </c>
      <c r="U1272" s="26"/>
      <c r="V1272" s="26"/>
      <c r="W1272" s="26"/>
      <c r="X1272" s="26"/>
      <c r="Y1272" s="26"/>
      <c r="Z1272" s="26"/>
      <c r="AA1272" s="26"/>
      <c r="AB1272" s="26"/>
      <c r="AC1272" s="26"/>
    </row>
    <row r="1273" ht="33.75" customHeight="1">
      <c r="A1273" s="65" t="s">
        <v>2147</v>
      </c>
      <c r="B1273" s="215" t="s">
        <v>2009</v>
      </c>
      <c r="C1273" s="215" t="s">
        <v>2122</v>
      </c>
      <c r="D1273" s="215" t="s">
        <v>2143</v>
      </c>
      <c r="E1273" s="215" t="s">
        <v>2144</v>
      </c>
      <c r="F1273" s="65" t="s">
        <v>2145</v>
      </c>
      <c r="G1273" s="65" t="s">
        <v>200</v>
      </c>
      <c r="H1273" s="65" t="s">
        <v>200</v>
      </c>
      <c r="I1273" s="65"/>
      <c r="J1273" s="65" t="s">
        <v>9</v>
      </c>
      <c r="K1273" s="65" t="s">
        <v>9</v>
      </c>
      <c r="L1273" s="128">
        <v>1.0</v>
      </c>
      <c r="M1273" s="180">
        <f t="shared" si="756"/>
        <v>1.25</v>
      </c>
      <c r="N1273" s="128">
        <v>1.5</v>
      </c>
      <c r="O1273" s="129">
        <f t="shared" si="803"/>
        <v>1.25</v>
      </c>
      <c r="P1273" s="159"/>
      <c r="Q1273" s="208">
        <f t="shared" si="804"/>
        <v>1.25</v>
      </c>
      <c r="R1273" s="132"/>
      <c r="S1273" s="132"/>
      <c r="T1273" s="65" t="s">
        <v>32</v>
      </c>
      <c r="U1273" s="26"/>
      <c r="V1273" s="26"/>
      <c r="W1273" s="26"/>
      <c r="X1273" s="26"/>
      <c r="Y1273" s="26"/>
      <c r="Z1273" s="26"/>
      <c r="AA1273" s="26"/>
      <c r="AB1273" s="26"/>
      <c r="AC1273" s="26"/>
    </row>
    <row r="1274" ht="33.75" customHeight="1">
      <c r="A1274" s="65" t="s">
        <v>2148</v>
      </c>
      <c r="B1274" s="215" t="s">
        <v>2009</v>
      </c>
      <c r="C1274" s="215" t="s">
        <v>2122</v>
      </c>
      <c r="D1274" s="215" t="s">
        <v>2143</v>
      </c>
      <c r="E1274" s="215" t="s">
        <v>2144</v>
      </c>
      <c r="F1274" s="65" t="s">
        <v>2145</v>
      </c>
      <c r="G1274" s="65" t="s">
        <v>200</v>
      </c>
      <c r="H1274" s="65" t="s">
        <v>200</v>
      </c>
      <c r="I1274" s="65"/>
      <c r="J1274" s="65" t="s">
        <v>9</v>
      </c>
      <c r="K1274" s="65" t="s">
        <v>9</v>
      </c>
      <c r="L1274" s="128">
        <v>0.25</v>
      </c>
      <c r="M1274" s="180">
        <f t="shared" si="756"/>
        <v>0.625</v>
      </c>
      <c r="N1274" s="128">
        <v>1.0</v>
      </c>
      <c r="O1274" s="129">
        <f t="shared" si="803"/>
        <v>0.625</v>
      </c>
      <c r="P1274" s="159"/>
      <c r="Q1274" s="208">
        <f t="shared" si="804"/>
        <v>0.625</v>
      </c>
      <c r="R1274" s="132"/>
      <c r="S1274" s="132"/>
      <c r="T1274" s="65" t="s">
        <v>70</v>
      </c>
      <c r="U1274" s="26"/>
      <c r="V1274" s="26"/>
      <c r="W1274" s="26"/>
      <c r="X1274" s="26"/>
      <c r="Y1274" s="26"/>
      <c r="Z1274" s="26"/>
      <c r="AA1274" s="26"/>
      <c r="AB1274" s="26"/>
      <c r="AC1274" s="26"/>
    </row>
    <row r="1275" ht="33.75" customHeight="1">
      <c r="A1275" s="54" t="s">
        <v>2149</v>
      </c>
      <c r="B1275" s="209" t="s">
        <v>2009</v>
      </c>
      <c r="C1275" s="209" t="s">
        <v>2122</v>
      </c>
      <c r="D1275" s="209" t="s">
        <v>2150</v>
      </c>
      <c r="E1275" s="209" t="s">
        <v>2151</v>
      </c>
      <c r="F1275" s="54" t="s">
        <v>2142</v>
      </c>
      <c r="G1275" s="54" t="s">
        <v>200</v>
      </c>
      <c r="H1275" s="54" t="s">
        <v>200</v>
      </c>
      <c r="I1275" s="54"/>
      <c r="J1275" s="54" t="s">
        <v>9</v>
      </c>
      <c r="K1275" s="54" t="s">
        <v>9</v>
      </c>
      <c r="L1275" s="202">
        <f>IF(COUNT(L1276:N1278)=0,"",SUM(L1276:L1278))</f>
        <v>0.75</v>
      </c>
      <c r="M1275" s="174">
        <f t="shared" si="756"/>
        <v>1</v>
      </c>
      <c r="N1275" s="202">
        <f>IF(COUNT(L1276:N1278)=0,"",SUM(N1276:N1278))</f>
        <v>1.25</v>
      </c>
      <c r="O1275" s="202">
        <f>IF(COUNT(O1276:O1278)=0,"",SUM(O1276:O1278))</f>
        <v>1</v>
      </c>
      <c r="P1275" s="210"/>
      <c r="Q1275" s="202">
        <f>IF(COUNT(Q1276:Q1278)=0,"",SUM(Q1276:Q1278))</f>
        <v>1</v>
      </c>
      <c r="R1275" s="163"/>
      <c r="S1275" s="163"/>
      <c r="T1275" s="54" t="s">
        <v>65</v>
      </c>
      <c r="U1275" s="179"/>
      <c r="V1275" s="179"/>
      <c r="W1275" s="179"/>
      <c r="X1275" s="105"/>
      <c r="Y1275" s="105"/>
      <c r="Z1275" s="105"/>
      <c r="AA1275" s="105"/>
      <c r="AB1275" s="105"/>
      <c r="AC1275" s="105"/>
    </row>
    <row r="1276" ht="33.75" customHeight="1">
      <c r="A1276" s="65" t="s">
        <v>2152</v>
      </c>
      <c r="B1276" s="215" t="s">
        <v>2009</v>
      </c>
      <c r="C1276" s="215" t="s">
        <v>2122</v>
      </c>
      <c r="D1276" s="215" t="s">
        <v>2150</v>
      </c>
      <c r="E1276" s="215" t="s">
        <v>2151</v>
      </c>
      <c r="F1276" s="65" t="s">
        <v>2142</v>
      </c>
      <c r="G1276" s="65" t="s">
        <v>200</v>
      </c>
      <c r="H1276" s="65" t="s">
        <v>200</v>
      </c>
      <c r="I1276" s="65"/>
      <c r="J1276" s="65" t="s">
        <v>9</v>
      </c>
      <c r="K1276" s="65" t="s">
        <v>9</v>
      </c>
      <c r="L1276" s="128">
        <v>0.25</v>
      </c>
      <c r="M1276" s="180">
        <f t="shared" si="756"/>
        <v>0.375</v>
      </c>
      <c r="N1276" s="128">
        <v>0.5</v>
      </c>
      <c r="O1276" s="129">
        <f t="shared" ref="O1276:O1278" si="805">IF(COUNT(L1276:N1276)=0,"",(L1276+4*M1276+N1276)/6)</f>
        <v>0.375</v>
      </c>
      <c r="P1276" s="159"/>
      <c r="Q1276" s="208">
        <f t="shared" ref="Q1276:Q1278" si="806">IF(O1276="","",IF(P1276="",O1276,O1276*(1+P1276)))</f>
        <v>0.375</v>
      </c>
      <c r="R1276" s="132"/>
      <c r="S1276" s="132"/>
      <c r="T1276" s="65" t="s">
        <v>31</v>
      </c>
      <c r="U1276" s="26"/>
      <c r="V1276" s="26"/>
      <c r="W1276" s="26"/>
      <c r="X1276" s="26"/>
      <c r="Y1276" s="26"/>
      <c r="Z1276" s="26"/>
      <c r="AA1276" s="26"/>
      <c r="AB1276" s="26"/>
      <c r="AC1276" s="26"/>
    </row>
    <row r="1277" ht="33.75" customHeight="1">
      <c r="A1277" s="65" t="s">
        <v>2153</v>
      </c>
      <c r="B1277" s="215" t="s">
        <v>2009</v>
      </c>
      <c r="C1277" s="215" t="s">
        <v>2122</v>
      </c>
      <c r="D1277" s="215" t="s">
        <v>2150</v>
      </c>
      <c r="E1277" s="215" t="s">
        <v>2151</v>
      </c>
      <c r="F1277" s="65" t="s">
        <v>2142</v>
      </c>
      <c r="G1277" s="65" t="s">
        <v>200</v>
      </c>
      <c r="H1277" s="65" t="s">
        <v>200</v>
      </c>
      <c r="I1277" s="65"/>
      <c r="J1277" s="65" t="s">
        <v>9</v>
      </c>
      <c r="K1277" s="65" t="s">
        <v>9</v>
      </c>
      <c r="L1277" s="128">
        <v>0.25</v>
      </c>
      <c r="M1277" s="180">
        <f t="shared" si="756"/>
        <v>0.25</v>
      </c>
      <c r="N1277" s="128">
        <v>0.25</v>
      </c>
      <c r="O1277" s="129">
        <f t="shared" si="805"/>
        <v>0.25</v>
      </c>
      <c r="P1277" s="159"/>
      <c r="Q1277" s="208">
        <f t="shared" si="806"/>
        <v>0.25</v>
      </c>
      <c r="R1277" s="132"/>
      <c r="S1277" s="132"/>
      <c r="T1277" s="65" t="s">
        <v>32</v>
      </c>
      <c r="U1277" s="26"/>
      <c r="V1277" s="26"/>
      <c r="W1277" s="26"/>
      <c r="X1277" s="26"/>
      <c r="Y1277" s="26"/>
      <c r="Z1277" s="26"/>
      <c r="AA1277" s="26"/>
      <c r="AB1277" s="26"/>
      <c r="AC1277" s="26"/>
    </row>
    <row r="1278" ht="33.75" customHeight="1">
      <c r="A1278" s="65" t="s">
        <v>2154</v>
      </c>
      <c r="B1278" s="215" t="s">
        <v>2009</v>
      </c>
      <c r="C1278" s="215" t="s">
        <v>2122</v>
      </c>
      <c r="D1278" s="215" t="s">
        <v>2150</v>
      </c>
      <c r="E1278" s="215" t="s">
        <v>2151</v>
      </c>
      <c r="F1278" s="65" t="s">
        <v>2142</v>
      </c>
      <c r="G1278" s="65" t="s">
        <v>200</v>
      </c>
      <c r="H1278" s="65" t="s">
        <v>200</v>
      </c>
      <c r="I1278" s="65"/>
      <c r="J1278" s="65" t="s">
        <v>9</v>
      </c>
      <c r="K1278" s="65" t="s">
        <v>9</v>
      </c>
      <c r="L1278" s="128">
        <v>0.25</v>
      </c>
      <c r="M1278" s="180">
        <f t="shared" si="756"/>
        <v>0.375</v>
      </c>
      <c r="N1278" s="128">
        <v>0.5</v>
      </c>
      <c r="O1278" s="129">
        <f t="shared" si="805"/>
        <v>0.375</v>
      </c>
      <c r="P1278" s="159"/>
      <c r="Q1278" s="208">
        <f t="shared" si="806"/>
        <v>0.375</v>
      </c>
      <c r="R1278" s="132"/>
      <c r="S1278" s="132"/>
      <c r="T1278" s="65" t="s">
        <v>70</v>
      </c>
      <c r="U1278" s="26"/>
      <c r="V1278" s="26"/>
      <c r="W1278" s="26"/>
      <c r="X1278" s="26"/>
      <c r="Y1278" s="26"/>
      <c r="Z1278" s="26"/>
      <c r="AA1278" s="26"/>
      <c r="AB1278" s="26"/>
      <c r="AC1278" s="26"/>
    </row>
    <row r="1279" ht="33.75" customHeight="1">
      <c r="A1279" s="45" t="s">
        <v>2155</v>
      </c>
      <c r="B1279" s="212" t="s">
        <v>2009</v>
      </c>
      <c r="C1279" s="212" t="s">
        <v>2156</v>
      </c>
      <c r="D1279" s="212" t="s">
        <v>2156</v>
      </c>
      <c r="E1279" s="212" t="s">
        <v>2157</v>
      </c>
      <c r="F1279" s="45"/>
      <c r="G1279" s="45"/>
      <c r="H1279" s="45"/>
      <c r="I1279" s="45"/>
      <c r="J1279" s="45"/>
      <c r="K1279" s="123"/>
      <c r="L1279" s="213">
        <f>IF(COUNT(L1280,L1284,L1288,L1292)=0,"",SUM(L1280,L1284,L1288,L1292))</f>
        <v>5</v>
      </c>
      <c r="M1279" s="213">
        <f t="shared" si="756"/>
        <v>6.75</v>
      </c>
      <c r="N1279" s="213">
        <f t="shared" ref="N1279:O1279" si="807">IF(COUNT(N1280,N1284,N1288,N1292)=0,"",SUM(N1280,N1284,N1288,N1292))</f>
        <v>8.5</v>
      </c>
      <c r="O1279" s="213">
        <f t="shared" si="807"/>
        <v>6.75</v>
      </c>
      <c r="P1279" s="214"/>
      <c r="Q1279" s="213">
        <f>IF(COUNT(Q1280,Q1284,Q1288,Q1292)=0,"",SUM(Q1280,Q1284,Q1288,Q1292))</f>
        <v>6.75</v>
      </c>
      <c r="R1279" s="126"/>
      <c r="S1279" s="126"/>
      <c r="T1279" s="45" t="s">
        <v>62</v>
      </c>
      <c r="U1279" s="26"/>
      <c r="V1279" s="26"/>
      <c r="W1279" s="26"/>
      <c r="X1279" s="46">
        <f t="shared" ref="X1279:AA1279" si="808">L1279</f>
        <v>5</v>
      </c>
      <c r="Y1279" s="46">
        <f t="shared" si="808"/>
        <v>6.75</v>
      </c>
      <c r="Z1279" s="46">
        <f t="shared" si="808"/>
        <v>8.5</v>
      </c>
      <c r="AA1279" s="46">
        <f t="shared" si="808"/>
        <v>6.75</v>
      </c>
      <c r="AB1279" s="26"/>
      <c r="AC1279" s="46">
        <f>Q1279</f>
        <v>6.75</v>
      </c>
    </row>
    <row r="1280" ht="33.75" customHeight="1">
      <c r="A1280" s="54" t="s">
        <v>2158</v>
      </c>
      <c r="B1280" s="209" t="s">
        <v>2009</v>
      </c>
      <c r="C1280" s="209" t="s">
        <v>2156</v>
      </c>
      <c r="D1280" s="209" t="s">
        <v>2159</v>
      </c>
      <c r="E1280" s="209" t="s">
        <v>2160</v>
      </c>
      <c r="F1280" s="54"/>
      <c r="G1280" s="54" t="s">
        <v>168</v>
      </c>
      <c r="H1280" s="54" t="s">
        <v>168</v>
      </c>
      <c r="I1280" s="54"/>
      <c r="J1280" s="54" t="s">
        <v>9</v>
      </c>
      <c r="K1280" s="119" t="s">
        <v>9</v>
      </c>
      <c r="L1280" s="202">
        <f>IF(COUNT(L1281:N1283)=0,"",SUM(L1281:L1283))</f>
        <v>1</v>
      </c>
      <c r="M1280" s="174">
        <f t="shared" si="756"/>
        <v>1.25</v>
      </c>
      <c r="N1280" s="202">
        <f>IF(COUNT(L1281:N1283)=0,"",SUM(N1281:N1283))</f>
        <v>1.5</v>
      </c>
      <c r="O1280" s="202">
        <f>IF(COUNT(O1281:O1283)=0,"",SUM(O1281:O1283))</f>
        <v>1.25</v>
      </c>
      <c r="P1280" s="210"/>
      <c r="Q1280" s="202">
        <f>IF(COUNT(Q1281:Q1283)=0,"",SUM(Q1281:Q1283))</f>
        <v>1.25</v>
      </c>
      <c r="R1280" s="163"/>
      <c r="S1280" s="163"/>
      <c r="T1280" s="54" t="s">
        <v>65</v>
      </c>
      <c r="U1280" s="179"/>
      <c r="V1280" s="179"/>
      <c r="W1280" s="179"/>
      <c r="X1280" s="105"/>
      <c r="Y1280" s="105"/>
      <c r="Z1280" s="105"/>
      <c r="AA1280" s="105"/>
      <c r="AB1280" s="179"/>
      <c r="AC1280" s="105"/>
    </row>
    <row r="1281" ht="33.75" customHeight="1">
      <c r="A1281" s="65" t="s">
        <v>2161</v>
      </c>
      <c r="B1281" s="215" t="s">
        <v>2009</v>
      </c>
      <c r="C1281" s="215" t="s">
        <v>2156</v>
      </c>
      <c r="D1281" s="215" t="s">
        <v>2159</v>
      </c>
      <c r="E1281" s="215" t="s">
        <v>2160</v>
      </c>
      <c r="F1281" s="65"/>
      <c r="G1281" s="65" t="s">
        <v>168</v>
      </c>
      <c r="H1281" s="65" t="s">
        <v>168</v>
      </c>
      <c r="I1281" s="65"/>
      <c r="J1281" s="65" t="s">
        <v>9</v>
      </c>
      <c r="K1281" s="65" t="s">
        <v>9</v>
      </c>
      <c r="L1281" s="128">
        <v>0.0</v>
      </c>
      <c r="M1281" s="180">
        <f t="shared" si="756"/>
        <v>0</v>
      </c>
      <c r="N1281" s="128">
        <v>0.0</v>
      </c>
      <c r="O1281" s="129">
        <f t="shared" ref="O1281:O1283" si="809">IF(COUNT(L1281:N1281)=0,"",(L1281+4*M1281+N1281)/6)</f>
        <v>0</v>
      </c>
      <c r="P1281" s="159"/>
      <c r="Q1281" s="208">
        <f t="shared" ref="Q1281:Q1283" si="810">IF(O1281="","",IF(P1281="",O1281,O1281*(1+P1281)))</f>
        <v>0</v>
      </c>
      <c r="R1281" s="132"/>
      <c r="S1281" s="132"/>
      <c r="T1281" s="65" t="s">
        <v>31</v>
      </c>
      <c r="U1281" s="178"/>
      <c r="V1281" s="178"/>
      <c r="W1281" s="178"/>
      <c r="X1281" s="178"/>
      <c r="Y1281" s="178"/>
      <c r="Z1281" s="178"/>
      <c r="AA1281" s="178"/>
      <c r="AB1281" s="178"/>
      <c r="AC1281" s="178"/>
    </row>
    <row r="1282" ht="33.75" customHeight="1">
      <c r="A1282" s="65" t="s">
        <v>2162</v>
      </c>
      <c r="B1282" s="215" t="s">
        <v>2009</v>
      </c>
      <c r="C1282" s="215" t="s">
        <v>2156</v>
      </c>
      <c r="D1282" s="215" t="s">
        <v>2159</v>
      </c>
      <c r="E1282" s="215" t="s">
        <v>2160</v>
      </c>
      <c r="F1282" s="65"/>
      <c r="G1282" s="65" t="s">
        <v>168</v>
      </c>
      <c r="H1282" s="65" t="s">
        <v>168</v>
      </c>
      <c r="I1282" s="65"/>
      <c r="J1282" s="65" t="s">
        <v>9</v>
      </c>
      <c r="K1282" s="65" t="s">
        <v>9</v>
      </c>
      <c r="L1282" s="128">
        <v>1.0</v>
      </c>
      <c r="M1282" s="180">
        <f t="shared" si="756"/>
        <v>1.25</v>
      </c>
      <c r="N1282" s="128">
        <v>1.5</v>
      </c>
      <c r="O1282" s="129">
        <f t="shared" si="809"/>
        <v>1.25</v>
      </c>
      <c r="P1282" s="159"/>
      <c r="Q1282" s="208">
        <f t="shared" si="810"/>
        <v>1.25</v>
      </c>
      <c r="R1282" s="132"/>
      <c r="S1282" s="132"/>
      <c r="T1282" s="65" t="s">
        <v>32</v>
      </c>
      <c r="U1282" s="178"/>
      <c r="V1282" s="178"/>
      <c r="W1282" s="178"/>
      <c r="X1282" s="178"/>
      <c r="Y1282" s="178"/>
      <c r="Z1282" s="178"/>
      <c r="AA1282" s="178"/>
      <c r="AB1282" s="178"/>
      <c r="AC1282" s="178"/>
    </row>
    <row r="1283" ht="33.75" customHeight="1">
      <c r="A1283" s="65" t="s">
        <v>2163</v>
      </c>
      <c r="B1283" s="215" t="s">
        <v>2009</v>
      </c>
      <c r="C1283" s="215" t="s">
        <v>2156</v>
      </c>
      <c r="D1283" s="215" t="s">
        <v>2159</v>
      </c>
      <c r="E1283" s="215" t="s">
        <v>2160</v>
      </c>
      <c r="F1283" s="65"/>
      <c r="G1283" s="65" t="s">
        <v>168</v>
      </c>
      <c r="H1283" s="65" t="s">
        <v>168</v>
      </c>
      <c r="I1283" s="65"/>
      <c r="J1283" s="65" t="s">
        <v>9</v>
      </c>
      <c r="K1283" s="65" t="s">
        <v>9</v>
      </c>
      <c r="L1283" s="128">
        <v>0.0</v>
      </c>
      <c r="M1283" s="180">
        <f t="shared" si="756"/>
        <v>0</v>
      </c>
      <c r="N1283" s="128">
        <v>0.0</v>
      </c>
      <c r="O1283" s="129">
        <f t="shared" si="809"/>
        <v>0</v>
      </c>
      <c r="P1283" s="159"/>
      <c r="Q1283" s="208">
        <f t="shared" si="810"/>
        <v>0</v>
      </c>
      <c r="R1283" s="132"/>
      <c r="S1283" s="132"/>
      <c r="T1283" s="65" t="s">
        <v>70</v>
      </c>
      <c r="U1283" s="178"/>
      <c r="V1283" s="178"/>
      <c r="W1283" s="178"/>
      <c r="X1283" s="178"/>
      <c r="Y1283" s="178"/>
      <c r="Z1283" s="178"/>
      <c r="AA1283" s="178"/>
      <c r="AB1283" s="178"/>
      <c r="AC1283" s="178"/>
    </row>
    <row r="1284" ht="33.75" customHeight="1">
      <c r="A1284" s="54" t="s">
        <v>2164</v>
      </c>
      <c r="B1284" s="209" t="s">
        <v>2009</v>
      </c>
      <c r="C1284" s="209" t="s">
        <v>2156</v>
      </c>
      <c r="D1284" s="209" t="s">
        <v>2165</v>
      </c>
      <c r="E1284" s="209" t="s">
        <v>2166</v>
      </c>
      <c r="F1284" s="54" t="s">
        <v>2167</v>
      </c>
      <c r="G1284" s="54" t="s">
        <v>168</v>
      </c>
      <c r="H1284" s="54" t="s">
        <v>168</v>
      </c>
      <c r="I1284" s="54"/>
      <c r="J1284" s="54" t="s">
        <v>9</v>
      </c>
      <c r="K1284" s="54" t="s">
        <v>9</v>
      </c>
      <c r="L1284" s="202">
        <f>IF(COUNT(L1285:N1287)=0,"",SUM(L1285:L1287))</f>
        <v>0</v>
      </c>
      <c r="M1284" s="174">
        <f t="shared" si="756"/>
        <v>0</v>
      </c>
      <c r="N1284" s="202">
        <f>IF(COUNT(L1285:N1287)=0,"",SUM(N1285:N1287))</f>
        <v>0</v>
      </c>
      <c r="O1284" s="202">
        <f>IF(COUNT(O1285:O1287)=0,"",SUM(O1285:O1287))</f>
        <v>0</v>
      </c>
      <c r="P1284" s="210"/>
      <c r="Q1284" s="202">
        <f>IF(COUNT(Q1285:Q1287)=0,"",SUM(Q1285:Q1287))</f>
        <v>0</v>
      </c>
      <c r="R1284" s="163"/>
      <c r="S1284" s="163"/>
      <c r="T1284" s="54" t="s">
        <v>65</v>
      </c>
      <c r="U1284" s="179"/>
      <c r="V1284" s="179"/>
      <c r="W1284" s="179"/>
      <c r="X1284" s="105"/>
      <c r="Y1284" s="105"/>
      <c r="Z1284" s="105"/>
      <c r="AA1284" s="105"/>
      <c r="AB1284" s="105"/>
      <c r="AC1284" s="105"/>
    </row>
    <row r="1285" ht="33.75" customHeight="1">
      <c r="A1285" s="65" t="s">
        <v>2168</v>
      </c>
      <c r="B1285" s="215" t="s">
        <v>2009</v>
      </c>
      <c r="C1285" s="215" t="s">
        <v>2156</v>
      </c>
      <c r="D1285" s="215" t="s">
        <v>2165</v>
      </c>
      <c r="E1285" s="215" t="s">
        <v>2166</v>
      </c>
      <c r="F1285" s="65" t="s">
        <v>2167</v>
      </c>
      <c r="G1285" s="65" t="s">
        <v>168</v>
      </c>
      <c r="H1285" s="65" t="s">
        <v>168</v>
      </c>
      <c r="I1285" s="65"/>
      <c r="J1285" s="65" t="s">
        <v>9</v>
      </c>
      <c r="K1285" s="65" t="s">
        <v>9</v>
      </c>
      <c r="L1285" s="128">
        <v>0.0</v>
      </c>
      <c r="M1285" s="180">
        <f t="shared" si="756"/>
        <v>0</v>
      </c>
      <c r="N1285" s="128">
        <v>0.0</v>
      </c>
      <c r="O1285" s="129">
        <f t="shared" ref="O1285:O1287" si="811">IF(COUNT(L1285:N1285)=0,"",(L1285+4*M1285+N1285)/6)</f>
        <v>0</v>
      </c>
      <c r="P1285" s="159"/>
      <c r="Q1285" s="208">
        <f t="shared" ref="Q1285:Q1287" si="812">IF(O1285="","",IF(P1285="",O1285,O1285*(1+P1285)))</f>
        <v>0</v>
      </c>
      <c r="R1285" s="132"/>
      <c r="S1285" s="132"/>
      <c r="T1285" s="65" t="s">
        <v>31</v>
      </c>
      <c r="U1285" s="178"/>
      <c r="V1285" s="178"/>
      <c r="W1285" s="178"/>
      <c r="X1285" s="178"/>
      <c r="Y1285" s="178"/>
      <c r="Z1285" s="178"/>
      <c r="AA1285" s="178"/>
      <c r="AB1285" s="178"/>
      <c r="AC1285" s="178"/>
    </row>
    <row r="1286" ht="33.75" customHeight="1">
      <c r="A1286" s="65" t="s">
        <v>2169</v>
      </c>
      <c r="B1286" s="215" t="s">
        <v>2009</v>
      </c>
      <c r="C1286" s="215" t="s">
        <v>2156</v>
      </c>
      <c r="D1286" s="215" t="s">
        <v>2165</v>
      </c>
      <c r="E1286" s="215" t="s">
        <v>2166</v>
      </c>
      <c r="F1286" s="65" t="s">
        <v>2167</v>
      </c>
      <c r="G1286" s="65" t="s">
        <v>168</v>
      </c>
      <c r="H1286" s="65" t="s">
        <v>168</v>
      </c>
      <c r="I1286" s="65"/>
      <c r="J1286" s="65" t="s">
        <v>9</v>
      </c>
      <c r="K1286" s="65" t="s">
        <v>9</v>
      </c>
      <c r="L1286" s="128">
        <v>0.0</v>
      </c>
      <c r="M1286" s="180">
        <f t="shared" si="756"/>
        <v>0</v>
      </c>
      <c r="N1286" s="128">
        <v>0.0</v>
      </c>
      <c r="O1286" s="129">
        <f t="shared" si="811"/>
        <v>0</v>
      </c>
      <c r="P1286" s="159"/>
      <c r="Q1286" s="208">
        <f t="shared" si="812"/>
        <v>0</v>
      </c>
      <c r="R1286" s="132"/>
      <c r="S1286" s="132"/>
      <c r="T1286" s="65" t="s">
        <v>32</v>
      </c>
      <c r="U1286" s="178"/>
      <c r="V1286" s="178"/>
      <c r="W1286" s="178"/>
      <c r="X1286" s="178"/>
      <c r="Y1286" s="178"/>
      <c r="Z1286" s="178"/>
      <c r="AA1286" s="178"/>
      <c r="AB1286" s="178"/>
      <c r="AC1286" s="178"/>
    </row>
    <row r="1287" ht="33.75" customHeight="1">
      <c r="A1287" s="65" t="s">
        <v>2170</v>
      </c>
      <c r="B1287" s="215" t="s">
        <v>2009</v>
      </c>
      <c r="C1287" s="215" t="s">
        <v>2156</v>
      </c>
      <c r="D1287" s="215" t="s">
        <v>2165</v>
      </c>
      <c r="E1287" s="215" t="s">
        <v>2166</v>
      </c>
      <c r="F1287" s="65" t="s">
        <v>2167</v>
      </c>
      <c r="G1287" s="65" t="s">
        <v>168</v>
      </c>
      <c r="H1287" s="65" t="s">
        <v>168</v>
      </c>
      <c r="I1287" s="65"/>
      <c r="J1287" s="65" t="s">
        <v>9</v>
      </c>
      <c r="K1287" s="65" t="s">
        <v>9</v>
      </c>
      <c r="L1287" s="128">
        <v>0.0</v>
      </c>
      <c r="M1287" s="180">
        <f t="shared" si="756"/>
        <v>0</v>
      </c>
      <c r="N1287" s="128">
        <v>0.0</v>
      </c>
      <c r="O1287" s="129">
        <f t="shared" si="811"/>
        <v>0</v>
      </c>
      <c r="P1287" s="159"/>
      <c r="Q1287" s="208">
        <f t="shared" si="812"/>
        <v>0</v>
      </c>
      <c r="R1287" s="132"/>
      <c r="S1287" s="132"/>
      <c r="T1287" s="65" t="s">
        <v>70</v>
      </c>
      <c r="U1287" s="178"/>
      <c r="V1287" s="178"/>
      <c r="W1287" s="178"/>
      <c r="X1287" s="178"/>
      <c r="Y1287" s="178"/>
      <c r="Z1287" s="178"/>
      <c r="AA1287" s="178"/>
      <c r="AB1287" s="178"/>
      <c r="AC1287" s="178"/>
    </row>
    <row r="1288" ht="33.75" customHeight="1">
      <c r="A1288" s="54" t="s">
        <v>2171</v>
      </c>
      <c r="B1288" s="209" t="s">
        <v>2009</v>
      </c>
      <c r="C1288" s="209" t="s">
        <v>2156</v>
      </c>
      <c r="D1288" s="209" t="s">
        <v>2172</v>
      </c>
      <c r="E1288" s="209" t="s">
        <v>2173</v>
      </c>
      <c r="F1288" s="54" t="s">
        <v>2174</v>
      </c>
      <c r="G1288" s="54" t="s">
        <v>168</v>
      </c>
      <c r="H1288" s="54" t="s">
        <v>168</v>
      </c>
      <c r="I1288" s="54"/>
      <c r="J1288" s="54" t="s">
        <v>9</v>
      </c>
      <c r="K1288" s="54" t="s">
        <v>9</v>
      </c>
      <c r="L1288" s="202">
        <f>IF(COUNT(L1289:N1291)=0,"",SUM(L1289:L1291))</f>
        <v>0</v>
      </c>
      <c r="M1288" s="174">
        <f t="shared" si="756"/>
        <v>0</v>
      </c>
      <c r="N1288" s="202">
        <f>IF(COUNT(L1289:N1291)=0,"",SUM(N1289:N1291))</f>
        <v>0</v>
      </c>
      <c r="O1288" s="202">
        <f>IF(COUNT(O1289:O1291)=0,"",SUM(O1289:O1291))</f>
        <v>0</v>
      </c>
      <c r="P1288" s="210"/>
      <c r="Q1288" s="202">
        <f>IF(COUNT(Q1289:Q1291)=0,"",SUM(Q1289:Q1291))</f>
        <v>0</v>
      </c>
      <c r="R1288" s="163"/>
      <c r="S1288" s="163"/>
      <c r="T1288" s="54" t="s">
        <v>65</v>
      </c>
      <c r="U1288" s="179"/>
      <c r="V1288" s="179"/>
      <c r="W1288" s="179"/>
      <c r="X1288" s="105"/>
      <c r="Y1288" s="105"/>
      <c r="Z1288" s="105"/>
      <c r="AA1288" s="105"/>
      <c r="AB1288" s="105"/>
      <c r="AC1288" s="105"/>
    </row>
    <row r="1289" ht="33.75" customHeight="1">
      <c r="A1289" s="65" t="s">
        <v>2175</v>
      </c>
      <c r="B1289" s="215" t="s">
        <v>2009</v>
      </c>
      <c r="C1289" s="215" t="s">
        <v>2156</v>
      </c>
      <c r="D1289" s="215" t="s">
        <v>2172</v>
      </c>
      <c r="E1289" s="215" t="s">
        <v>2173</v>
      </c>
      <c r="F1289" s="65" t="s">
        <v>2174</v>
      </c>
      <c r="G1289" s="65" t="s">
        <v>168</v>
      </c>
      <c r="H1289" s="65" t="s">
        <v>168</v>
      </c>
      <c r="I1289" s="65"/>
      <c r="J1289" s="65" t="s">
        <v>9</v>
      </c>
      <c r="K1289" s="65" t="s">
        <v>9</v>
      </c>
      <c r="L1289" s="128">
        <v>0.0</v>
      </c>
      <c r="M1289" s="180">
        <f t="shared" si="756"/>
        <v>0</v>
      </c>
      <c r="N1289" s="128">
        <v>0.0</v>
      </c>
      <c r="O1289" s="129">
        <f t="shared" ref="O1289:O1291" si="813">IF(COUNT(L1289:N1289)=0,"",(L1289+4*M1289+N1289)/6)</f>
        <v>0</v>
      </c>
      <c r="P1289" s="159"/>
      <c r="Q1289" s="208">
        <f t="shared" ref="Q1289:Q1291" si="814">IF(O1289="","",IF(P1289="",O1289,O1289*(1+P1289)))</f>
        <v>0</v>
      </c>
      <c r="R1289" s="132"/>
      <c r="S1289" s="132"/>
      <c r="T1289" s="65" t="s">
        <v>31</v>
      </c>
      <c r="U1289" s="178"/>
      <c r="V1289" s="178"/>
      <c r="W1289" s="178"/>
      <c r="X1289" s="178"/>
      <c r="Y1289" s="178"/>
      <c r="Z1289" s="178"/>
      <c r="AA1289" s="178"/>
      <c r="AB1289" s="178"/>
      <c r="AC1289" s="178"/>
    </row>
    <row r="1290" ht="33.75" customHeight="1">
      <c r="A1290" s="65" t="s">
        <v>2176</v>
      </c>
      <c r="B1290" s="215" t="s">
        <v>2009</v>
      </c>
      <c r="C1290" s="215" t="s">
        <v>2156</v>
      </c>
      <c r="D1290" s="215" t="s">
        <v>2172</v>
      </c>
      <c r="E1290" s="215" t="s">
        <v>2173</v>
      </c>
      <c r="F1290" s="65" t="s">
        <v>2174</v>
      </c>
      <c r="G1290" s="65" t="s">
        <v>168</v>
      </c>
      <c r="H1290" s="65" t="s">
        <v>168</v>
      </c>
      <c r="I1290" s="65"/>
      <c r="J1290" s="65" t="s">
        <v>9</v>
      </c>
      <c r="K1290" s="65" t="s">
        <v>9</v>
      </c>
      <c r="L1290" s="128">
        <v>0.0</v>
      </c>
      <c r="M1290" s="180">
        <f t="shared" si="756"/>
        <v>0</v>
      </c>
      <c r="N1290" s="128">
        <v>0.0</v>
      </c>
      <c r="O1290" s="129">
        <f t="shared" si="813"/>
        <v>0</v>
      </c>
      <c r="P1290" s="159"/>
      <c r="Q1290" s="208">
        <f t="shared" si="814"/>
        <v>0</v>
      </c>
      <c r="R1290" s="132"/>
      <c r="S1290" s="132"/>
      <c r="T1290" s="65" t="s">
        <v>32</v>
      </c>
      <c r="U1290" s="178"/>
      <c r="V1290" s="178"/>
      <c r="W1290" s="178"/>
      <c r="X1290" s="178"/>
      <c r="Y1290" s="178"/>
      <c r="Z1290" s="178"/>
      <c r="AA1290" s="178"/>
      <c r="AB1290" s="178"/>
      <c r="AC1290" s="178"/>
    </row>
    <row r="1291" ht="33.75" customHeight="1">
      <c r="A1291" s="65" t="s">
        <v>2177</v>
      </c>
      <c r="B1291" s="215" t="s">
        <v>2009</v>
      </c>
      <c r="C1291" s="215" t="s">
        <v>2156</v>
      </c>
      <c r="D1291" s="215" t="s">
        <v>2172</v>
      </c>
      <c r="E1291" s="215" t="s">
        <v>2173</v>
      </c>
      <c r="F1291" s="65" t="s">
        <v>2174</v>
      </c>
      <c r="G1291" s="65" t="s">
        <v>168</v>
      </c>
      <c r="H1291" s="65" t="s">
        <v>168</v>
      </c>
      <c r="I1291" s="65"/>
      <c r="J1291" s="65" t="s">
        <v>9</v>
      </c>
      <c r="K1291" s="65" t="s">
        <v>9</v>
      </c>
      <c r="L1291" s="128">
        <v>0.0</v>
      </c>
      <c r="M1291" s="180">
        <f t="shared" si="756"/>
        <v>0</v>
      </c>
      <c r="N1291" s="128">
        <v>0.0</v>
      </c>
      <c r="O1291" s="129">
        <f t="shared" si="813"/>
        <v>0</v>
      </c>
      <c r="P1291" s="159"/>
      <c r="Q1291" s="208">
        <f t="shared" si="814"/>
        <v>0</v>
      </c>
      <c r="R1291" s="132"/>
      <c r="S1291" s="132"/>
      <c r="T1291" s="65" t="s">
        <v>70</v>
      </c>
      <c r="U1291" s="178"/>
      <c r="V1291" s="178"/>
      <c r="W1291" s="178"/>
      <c r="X1291" s="178"/>
      <c r="Y1291" s="178"/>
      <c r="Z1291" s="178"/>
      <c r="AA1291" s="178"/>
      <c r="AB1291" s="178"/>
      <c r="AC1291" s="178"/>
    </row>
    <row r="1292" ht="33.75" customHeight="1">
      <c r="A1292" s="54" t="s">
        <v>2178</v>
      </c>
      <c r="B1292" s="209" t="s">
        <v>2009</v>
      </c>
      <c r="C1292" s="209" t="s">
        <v>2156</v>
      </c>
      <c r="D1292" s="209" t="s">
        <v>2179</v>
      </c>
      <c r="E1292" s="209" t="s">
        <v>2180</v>
      </c>
      <c r="F1292" s="54" t="s">
        <v>2171</v>
      </c>
      <c r="G1292" s="54" t="s">
        <v>200</v>
      </c>
      <c r="H1292" s="54" t="s">
        <v>200</v>
      </c>
      <c r="I1292" s="54"/>
      <c r="J1292" s="54" t="s">
        <v>9</v>
      </c>
      <c r="K1292" s="54" t="s">
        <v>9</v>
      </c>
      <c r="L1292" s="202">
        <f>IF(COUNT(L1293:N1295)=0,"",SUM(L1293:L1295))</f>
        <v>4</v>
      </c>
      <c r="M1292" s="174">
        <f t="shared" si="756"/>
        <v>5.5</v>
      </c>
      <c r="N1292" s="202">
        <f>IF(COUNT(L1293:N1295)=0,"",SUM(N1293:N1295))</f>
        <v>7</v>
      </c>
      <c r="O1292" s="202">
        <f>IF(COUNT(O1293:O1295)=0,"",SUM(O1293:O1295))</f>
        <v>5.5</v>
      </c>
      <c r="P1292" s="210"/>
      <c r="Q1292" s="202">
        <f>IF(COUNT(Q1293:Q1295)=0,"",SUM(Q1293:Q1295))</f>
        <v>5.5</v>
      </c>
      <c r="R1292" s="163"/>
      <c r="S1292" s="163"/>
      <c r="T1292" s="54" t="s">
        <v>65</v>
      </c>
      <c r="U1292" s="179"/>
      <c r="V1292" s="179"/>
      <c r="W1292" s="179"/>
      <c r="X1292" s="105"/>
      <c r="Y1292" s="105"/>
      <c r="Z1292" s="105"/>
      <c r="AA1292" s="105"/>
      <c r="AB1292" s="105"/>
      <c r="AC1292" s="105"/>
    </row>
    <row r="1293" ht="33.75" customHeight="1">
      <c r="A1293" s="65" t="s">
        <v>2181</v>
      </c>
      <c r="B1293" s="215" t="s">
        <v>2009</v>
      </c>
      <c r="C1293" s="215" t="s">
        <v>2156</v>
      </c>
      <c r="D1293" s="215" t="s">
        <v>2179</v>
      </c>
      <c r="E1293" s="215" t="s">
        <v>2180</v>
      </c>
      <c r="F1293" s="65" t="s">
        <v>2171</v>
      </c>
      <c r="G1293" s="65" t="s">
        <v>200</v>
      </c>
      <c r="H1293" s="65" t="s">
        <v>200</v>
      </c>
      <c r="I1293" s="65"/>
      <c r="J1293" s="65" t="s">
        <v>9</v>
      </c>
      <c r="K1293" s="65" t="s">
        <v>9</v>
      </c>
      <c r="L1293" s="128">
        <v>0.0</v>
      </c>
      <c r="M1293" s="180">
        <f t="shared" si="756"/>
        <v>0</v>
      </c>
      <c r="N1293" s="128">
        <v>0.0</v>
      </c>
      <c r="O1293" s="129">
        <f t="shared" ref="O1293:O1295" si="815">IF(COUNT(L1293:N1293)=0,"",(L1293+4*M1293+N1293)/6)</f>
        <v>0</v>
      </c>
      <c r="P1293" s="159"/>
      <c r="Q1293" s="208">
        <f t="shared" ref="Q1293:Q1295" si="816">IF(O1293="","",IF(P1293="",O1293,O1293*(1+P1293)))</f>
        <v>0</v>
      </c>
      <c r="R1293" s="132"/>
      <c r="S1293" s="132"/>
      <c r="T1293" s="65" t="s">
        <v>31</v>
      </c>
      <c r="U1293" s="26"/>
      <c r="V1293" s="26"/>
      <c r="W1293" s="26"/>
      <c r="X1293" s="26"/>
      <c r="Y1293" s="26"/>
      <c r="Z1293" s="26"/>
      <c r="AA1293" s="26"/>
      <c r="AB1293" s="26"/>
      <c r="AC1293" s="26"/>
    </row>
    <row r="1294" ht="33.75" customHeight="1">
      <c r="A1294" s="65" t="s">
        <v>2182</v>
      </c>
      <c r="B1294" s="215" t="s">
        <v>2009</v>
      </c>
      <c r="C1294" s="215" t="s">
        <v>2156</v>
      </c>
      <c r="D1294" s="215" t="s">
        <v>2179</v>
      </c>
      <c r="E1294" s="215" t="s">
        <v>2180</v>
      </c>
      <c r="F1294" s="65" t="s">
        <v>2171</v>
      </c>
      <c r="G1294" s="65" t="s">
        <v>200</v>
      </c>
      <c r="H1294" s="65" t="s">
        <v>200</v>
      </c>
      <c r="I1294" s="65"/>
      <c r="J1294" s="65" t="s">
        <v>9</v>
      </c>
      <c r="K1294" s="65" t="s">
        <v>9</v>
      </c>
      <c r="L1294" s="128">
        <v>3.0</v>
      </c>
      <c r="M1294" s="180">
        <f t="shared" si="756"/>
        <v>4</v>
      </c>
      <c r="N1294" s="128">
        <v>5.0</v>
      </c>
      <c r="O1294" s="129">
        <f t="shared" si="815"/>
        <v>4</v>
      </c>
      <c r="P1294" s="159"/>
      <c r="Q1294" s="208">
        <f t="shared" si="816"/>
        <v>4</v>
      </c>
      <c r="R1294" s="132"/>
      <c r="S1294" s="132"/>
      <c r="T1294" s="65" t="s">
        <v>32</v>
      </c>
      <c r="U1294" s="26"/>
      <c r="V1294" s="26"/>
      <c r="W1294" s="26"/>
      <c r="X1294" s="26"/>
      <c r="Y1294" s="26"/>
      <c r="Z1294" s="26"/>
      <c r="AA1294" s="26"/>
      <c r="AB1294" s="26"/>
      <c r="AC1294" s="26"/>
    </row>
    <row r="1295" ht="34.5" customHeight="1">
      <c r="A1295" s="65" t="s">
        <v>2183</v>
      </c>
      <c r="B1295" s="215" t="s">
        <v>2009</v>
      </c>
      <c r="C1295" s="215" t="s">
        <v>2156</v>
      </c>
      <c r="D1295" s="215" t="s">
        <v>2179</v>
      </c>
      <c r="E1295" s="215" t="s">
        <v>2180</v>
      </c>
      <c r="F1295" s="65" t="s">
        <v>2171</v>
      </c>
      <c r="G1295" s="65" t="s">
        <v>200</v>
      </c>
      <c r="H1295" s="65" t="s">
        <v>200</v>
      </c>
      <c r="I1295" s="65"/>
      <c r="J1295" s="65" t="s">
        <v>9</v>
      </c>
      <c r="K1295" s="65" t="s">
        <v>9</v>
      </c>
      <c r="L1295" s="128">
        <v>1.0</v>
      </c>
      <c r="M1295" s="180">
        <f t="shared" si="756"/>
        <v>1.5</v>
      </c>
      <c r="N1295" s="128">
        <v>2.0</v>
      </c>
      <c r="O1295" s="129">
        <f t="shared" si="815"/>
        <v>1.5</v>
      </c>
      <c r="P1295" s="159"/>
      <c r="Q1295" s="208">
        <f t="shared" si="816"/>
        <v>1.5</v>
      </c>
      <c r="R1295" s="132"/>
      <c r="S1295" s="132"/>
      <c r="T1295" s="65" t="s">
        <v>70</v>
      </c>
      <c r="U1295" s="26"/>
      <c r="V1295" s="26"/>
      <c r="W1295" s="26"/>
      <c r="X1295" s="26"/>
      <c r="Y1295" s="26"/>
      <c r="Z1295" s="26"/>
      <c r="AA1295" s="26"/>
      <c r="AB1295" s="26"/>
      <c r="AC1295" s="26"/>
    </row>
    <row r="1296" ht="33.75" customHeight="1">
      <c r="A1296" s="45" t="s">
        <v>2184</v>
      </c>
      <c r="B1296" s="212" t="s">
        <v>2009</v>
      </c>
      <c r="C1296" s="212" t="s">
        <v>2185</v>
      </c>
      <c r="D1296" s="212" t="s">
        <v>2185</v>
      </c>
      <c r="E1296" s="212" t="s">
        <v>2186</v>
      </c>
      <c r="F1296" s="45"/>
      <c r="G1296" s="45"/>
      <c r="H1296" s="45"/>
      <c r="I1296" s="45"/>
      <c r="J1296" s="45"/>
      <c r="K1296" s="123"/>
      <c r="L1296" s="213">
        <f>IF(COUNT(L1297,L1301,L1305,L1309,L1313,L1317)=0,"",SUM(L1297,L1301,L1305,L1309,L1313,L1317))</f>
        <v>10.25</v>
      </c>
      <c r="M1296" s="213">
        <f t="shared" si="756"/>
        <v>15.625</v>
      </c>
      <c r="N1296" s="213">
        <f t="shared" ref="N1296:O1296" si="817">IF(COUNT(N1297,N1301,N1305,N1309,N1313,N1317)=0,"",SUM(N1297,N1301,N1305,N1309,N1313,N1317))</f>
        <v>21</v>
      </c>
      <c r="O1296" s="213">
        <f t="shared" si="817"/>
        <v>15.625</v>
      </c>
      <c r="P1296" s="214"/>
      <c r="Q1296" s="213">
        <f>IF(COUNT(Q1297,Q1301,Q1305,Q1309,Q1313,Q1317)=0,"",SUM(Q1297,Q1301,Q1305,Q1309,Q1313,Q1317))</f>
        <v>15.625</v>
      </c>
      <c r="R1296" s="126"/>
      <c r="S1296" s="126"/>
      <c r="T1296" s="45" t="s">
        <v>62</v>
      </c>
      <c r="U1296" s="26"/>
      <c r="V1296" s="26"/>
      <c r="W1296" s="26"/>
      <c r="X1296" s="46">
        <f t="shared" ref="X1296:AA1296" si="818">L1296</f>
        <v>10.25</v>
      </c>
      <c r="Y1296" s="46">
        <f t="shared" si="818"/>
        <v>15.625</v>
      </c>
      <c r="Z1296" s="46">
        <f t="shared" si="818"/>
        <v>21</v>
      </c>
      <c r="AA1296" s="46">
        <f t="shared" si="818"/>
        <v>15.625</v>
      </c>
      <c r="AB1296" s="26"/>
      <c r="AC1296" s="46">
        <f>Q1296</f>
        <v>15.625</v>
      </c>
    </row>
    <row r="1297" ht="33.75" customHeight="1">
      <c r="A1297" s="54" t="s">
        <v>2187</v>
      </c>
      <c r="B1297" s="209" t="s">
        <v>2009</v>
      </c>
      <c r="C1297" s="209" t="s">
        <v>2185</v>
      </c>
      <c r="D1297" s="209" t="s">
        <v>2188</v>
      </c>
      <c r="E1297" s="209" t="s">
        <v>2189</v>
      </c>
      <c r="F1297" s="54"/>
      <c r="G1297" s="54" t="s">
        <v>168</v>
      </c>
      <c r="H1297" s="54" t="s">
        <v>168</v>
      </c>
      <c r="I1297" s="54"/>
      <c r="J1297" s="54" t="s">
        <v>9</v>
      </c>
      <c r="K1297" s="119" t="s">
        <v>9</v>
      </c>
      <c r="L1297" s="202">
        <f>IF(COUNT(L1298:N1300)=0,"",SUM(L1298:L1300))</f>
        <v>2.25</v>
      </c>
      <c r="M1297" s="174">
        <f t="shared" si="756"/>
        <v>3.375</v>
      </c>
      <c r="N1297" s="202">
        <f>IF(COUNT(L1298:N1300)=0,"",SUM(N1298:N1300))</f>
        <v>4.5</v>
      </c>
      <c r="O1297" s="202">
        <f>IF(COUNT(O1298:O1300)=0,"",SUM(O1298:O1300))</f>
        <v>3.375</v>
      </c>
      <c r="P1297" s="210"/>
      <c r="Q1297" s="202">
        <f>IF(COUNT(Q1298:Q1300)=0,"",SUM(Q1298:Q1300))</f>
        <v>3.375</v>
      </c>
      <c r="R1297" s="163"/>
      <c r="S1297" s="163"/>
      <c r="T1297" s="54" t="s">
        <v>65</v>
      </c>
      <c r="U1297" s="179"/>
      <c r="V1297" s="179"/>
      <c r="W1297" s="179"/>
      <c r="X1297" s="105"/>
      <c r="Y1297" s="105"/>
      <c r="Z1297" s="105"/>
      <c r="AA1297" s="105"/>
      <c r="AB1297" s="179"/>
      <c r="AC1297" s="105"/>
    </row>
    <row r="1298" ht="33.75" customHeight="1">
      <c r="A1298" s="65" t="s">
        <v>2190</v>
      </c>
      <c r="B1298" s="215" t="s">
        <v>2009</v>
      </c>
      <c r="C1298" s="215" t="s">
        <v>2185</v>
      </c>
      <c r="D1298" s="215" t="s">
        <v>2188</v>
      </c>
      <c r="E1298" s="215" t="s">
        <v>2189</v>
      </c>
      <c r="F1298" s="65"/>
      <c r="G1298" s="65" t="s">
        <v>168</v>
      </c>
      <c r="H1298" s="65" t="s">
        <v>168</v>
      </c>
      <c r="I1298" s="65"/>
      <c r="J1298" s="65" t="s">
        <v>9</v>
      </c>
      <c r="K1298" s="65" t="s">
        <v>9</v>
      </c>
      <c r="L1298" s="128">
        <v>0.0</v>
      </c>
      <c r="M1298" s="180">
        <f t="shared" si="756"/>
        <v>0</v>
      </c>
      <c r="N1298" s="128">
        <v>0.0</v>
      </c>
      <c r="O1298" s="129">
        <f t="shared" ref="O1298:O1300" si="819">IF(COUNT(L1298:N1298)=0,"",(L1298+4*M1298+N1298)/6)</f>
        <v>0</v>
      </c>
      <c r="P1298" s="159"/>
      <c r="Q1298" s="208">
        <f t="shared" ref="Q1298:Q1300" si="820">IF(O1298="","",IF(P1298="",O1298,O1298*(1+P1298)))</f>
        <v>0</v>
      </c>
      <c r="R1298" s="132"/>
      <c r="S1298" s="132"/>
      <c r="T1298" s="65" t="s">
        <v>31</v>
      </c>
      <c r="U1298" s="178"/>
      <c r="V1298" s="178"/>
      <c r="W1298" s="178"/>
      <c r="X1298" s="178"/>
      <c r="Y1298" s="178"/>
      <c r="Z1298" s="178"/>
      <c r="AA1298" s="178"/>
      <c r="AB1298" s="178"/>
      <c r="AC1298" s="178"/>
    </row>
    <row r="1299" ht="33.75" customHeight="1">
      <c r="A1299" s="65" t="s">
        <v>2191</v>
      </c>
      <c r="B1299" s="215" t="s">
        <v>2009</v>
      </c>
      <c r="C1299" s="215" t="s">
        <v>2185</v>
      </c>
      <c r="D1299" s="215" t="s">
        <v>2188</v>
      </c>
      <c r="E1299" s="215" t="s">
        <v>2189</v>
      </c>
      <c r="F1299" s="65"/>
      <c r="G1299" s="65" t="s">
        <v>168</v>
      </c>
      <c r="H1299" s="65" t="s">
        <v>168</v>
      </c>
      <c r="I1299" s="65"/>
      <c r="J1299" s="65" t="s">
        <v>9</v>
      </c>
      <c r="K1299" s="65" t="s">
        <v>9</v>
      </c>
      <c r="L1299" s="128">
        <v>2.0</v>
      </c>
      <c r="M1299" s="180">
        <f t="shared" si="756"/>
        <v>3</v>
      </c>
      <c r="N1299" s="128">
        <v>4.0</v>
      </c>
      <c r="O1299" s="129">
        <f t="shared" si="819"/>
        <v>3</v>
      </c>
      <c r="P1299" s="159"/>
      <c r="Q1299" s="208">
        <f t="shared" si="820"/>
        <v>3</v>
      </c>
      <c r="R1299" s="132"/>
      <c r="S1299" s="132"/>
      <c r="T1299" s="65" t="s">
        <v>32</v>
      </c>
      <c r="U1299" s="178"/>
      <c r="V1299" s="178"/>
      <c r="W1299" s="178"/>
      <c r="X1299" s="178"/>
      <c r="Y1299" s="178"/>
      <c r="Z1299" s="178"/>
      <c r="AA1299" s="178"/>
      <c r="AB1299" s="178"/>
      <c r="AC1299" s="178"/>
    </row>
    <row r="1300" ht="33.75" customHeight="1">
      <c r="A1300" s="65" t="s">
        <v>2192</v>
      </c>
      <c r="B1300" s="215" t="s">
        <v>2009</v>
      </c>
      <c r="C1300" s="215" t="s">
        <v>2185</v>
      </c>
      <c r="D1300" s="215" t="s">
        <v>2188</v>
      </c>
      <c r="E1300" s="215" t="s">
        <v>2189</v>
      </c>
      <c r="F1300" s="65"/>
      <c r="G1300" s="65" t="s">
        <v>168</v>
      </c>
      <c r="H1300" s="65" t="s">
        <v>168</v>
      </c>
      <c r="I1300" s="65"/>
      <c r="J1300" s="65" t="s">
        <v>9</v>
      </c>
      <c r="K1300" s="65" t="s">
        <v>9</v>
      </c>
      <c r="L1300" s="128">
        <v>0.25</v>
      </c>
      <c r="M1300" s="180">
        <f t="shared" si="756"/>
        <v>0.375</v>
      </c>
      <c r="N1300" s="128">
        <v>0.5</v>
      </c>
      <c r="O1300" s="129">
        <f t="shared" si="819"/>
        <v>0.375</v>
      </c>
      <c r="P1300" s="159"/>
      <c r="Q1300" s="208">
        <f t="shared" si="820"/>
        <v>0.375</v>
      </c>
      <c r="R1300" s="132"/>
      <c r="S1300" s="132"/>
      <c r="T1300" s="65" t="s">
        <v>70</v>
      </c>
      <c r="U1300" s="178"/>
      <c r="V1300" s="178"/>
      <c r="W1300" s="178"/>
      <c r="X1300" s="178"/>
      <c r="Y1300" s="178"/>
      <c r="Z1300" s="178"/>
      <c r="AA1300" s="178"/>
      <c r="AB1300" s="178"/>
      <c r="AC1300" s="178"/>
    </row>
    <row r="1301" ht="33.75" customHeight="1">
      <c r="A1301" s="54" t="s">
        <v>2193</v>
      </c>
      <c r="B1301" s="209" t="s">
        <v>2009</v>
      </c>
      <c r="C1301" s="209" t="s">
        <v>2185</v>
      </c>
      <c r="D1301" s="209" t="s">
        <v>2194</v>
      </c>
      <c r="E1301" s="209" t="s">
        <v>2195</v>
      </c>
      <c r="F1301" s="54"/>
      <c r="G1301" s="54" t="s">
        <v>168</v>
      </c>
      <c r="H1301" s="54" t="s">
        <v>168</v>
      </c>
      <c r="I1301" s="54"/>
      <c r="J1301" s="54" t="s">
        <v>9</v>
      </c>
      <c r="K1301" s="54" t="s">
        <v>9</v>
      </c>
      <c r="L1301" s="202">
        <f>IF(COUNT(L1302:N1304)=0,"",SUM(L1302:L1304))</f>
        <v>1</v>
      </c>
      <c r="M1301" s="174">
        <f t="shared" si="756"/>
        <v>1.25</v>
      </c>
      <c r="N1301" s="202">
        <f>IF(COUNT(L1302:N1304)=0,"",SUM(N1302:N1304))</f>
        <v>1.5</v>
      </c>
      <c r="O1301" s="202">
        <f>IF(COUNT(O1302:O1304)=0,"",SUM(O1302:O1304))</f>
        <v>1.25</v>
      </c>
      <c r="P1301" s="210"/>
      <c r="Q1301" s="202">
        <f>IF(COUNT(Q1302:Q1304)=0,"",SUM(Q1302:Q1304))</f>
        <v>1.25</v>
      </c>
      <c r="R1301" s="163"/>
      <c r="S1301" s="163"/>
      <c r="T1301" s="54" t="s">
        <v>65</v>
      </c>
      <c r="U1301" s="179"/>
      <c r="V1301" s="179"/>
      <c r="W1301" s="179"/>
      <c r="X1301" s="105"/>
      <c r="Y1301" s="105"/>
      <c r="Z1301" s="105"/>
      <c r="AA1301" s="105"/>
      <c r="AB1301" s="105"/>
      <c r="AC1301" s="105"/>
    </row>
    <row r="1302" ht="33.75" customHeight="1">
      <c r="A1302" s="65" t="s">
        <v>2196</v>
      </c>
      <c r="B1302" s="215" t="s">
        <v>2009</v>
      </c>
      <c r="C1302" s="215" t="s">
        <v>2185</v>
      </c>
      <c r="D1302" s="215" t="s">
        <v>2194</v>
      </c>
      <c r="E1302" s="215" t="s">
        <v>2195</v>
      </c>
      <c r="F1302" s="65"/>
      <c r="G1302" s="65" t="s">
        <v>168</v>
      </c>
      <c r="H1302" s="65" t="s">
        <v>168</v>
      </c>
      <c r="I1302" s="65"/>
      <c r="J1302" s="65" t="s">
        <v>9</v>
      </c>
      <c r="K1302" s="65" t="s">
        <v>9</v>
      </c>
      <c r="L1302" s="128">
        <v>0.0</v>
      </c>
      <c r="M1302" s="180">
        <f t="shared" si="756"/>
        <v>0</v>
      </c>
      <c r="N1302" s="128">
        <v>0.0</v>
      </c>
      <c r="O1302" s="129">
        <f t="shared" ref="O1302:O1304" si="821">IF(COUNT(L1302:N1302)=0,"",(L1302+4*M1302+N1302)/6)</f>
        <v>0</v>
      </c>
      <c r="P1302" s="159"/>
      <c r="Q1302" s="208">
        <f t="shared" ref="Q1302:Q1304" si="822">IF(O1302="","",IF(P1302="",O1302,O1302*(1+P1302)))</f>
        <v>0</v>
      </c>
      <c r="R1302" s="132"/>
      <c r="S1302" s="132"/>
      <c r="T1302" s="65" t="s">
        <v>31</v>
      </c>
      <c r="U1302" s="178"/>
      <c r="V1302" s="178"/>
      <c r="W1302" s="178"/>
      <c r="X1302" s="178"/>
      <c r="Y1302" s="178"/>
      <c r="Z1302" s="178"/>
      <c r="AA1302" s="178"/>
      <c r="AB1302" s="178"/>
      <c r="AC1302" s="178"/>
    </row>
    <row r="1303" ht="33.75" customHeight="1">
      <c r="A1303" s="65" t="s">
        <v>2197</v>
      </c>
      <c r="B1303" s="215" t="s">
        <v>2009</v>
      </c>
      <c r="C1303" s="215" t="s">
        <v>2185</v>
      </c>
      <c r="D1303" s="215" t="s">
        <v>2194</v>
      </c>
      <c r="E1303" s="215" t="s">
        <v>2195</v>
      </c>
      <c r="F1303" s="65"/>
      <c r="G1303" s="65" t="s">
        <v>168</v>
      </c>
      <c r="H1303" s="65" t="s">
        <v>168</v>
      </c>
      <c r="I1303" s="65"/>
      <c r="J1303" s="65" t="s">
        <v>9</v>
      </c>
      <c r="K1303" s="65" t="s">
        <v>9</v>
      </c>
      <c r="L1303" s="128">
        <v>1.0</v>
      </c>
      <c r="M1303" s="180">
        <f t="shared" si="756"/>
        <v>1.25</v>
      </c>
      <c r="N1303" s="128">
        <v>1.5</v>
      </c>
      <c r="O1303" s="129">
        <f t="shared" si="821"/>
        <v>1.25</v>
      </c>
      <c r="P1303" s="159"/>
      <c r="Q1303" s="208">
        <f t="shared" si="822"/>
        <v>1.25</v>
      </c>
      <c r="R1303" s="132"/>
      <c r="S1303" s="132"/>
      <c r="T1303" s="65" t="s">
        <v>32</v>
      </c>
      <c r="U1303" s="178"/>
      <c r="V1303" s="178"/>
      <c r="W1303" s="178"/>
      <c r="X1303" s="178"/>
      <c r="Y1303" s="178"/>
      <c r="Z1303" s="178"/>
      <c r="AA1303" s="178"/>
      <c r="AB1303" s="178"/>
      <c r="AC1303" s="178"/>
    </row>
    <row r="1304" ht="33.75" customHeight="1">
      <c r="A1304" s="65" t="s">
        <v>2198</v>
      </c>
      <c r="B1304" s="215" t="s">
        <v>2009</v>
      </c>
      <c r="C1304" s="215" t="s">
        <v>2185</v>
      </c>
      <c r="D1304" s="215" t="s">
        <v>2194</v>
      </c>
      <c r="E1304" s="215" t="s">
        <v>2195</v>
      </c>
      <c r="F1304" s="65"/>
      <c r="G1304" s="65" t="s">
        <v>168</v>
      </c>
      <c r="H1304" s="65" t="s">
        <v>168</v>
      </c>
      <c r="I1304" s="65"/>
      <c r="J1304" s="65" t="s">
        <v>9</v>
      </c>
      <c r="K1304" s="65" t="s">
        <v>9</v>
      </c>
      <c r="L1304" s="128">
        <v>0.0</v>
      </c>
      <c r="M1304" s="180">
        <f t="shared" si="756"/>
        <v>0</v>
      </c>
      <c r="N1304" s="128">
        <v>0.0</v>
      </c>
      <c r="O1304" s="129">
        <f t="shared" si="821"/>
        <v>0</v>
      </c>
      <c r="P1304" s="159"/>
      <c r="Q1304" s="208">
        <f t="shared" si="822"/>
        <v>0</v>
      </c>
      <c r="R1304" s="132"/>
      <c r="S1304" s="132"/>
      <c r="T1304" s="65" t="s">
        <v>70</v>
      </c>
      <c r="U1304" s="178"/>
      <c r="V1304" s="178"/>
      <c r="W1304" s="178"/>
      <c r="X1304" s="178"/>
      <c r="Y1304" s="178"/>
      <c r="Z1304" s="178"/>
      <c r="AA1304" s="178"/>
      <c r="AB1304" s="178"/>
      <c r="AC1304" s="178"/>
    </row>
    <row r="1305" ht="33.75" customHeight="1">
      <c r="A1305" s="54" t="s">
        <v>2199</v>
      </c>
      <c r="B1305" s="209" t="s">
        <v>2009</v>
      </c>
      <c r="C1305" s="209" t="s">
        <v>2185</v>
      </c>
      <c r="D1305" s="209" t="s">
        <v>2200</v>
      </c>
      <c r="E1305" s="209" t="s">
        <v>2201</v>
      </c>
      <c r="F1305" s="54"/>
      <c r="G1305" s="54" t="s">
        <v>168</v>
      </c>
      <c r="H1305" s="54" t="s">
        <v>168</v>
      </c>
      <c r="I1305" s="54"/>
      <c r="J1305" s="54" t="s">
        <v>9</v>
      </c>
      <c r="K1305" s="54" t="s">
        <v>9</v>
      </c>
      <c r="L1305" s="202">
        <f>IF(COUNT(L1306:N1308)=0,"",SUM(L1306:L1308))</f>
        <v>2</v>
      </c>
      <c r="M1305" s="174">
        <f t="shared" si="756"/>
        <v>3</v>
      </c>
      <c r="N1305" s="202">
        <f>IF(COUNT(L1306:N1308)=0,"",SUM(N1306:N1308))</f>
        <v>4</v>
      </c>
      <c r="O1305" s="202">
        <f>IF(COUNT(O1306:O1308)=0,"",SUM(O1306:O1308))</f>
        <v>3</v>
      </c>
      <c r="P1305" s="210"/>
      <c r="Q1305" s="202">
        <f>IF(COUNT(Q1306:Q1308)=0,"",SUM(Q1306:Q1308))</f>
        <v>3</v>
      </c>
      <c r="R1305" s="163"/>
      <c r="S1305" s="163"/>
      <c r="T1305" s="54" t="s">
        <v>65</v>
      </c>
      <c r="U1305" s="179"/>
      <c r="V1305" s="179"/>
      <c r="W1305" s="179"/>
      <c r="X1305" s="105"/>
      <c r="Y1305" s="105"/>
      <c r="Z1305" s="105"/>
      <c r="AA1305" s="105"/>
      <c r="AB1305" s="105"/>
      <c r="AC1305" s="105"/>
    </row>
    <row r="1306" ht="33.75" customHeight="1">
      <c r="A1306" s="65" t="s">
        <v>2202</v>
      </c>
      <c r="B1306" s="215" t="s">
        <v>2009</v>
      </c>
      <c r="C1306" s="215" t="s">
        <v>2185</v>
      </c>
      <c r="D1306" s="215" t="s">
        <v>2200</v>
      </c>
      <c r="E1306" s="215" t="s">
        <v>2201</v>
      </c>
      <c r="F1306" s="65"/>
      <c r="G1306" s="65" t="s">
        <v>168</v>
      </c>
      <c r="H1306" s="65" t="s">
        <v>168</v>
      </c>
      <c r="I1306" s="65"/>
      <c r="J1306" s="65" t="s">
        <v>9</v>
      </c>
      <c r="K1306" s="65" t="s">
        <v>9</v>
      </c>
      <c r="L1306" s="128">
        <v>0.0</v>
      </c>
      <c r="M1306" s="180">
        <f t="shared" si="756"/>
        <v>0</v>
      </c>
      <c r="N1306" s="128">
        <v>0.0</v>
      </c>
      <c r="O1306" s="129">
        <f t="shared" ref="O1306:O1308" si="823">IF(COUNT(L1306:N1306)=0,"",(L1306+4*M1306+N1306)/6)</f>
        <v>0</v>
      </c>
      <c r="P1306" s="159"/>
      <c r="Q1306" s="208">
        <f t="shared" ref="Q1306:Q1308" si="824">IF(O1306="","",IF(P1306="",O1306,O1306*(1+P1306)))</f>
        <v>0</v>
      </c>
      <c r="R1306" s="132"/>
      <c r="S1306" s="132"/>
      <c r="T1306" s="65" t="s">
        <v>31</v>
      </c>
      <c r="U1306" s="178"/>
      <c r="V1306" s="178"/>
      <c r="W1306" s="178"/>
      <c r="X1306" s="178"/>
      <c r="Y1306" s="178"/>
      <c r="Z1306" s="178"/>
      <c r="AA1306" s="178"/>
      <c r="AB1306" s="178"/>
      <c r="AC1306" s="178"/>
    </row>
    <row r="1307" ht="33.75" customHeight="1">
      <c r="A1307" s="65" t="s">
        <v>2203</v>
      </c>
      <c r="B1307" s="215" t="s">
        <v>2009</v>
      </c>
      <c r="C1307" s="215" t="s">
        <v>2185</v>
      </c>
      <c r="D1307" s="215" t="s">
        <v>2200</v>
      </c>
      <c r="E1307" s="215" t="s">
        <v>2201</v>
      </c>
      <c r="F1307" s="65"/>
      <c r="G1307" s="65" t="s">
        <v>168</v>
      </c>
      <c r="H1307" s="65" t="s">
        <v>168</v>
      </c>
      <c r="I1307" s="65"/>
      <c r="J1307" s="65" t="s">
        <v>9</v>
      </c>
      <c r="K1307" s="65" t="s">
        <v>9</v>
      </c>
      <c r="L1307" s="128">
        <v>2.0</v>
      </c>
      <c r="M1307" s="180">
        <f t="shared" si="756"/>
        <v>3</v>
      </c>
      <c r="N1307" s="128">
        <v>4.0</v>
      </c>
      <c r="O1307" s="129">
        <f t="shared" si="823"/>
        <v>3</v>
      </c>
      <c r="P1307" s="159"/>
      <c r="Q1307" s="208">
        <f t="shared" si="824"/>
        <v>3</v>
      </c>
      <c r="R1307" s="132"/>
      <c r="S1307" s="132"/>
      <c r="T1307" s="65" t="s">
        <v>32</v>
      </c>
      <c r="U1307" s="178"/>
      <c r="V1307" s="178"/>
      <c r="W1307" s="178"/>
      <c r="X1307" s="178"/>
      <c r="Y1307" s="178"/>
      <c r="Z1307" s="178"/>
      <c r="AA1307" s="178"/>
      <c r="AB1307" s="178"/>
      <c r="AC1307" s="178"/>
    </row>
    <row r="1308" ht="33.75" customHeight="1">
      <c r="A1308" s="65" t="s">
        <v>2204</v>
      </c>
      <c r="B1308" s="215" t="s">
        <v>2009</v>
      </c>
      <c r="C1308" s="215" t="s">
        <v>2185</v>
      </c>
      <c r="D1308" s="215" t="s">
        <v>2200</v>
      </c>
      <c r="E1308" s="215" t="s">
        <v>2201</v>
      </c>
      <c r="F1308" s="65"/>
      <c r="G1308" s="65" t="s">
        <v>168</v>
      </c>
      <c r="H1308" s="65" t="s">
        <v>168</v>
      </c>
      <c r="I1308" s="65"/>
      <c r="J1308" s="65" t="s">
        <v>9</v>
      </c>
      <c r="K1308" s="65" t="s">
        <v>9</v>
      </c>
      <c r="L1308" s="128">
        <v>0.0</v>
      </c>
      <c r="M1308" s="180">
        <f t="shared" si="756"/>
        <v>0</v>
      </c>
      <c r="N1308" s="128">
        <v>0.0</v>
      </c>
      <c r="O1308" s="129">
        <f t="shared" si="823"/>
        <v>0</v>
      </c>
      <c r="P1308" s="159"/>
      <c r="Q1308" s="208">
        <f t="shared" si="824"/>
        <v>0</v>
      </c>
      <c r="R1308" s="132"/>
      <c r="S1308" s="132"/>
      <c r="T1308" s="65" t="s">
        <v>70</v>
      </c>
      <c r="U1308" s="178"/>
      <c r="V1308" s="178"/>
      <c r="W1308" s="178"/>
      <c r="X1308" s="178"/>
      <c r="Y1308" s="178"/>
      <c r="Z1308" s="178"/>
      <c r="AA1308" s="178"/>
      <c r="AB1308" s="178"/>
      <c r="AC1308" s="178"/>
    </row>
    <row r="1309" ht="33.75" customHeight="1">
      <c r="A1309" s="54" t="s">
        <v>2205</v>
      </c>
      <c r="B1309" s="209" t="s">
        <v>2009</v>
      </c>
      <c r="C1309" s="209" t="s">
        <v>2185</v>
      </c>
      <c r="D1309" s="209" t="s">
        <v>2206</v>
      </c>
      <c r="E1309" s="209" t="s">
        <v>2207</v>
      </c>
      <c r="F1309" s="54" t="s">
        <v>2187</v>
      </c>
      <c r="G1309" s="54" t="s">
        <v>168</v>
      </c>
      <c r="H1309" s="54" t="s">
        <v>168</v>
      </c>
      <c r="I1309" s="54"/>
      <c r="J1309" s="54" t="s">
        <v>9</v>
      </c>
      <c r="K1309" s="54" t="s">
        <v>9</v>
      </c>
      <c r="L1309" s="202">
        <f>IF(COUNT(L1310:N1312)=0,"",SUM(L1310:L1312))</f>
        <v>1</v>
      </c>
      <c r="M1309" s="174">
        <f t="shared" si="756"/>
        <v>2</v>
      </c>
      <c r="N1309" s="202">
        <f>IF(COUNT(L1310:N1312)=0,"",SUM(N1310:N1312))</f>
        <v>3</v>
      </c>
      <c r="O1309" s="202">
        <f>IF(COUNT(O1310:O1312)=0,"",SUM(O1310:O1312))</f>
        <v>2</v>
      </c>
      <c r="P1309" s="210"/>
      <c r="Q1309" s="202">
        <f>IF(COUNT(Q1310:Q1312)=0,"",SUM(Q1310:Q1312))</f>
        <v>2</v>
      </c>
      <c r="R1309" s="163"/>
      <c r="S1309" s="163"/>
      <c r="T1309" s="54" t="s">
        <v>65</v>
      </c>
      <c r="U1309" s="179"/>
      <c r="V1309" s="179"/>
      <c r="W1309" s="179"/>
      <c r="X1309" s="105"/>
      <c r="Y1309" s="105"/>
      <c r="Z1309" s="105"/>
      <c r="AA1309" s="105"/>
      <c r="AB1309" s="105"/>
      <c r="AC1309" s="105"/>
    </row>
    <row r="1310" ht="33.75" customHeight="1">
      <c r="A1310" s="65" t="s">
        <v>2208</v>
      </c>
      <c r="B1310" s="215" t="s">
        <v>2009</v>
      </c>
      <c r="C1310" s="215" t="s">
        <v>2185</v>
      </c>
      <c r="D1310" s="215" t="s">
        <v>2206</v>
      </c>
      <c r="E1310" s="215" t="s">
        <v>2207</v>
      </c>
      <c r="F1310" s="65" t="s">
        <v>2187</v>
      </c>
      <c r="G1310" s="65" t="s">
        <v>168</v>
      </c>
      <c r="H1310" s="65" t="s">
        <v>168</v>
      </c>
      <c r="I1310" s="65"/>
      <c r="J1310" s="65" t="s">
        <v>9</v>
      </c>
      <c r="K1310" s="65" t="s">
        <v>9</v>
      </c>
      <c r="L1310" s="128">
        <v>0.0</v>
      </c>
      <c r="M1310" s="180">
        <f t="shared" si="756"/>
        <v>0</v>
      </c>
      <c r="N1310" s="128">
        <v>0.0</v>
      </c>
      <c r="O1310" s="129">
        <f t="shared" ref="O1310:O1312" si="825">IF(COUNT(L1310:N1310)=0,"",(L1310+4*M1310+N1310)/6)</f>
        <v>0</v>
      </c>
      <c r="P1310" s="159"/>
      <c r="Q1310" s="208">
        <f t="shared" ref="Q1310:Q1312" si="826">IF(O1310="","",IF(P1310="",O1310,O1310*(1+P1310)))</f>
        <v>0</v>
      </c>
      <c r="R1310" s="132"/>
      <c r="S1310" s="132"/>
      <c r="T1310" s="65" t="s">
        <v>31</v>
      </c>
      <c r="U1310" s="178"/>
      <c r="V1310" s="178"/>
      <c r="W1310" s="178"/>
      <c r="X1310" s="178"/>
      <c r="Y1310" s="178"/>
      <c r="Z1310" s="178"/>
      <c r="AA1310" s="178"/>
      <c r="AB1310" s="178"/>
      <c r="AC1310" s="178"/>
    </row>
    <row r="1311" ht="33.75" customHeight="1">
      <c r="A1311" s="65" t="s">
        <v>2209</v>
      </c>
      <c r="B1311" s="215" t="s">
        <v>2009</v>
      </c>
      <c r="C1311" s="215" t="s">
        <v>2185</v>
      </c>
      <c r="D1311" s="215" t="s">
        <v>2206</v>
      </c>
      <c r="E1311" s="215" t="s">
        <v>2207</v>
      </c>
      <c r="F1311" s="65" t="s">
        <v>2187</v>
      </c>
      <c r="G1311" s="65" t="s">
        <v>168</v>
      </c>
      <c r="H1311" s="65" t="s">
        <v>168</v>
      </c>
      <c r="I1311" s="65"/>
      <c r="J1311" s="65" t="s">
        <v>9</v>
      </c>
      <c r="K1311" s="65" t="s">
        <v>9</v>
      </c>
      <c r="L1311" s="128">
        <v>1.0</v>
      </c>
      <c r="M1311" s="180">
        <f t="shared" si="756"/>
        <v>2</v>
      </c>
      <c r="N1311" s="128">
        <v>3.0</v>
      </c>
      <c r="O1311" s="129">
        <f t="shared" si="825"/>
        <v>2</v>
      </c>
      <c r="P1311" s="159"/>
      <c r="Q1311" s="208">
        <f t="shared" si="826"/>
        <v>2</v>
      </c>
      <c r="R1311" s="132"/>
      <c r="S1311" s="132"/>
      <c r="T1311" s="65" t="s">
        <v>32</v>
      </c>
      <c r="U1311" s="178"/>
      <c r="V1311" s="178"/>
      <c r="W1311" s="178"/>
      <c r="X1311" s="178"/>
      <c r="Y1311" s="178"/>
      <c r="Z1311" s="178"/>
      <c r="AA1311" s="178"/>
      <c r="AB1311" s="178"/>
      <c r="AC1311" s="178"/>
    </row>
    <row r="1312" ht="33.75" customHeight="1">
      <c r="A1312" s="65" t="s">
        <v>2210</v>
      </c>
      <c r="B1312" s="215" t="s">
        <v>2009</v>
      </c>
      <c r="C1312" s="215" t="s">
        <v>2185</v>
      </c>
      <c r="D1312" s="215" t="s">
        <v>2206</v>
      </c>
      <c r="E1312" s="215" t="s">
        <v>2207</v>
      </c>
      <c r="F1312" s="65" t="s">
        <v>2187</v>
      </c>
      <c r="G1312" s="65" t="s">
        <v>168</v>
      </c>
      <c r="H1312" s="65" t="s">
        <v>168</v>
      </c>
      <c r="I1312" s="65"/>
      <c r="J1312" s="65" t="s">
        <v>9</v>
      </c>
      <c r="K1312" s="65" t="s">
        <v>9</v>
      </c>
      <c r="L1312" s="128">
        <v>0.0</v>
      </c>
      <c r="M1312" s="180">
        <f t="shared" si="756"/>
        <v>0</v>
      </c>
      <c r="N1312" s="128">
        <v>0.0</v>
      </c>
      <c r="O1312" s="129">
        <f t="shared" si="825"/>
        <v>0</v>
      </c>
      <c r="P1312" s="159"/>
      <c r="Q1312" s="208">
        <f t="shared" si="826"/>
        <v>0</v>
      </c>
      <c r="R1312" s="132"/>
      <c r="S1312" s="132"/>
      <c r="T1312" s="65" t="s">
        <v>70</v>
      </c>
      <c r="U1312" s="178"/>
      <c r="V1312" s="178"/>
      <c r="W1312" s="178"/>
      <c r="X1312" s="178"/>
      <c r="Y1312" s="178"/>
      <c r="Z1312" s="178"/>
      <c r="AA1312" s="178"/>
      <c r="AB1312" s="178"/>
      <c r="AC1312" s="178"/>
    </row>
    <row r="1313" ht="33.75" customHeight="1">
      <c r="A1313" s="54" t="s">
        <v>2211</v>
      </c>
      <c r="B1313" s="209" t="s">
        <v>2009</v>
      </c>
      <c r="C1313" s="209" t="s">
        <v>2185</v>
      </c>
      <c r="D1313" s="209" t="s">
        <v>2212</v>
      </c>
      <c r="E1313" s="209" t="s">
        <v>2213</v>
      </c>
      <c r="F1313" s="54" t="s">
        <v>2214</v>
      </c>
      <c r="G1313" s="54" t="s">
        <v>168</v>
      </c>
      <c r="H1313" s="54" t="s">
        <v>168</v>
      </c>
      <c r="I1313" s="54"/>
      <c r="J1313" s="54" t="s">
        <v>9</v>
      </c>
      <c r="K1313" s="54" t="s">
        <v>9</v>
      </c>
      <c r="L1313" s="202">
        <f>IF(COUNT(L1314:N1316)=0,"",SUM(L1314:L1316))</f>
        <v>4</v>
      </c>
      <c r="M1313" s="174">
        <f t="shared" si="756"/>
        <v>6</v>
      </c>
      <c r="N1313" s="202">
        <f>IF(COUNT(L1314:N1316)=0,"",SUM(N1314:N1316))</f>
        <v>8</v>
      </c>
      <c r="O1313" s="202">
        <f>IF(COUNT(O1314:O1316)=0,"",SUM(O1314:O1316))</f>
        <v>6</v>
      </c>
      <c r="P1313" s="210"/>
      <c r="Q1313" s="202">
        <f>IF(COUNT(Q1314:Q1316)=0,"",SUM(Q1314:Q1316))</f>
        <v>6</v>
      </c>
      <c r="R1313" s="163"/>
      <c r="S1313" s="163"/>
      <c r="T1313" s="54" t="s">
        <v>65</v>
      </c>
      <c r="U1313" s="179"/>
      <c r="V1313" s="179"/>
      <c r="W1313" s="179"/>
      <c r="X1313" s="105"/>
      <c r="Y1313" s="105"/>
      <c r="Z1313" s="105"/>
      <c r="AA1313" s="105"/>
      <c r="AB1313" s="105"/>
      <c r="AC1313" s="105"/>
    </row>
    <row r="1314" ht="33.75" customHeight="1">
      <c r="A1314" s="65" t="s">
        <v>2215</v>
      </c>
      <c r="B1314" s="215" t="s">
        <v>2009</v>
      </c>
      <c r="C1314" s="215" t="s">
        <v>2185</v>
      </c>
      <c r="D1314" s="215" t="s">
        <v>2212</v>
      </c>
      <c r="E1314" s="215" t="s">
        <v>2213</v>
      </c>
      <c r="F1314" s="65" t="s">
        <v>2214</v>
      </c>
      <c r="G1314" s="65" t="s">
        <v>168</v>
      </c>
      <c r="H1314" s="65" t="s">
        <v>168</v>
      </c>
      <c r="I1314" s="65"/>
      <c r="J1314" s="65" t="s">
        <v>9</v>
      </c>
      <c r="K1314" s="65" t="s">
        <v>9</v>
      </c>
      <c r="L1314" s="128">
        <v>0.0</v>
      </c>
      <c r="M1314" s="180">
        <f t="shared" si="756"/>
        <v>0</v>
      </c>
      <c r="N1314" s="128">
        <v>0.0</v>
      </c>
      <c r="O1314" s="129">
        <f t="shared" ref="O1314:O1316" si="827">IF(COUNT(L1314:N1314)=0,"",(L1314+4*M1314+N1314)/6)</f>
        <v>0</v>
      </c>
      <c r="P1314" s="159"/>
      <c r="Q1314" s="208">
        <f t="shared" ref="Q1314:Q1316" si="828">IF(O1314="","",IF(P1314="",O1314,O1314*(1+P1314)))</f>
        <v>0</v>
      </c>
      <c r="R1314" s="132"/>
      <c r="S1314" s="132"/>
      <c r="T1314" s="65" t="s">
        <v>31</v>
      </c>
      <c r="U1314" s="178"/>
      <c r="V1314" s="178"/>
      <c r="W1314" s="178"/>
      <c r="X1314" s="178"/>
      <c r="Y1314" s="178"/>
      <c r="Z1314" s="178"/>
      <c r="AA1314" s="178"/>
      <c r="AB1314" s="178"/>
      <c r="AC1314" s="178"/>
    </row>
    <row r="1315" ht="33.75" customHeight="1">
      <c r="A1315" s="65" t="s">
        <v>2216</v>
      </c>
      <c r="B1315" s="215" t="s">
        <v>2009</v>
      </c>
      <c r="C1315" s="215" t="s">
        <v>2185</v>
      </c>
      <c r="D1315" s="215" t="s">
        <v>2212</v>
      </c>
      <c r="E1315" s="215" t="s">
        <v>2213</v>
      </c>
      <c r="F1315" s="65" t="s">
        <v>2214</v>
      </c>
      <c r="G1315" s="65" t="s">
        <v>168</v>
      </c>
      <c r="H1315" s="65" t="s">
        <v>168</v>
      </c>
      <c r="I1315" s="65"/>
      <c r="J1315" s="65" t="s">
        <v>9</v>
      </c>
      <c r="K1315" s="65" t="s">
        <v>9</v>
      </c>
      <c r="L1315" s="128">
        <v>2.0</v>
      </c>
      <c r="M1315" s="180">
        <f t="shared" si="756"/>
        <v>3</v>
      </c>
      <c r="N1315" s="128">
        <v>4.0</v>
      </c>
      <c r="O1315" s="129">
        <f t="shared" si="827"/>
        <v>3</v>
      </c>
      <c r="P1315" s="159"/>
      <c r="Q1315" s="208">
        <f t="shared" si="828"/>
        <v>3</v>
      </c>
      <c r="R1315" s="132"/>
      <c r="S1315" s="132"/>
      <c r="T1315" s="65" t="s">
        <v>32</v>
      </c>
      <c r="U1315" s="178"/>
      <c r="V1315" s="178"/>
      <c r="W1315" s="178"/>
      <c r="X1315" s="178"/>
      <c r="Y1315" s="178"/>
      <c r="Z1315" s="178"/>
      <c r="AA1315" s="178"/>
      <c r="AB1315" s="178"/>
      <c r="AC1315" s="178"/>
    </row>
    <row r="1316" ht="33.75" customHeight="1">
      <c r="A1316" s="65" t="s">
        <v>2217</v>
      </c>
      <c r="B1316" s="215" t="s">
        <v>2009</v>
      </c>
      <c r="C1316" s="215" t="s">
        <v>2185</v>
      </c>
      <c r="D1316" s="215" t="s">
        <v>2212</v>
      </c>
      <c r="E1316" s="215" t="s">
        <v>2213</v>
      </c>
      <c r="F1316" s="65" t="s">
        <v>2214</v>
      </c>
      <c r="G1316" s="65" t="s">
        <v>168</v>
      </c>
      <c r="H1316" s="65" t="s">
        <v>168</v>
      </c>
      <c r="I1316" s="65"/>
      <c r="J1316" s="65" t="s">
        <v>9</v>
      </c>
      <c r="K1316" s="65" t="s">
        <v>9</v>
      </c>
      <c r="L1316" s="128">
        <v>2.0</v>
      </c>
      <c r="M1316" s="180">
        <f t="shared" si="756"/>
        <v>3</v>
      </c>
      <c r="N1316" s="128">
        <v>4.0</v>
      </c>
      <c r="O1316" s="129">
        <f t="shared" si="827"/>
        <v>3</v>
      </c>
      <c r="P1316" s="159"/>
      <c r="Q1316" s="208">
        <f t="shared" si="828"/>
        <v>3</v>
      </c>
      <c r="R1316" s="132"/>
      <c r="S1316" s="132"/>
      <c r="T1316" s="65" t="s">
        <v>70</v>
      </c>
      <c r="U1316" s="178"/>
      <c r="V1316" s="178"/>
      <c r="W1316" s="178"/>
      <c r="X1316" s="178"/>
      <c r="Y1316" s="178"/>
      <c r="Z1316" s="178"/>
      <c r="AA1316" s="178"/>
      <c r="AB1316" s="178"/>
      <c r="AC1316" s="178"/>
    </row>
    <row r="1317" ht="33.75" customHeight="1">
      <c r="A1317" s="98" t="s">
        <v>2218</v>
      </c>
      <c r="B1317" s="99" t="s">
        <v>2009</v>
      </c>
      <c r="C1317" s="99" t="s">
        <v>2185</v>
      </c>
      <c r="D1317" s="99" t="s">
        <v>2219</v>
      </c>
      <c r="E1317" s="99" t="s">
        <v>2220</v>
      </c>
      <c r="F1317" s="98" t="s">
        <v>2211</v>
      </c>
      <c r="G1317" s="98" t="s">
        <v>154</v>
      </c>
      <c r="H1317" s="98" t="s">
        <v>154</v>
      </c>
      <c r="I1317" s="98"/>
      <c r="J1317" s="98" t="s">
        <v>12</v>
      </c>
      <c r="K1317" s="100" t="s">
        <v>12</v>
      </c>
      <c r="L1317" s="101">
        <f>IF(COUNT(L1318:N1320)=0,"",SUM(L1318:L1320))</f>
        <v>0</v>
      </c>
      <c r="M1317" s="102">
        <f t="shared" si="756"/>
        <v>0</v>
      </c>
      <c r="N1317" s="101">
        <f>IF(COUNT(L1318:N1320)=0,"",SUM(N1318:N1320))</f>
        <v>0</v>
      </c>
      <c r="O1317" s="101">
        <f>IF(COUNT(O1318:O1320)=0,"",SUM(O1318:O1320))</f>
        <v>0</v>
      </c>
      <c r="P1317" s="103"/>
      <c r="Q1317" s="101">
        <f>IF(COUNT(Q1318:Q1320)=0,"",SUM(Q1318:Q1320))</f>
        <v>0</v>
      </c>
      <c r="R1317" s="104"/>
      <c r="S1317" s="104"/>
      <c r="T1317" s="98" t="s">
        <v>65</v>
      </c>
      <c r="U1317" s="179"/>
      <c r="V1317" s="179"/>
      <c r="W1317" s="179"/>
      <c r="X1317" s="105"/>
      <c r="Y1317" s="105"/>
      <c r="Z1317" s="105"/>
      <c r="AA1317" s="105"/>
      <c r="AB1317" s="105"/>
      <c r="AC1317" s="105"/>
    </row>
    <row r="1318" ht="33.75" customHeight="1">
      <c r="A1318" s="106" t="s">
        <v>2221</v>
      </c>
      <c r="B1318" s="107" t="s">
        <v>2009</v>
      </c>
      <c r="C1318" s="107" t="s">
        <v>2185</v>
      </c>
      <c r="D1318" s="107" t="s">
        <v>2219</v>
      </c>
      <c r="E1318" s="107" t="s">
        <v>2220</v>
      </c>
      <c r="F1318" s="106" t="s">
        <v>2211</v>
      </c>
      <c r="G1318" s="106" t="s">
        <v>154</v>
      </c>
      <c r="H1318" s="106" t="s">
        <v>154</v>
      </c>
      <c r="I1318" s="106"/>
      <c r="J1318" s="106" t="s">
        <v>12</v>
      </c>
      <c r="K1318" s="108" t="s">
        <v>12</v>
      </c>
      <c r="L1318" s="109"/>
      <c r="M1318" s="109">
        <f t="shared" si="756"/>
        <v>0</v>
      </c>
      <c r="N1318" s="109"/>
      <c r="O1318" s="109">
        <f t="shared" ref="O1318:O1320" si="829">IF(COUNT(L1318:N1318)=0,"",(L1318+4*M1318+N1318)/6)</f>
        <v>0</v>
      </c>
      <c r="P1318" s="110"/>
      <c r="Q1318" s="109">
        <f t="shared" ref="Q1318:Q1320" si="830">IF(O1318="","",IF(P1318="",O1318,O1318*(1+P1318)))</f>
        <v>0</v>
      </c>
      <c r="R1318" s="111"/>
      <c r="S1318" s="111"/>
      <c r="T1318" s="106" t="s">
        <v>31</v>
      </c>
      <c r="U1318" s="26"/>
      <c r="V1318" s="26"/>
      <c r="W1318" s="26"/>
      <c r="X1318" s="26"/>
      <c r="Y1318" s="26"/>
      <c r="Z1318" s="26"/>
      <c r="AA1318" s="26"/>
      <c r="AB1318" s="26"/>
      <c r="AC1318" s="26"/>
    </row>
    <row r="1319" ht="33.75" customHeight="1">
      <c r="A1319" s="106" t="s">
        <v>2222</v>
      </c>
      <c r="B1319" s="107" t="s">
        <v>2009</v>
      </c>
      <c r="C1319" s="107" t="s">
        <v>2185</v>
      </c>
      <c r="D1319" s="107" t="s">
        <v>2219</v>
      </c>
      <c r="E1319" s="107" t="s">
        <v>2220</v>
      </c>
      <c r="F1319" s="106" t="s">
        <v>2211</v>
      </c>
      <c r="G1319" s="106" t="s">
        <v>154</v>
      </c>
      <c r="H1319" s="106" t="s">
        <v>154</v>
      </c>
      <c r="I1319" s="106"/>
      <c r="J1319" s="106" t="s">
        <v>12</v>
      </c>
      <c r="K1319" s="108" t="s">
        <v>12</v>
      </c>
      <c r="L1319" s="109"/>
      <c r="M1319" s="109">
        <f t="shared" si="756"/>
        <v>0</v>
      </c>
      <c r="N1319" s="109"/>
      <c r="O1319" s="109">
        <f t="shared" si="829"/>
        <v>0</v>
      </c>
      <c r="P1319" s="110"/>
      <c r="Q1319" s="109">
        <f t="shared" si="830"/>
        <v>0</v>
      </c>
      <c r="R1319" s="111"/>
      <c r="S1319" s="111"/>
      <c r="T1319" s="106" t="s">
        <v>32</v>
      </c>
      <c r="U1319" s="26"/>
      <c r="V1319" s="26"/>
      <c r="W1319" s="26"/>
      <c r="X1319" s="26"/>
      <c r="Y1319" s="26"/>
      <c r="Z1319" s="26"/>
      <c r="AA1319" s="26"/>
      <c r="AB1319" s="26"/>
      <c r="AC1319" s="26"/>
    </row>
    <row r="1320" ht="33.75" customHeight="1">
      <c r="A1320" s="106" t="s">
        <v>2223</v>
      </c>
      <c r="B1320" s="107" t="s">
        <v>2009</v>
      </c>
      <c r="C1320" s="107" t="s">
        <v>2185</v>
      </c>
      <c r="D1320" s="107" t="s">
        <v>2219</v>
      </c>
      <c r="E1320" s="107" t="s">
        <v>2220</v>
      </c>
      <c r="F1320" s="106" t="s">
        <v>2211</v>
      </c>
      <c r="G1320" s="106" t="s">
        <v>154</v>
      </c>
      <c r="H1320" s="106" t="s">
        <v>154</v>
      </c>
      <c r="I1320" s="106"/>
      <c r="J1320" s="106" t="s">
        <v>12</v>
      </c>
      <c r="K1320" s="108" t="s">
        <v>12</v>
      </c>
      <c r="L1320" s="109"/>
      <c r="M1320" s="109">
        <f t="shared" si="756"/>
        <v>0</v>
      </c>
      <c r="N1320" s="109"/>
      <c r="O1320" s="109">
        <f t="shared" si="829"/>
        <v>0</v>
      </c>
      <c r="P1320" s="110"/>
      <c r="Q1320" s="109">
        <f t="shared" si="830"/>
        <v>0</v>
      </c>
      <c r="R1320" s="111"/>
      <c r="S1320" s="111"/>
      <c r="T1320" s="106" t="s">
        <v>70</v>
      </c>
      <c r="U1320" s="26"/>
      <c r="V1320" s="26"/>
      <c r="W1320" s="26"/>
      <c r="X1320" s="26"/>
      <c r="Y1320" s="26"/>
      <c r="Z1320" s="26"/>
      <c r="AA1320" s="26"/>
      <c r="AB1320" s="26"/>
      <c r="AC1320" s="26"/>
    </row>
    <row r="1321" ht="33.75" customHeight="1">
      <c r="A1321" s="27" t="s">
        <v>2224</v>
      </c>
      <c r="B1321" s="28"/>
      <c r="C1321" s="28"/>
      <c r="D1321" s="28"/>
      <c r="E1321" s="29"/>
      <c r="F1321" s="30"/>
      <c r="G1321" s="30"/>
      <c r="H1321" s="30"/>
      <c r="I1321" s="30"/>
      <c r="J1321" s="30"/>
      <c r="K1321" s="31"/>
      <c r="L1321" s="32">
        <f t="shared" ref="L1321:O1321" si="831">SUM(X1322:X1440)</f>
        <v>9.5</v>
      </c>
      <c r="M1321" s="32">
        <f t="shared" si="831"/>
        <v>14.75</v>
      </c>
      <c r="N1321" s="32">
        <f t="shared" si="831"/>
        <v>20</v>
      </c>
      <c r="O1321" s="32">
        <f t="shared" si="831"/>
        <v>14.75</v>
      </c>
      <c r="P1321" s="32"/>
      <c r="Q1321" s="32">
        <f>SUM(AC1322:AC1440)</f>
        <v>14.75</v>
      </c>
      <c r="R1321" s="34"/>
      <c r="S1321" s="34"/>
      <c r="T1321" s="35" t="s">
        <v>59</v>
      </c>
      <c r="U1321" s="26"/>
      <c r="V1321" s="26"/>
      <c r="W1321" s="26"/>
      <c r="X1321" s="26"/>
      <c r="Y1321" s="26"/>
      <c r="Z1321" s="26"/>
      <c r="AA1321" s="26"/>
      <c r="AB1321" s="26"/>
      <c r="AC1321" s="26"/>
    </row>
    <row r="1322" ht="33.75" customHeight="1">
      <c r="A1322" s="45" t="s">
        <v>2225</v>
      </c>
      <c r="B1322" s="212" t="s">
        <v>2226</v>
      </c>
      <c r="C1322" s="212" t="s">
        <v>2227</v>
      </c>
      <c r="D1322" s="212" t="s">
        <v>2227</v>
      </c>
      <c r="E1322" s="212" t="s">
        <v>2228</v>
      </c>
      <c r="F1322" s="45"/>
      <c r="G1322" s="45"/>
      <c r="H1322" s="45"/>
      <c r="I1322" s="45"/>
      <c r="J1322" s="45"/>
      <c r="K1322" s="123"/>
      <c r="L1322" s="213">
        <f>IF(COUNT(L1323,L1327,L1331,L1335)=0,"",SUM(L1323,L1327,L1331,L1335))</f>
        <v>0</v>
      </c>
      <c r="M1322" s="213">
        <f t="shared" ref="M1322:M1440" si="834">(N1322+L1322)/2</f>
        <v>0</v>
      </c>
      <c r="N1322" s="213">
        <f t="shared" ref="N1322:O1322" si="832">IF(COUNT(N1323,N1327,N1331,N1335)=0,"",SUM(N1323,N1327,N1331,N1335))</f>
        <v>0</v>
      </c>
      <c r="O1322" s="213">
        <f t="shared" si="832"/>
        <v>0</v>
      </c>
      <c r="P1322" s="214"/>
      <c r="Q1322" s="213">
        <f>IF(COUNT(Q1323,Q1327,Q1331,Q1335)=0,"",SUM(Q1323,Q1327,Q1331,Q1335))</f>
        <v>0</v>
      </c>
      <c r="R1322" s="126"/>
      <c r="S1322" s="126"/>
      <c r="T1322" s="45" t="s">
        <v>62</v>
      </c>
      <c r="U1322" s="26"/>
      <c r="V1322" s="26"/>
      <c r="W1322" s="26"/>
      <c r="X1322" s="46">
        <f t="shared" ref="X1322:AA1322" si="833">L1322</f>
        <v>0</v>
      </c>
      <c r="Y1322" s="46">
        <f t="shared" si="833"/>
        <v>0</v>
      </c>
      <c r="Z1322" s="46">
        <f t="shared" si="833"/>
        <v>0</v>
      </c>
      <c r="AA1322" s="46">
        <f t="shared" si="833"/>
        <v>0</v>
      </c>
      <c r="AB1322" s="26"/>
      <c r="AC1322" s="46">
        <f>Q1322</f>
        <v>0</v>
      </c>
    </row>
    <row r="1323" ht="33.75" customHeight="1">
      <c r="A1323" s="54" t="s">
        <v>2229</v>
      </c>
      <c r="B1323" s="209" t="s">
        <v>2226</v>
      </c>
      <c r="C1323" s="209" t="s">
        <v>2227</v>
      </c>
      <c r="D1323" s="209" t="s">
        <v>2230</v>
      </c>
      <c r="E1323" s="209" t="s">
        <v>2231</v>
      </c>
      <c r="F1323" s="54" t="s">
        <v>2232</v>
      </c>
      <c r="G1323" s="54" t="s">
        <v>168</v>
      </c>
      <c r="H1323" s="54" t="s">
        <v>168</v>
      </c>
      <c r="I1323" s="54"/>
      <c r="J1323" s="54" t="s">
        <v>9</v>
      </c>
      <c r="K1323" s="119" t="s">
        <v>9</v>
      </c>
      <c r="L1323" s="202">
        <f>IF(COUNT(L1324:N1326)=0,"",SUM(L1324:L1326))</f>
        <v>0</v>
      </c>
      <c r="M1323" s="174">
        <f t="shared" si="834"/>
        <v>0</v>
      </c>
      <c r="N1323" s="202">
        <f>IF(COUNT(L1324:N1326)=0,"",SUM(N1324:N1326))</f>
        <v>0</v>
      </c>
      <c r="O1323" s="202">
        <f>IF(COUNT(O1324:O1326)=0,"",SUM(O1324:O1326))</f>
        <v>0</v>
      </c>
      <c r="P1323" s="210"/>
      <c r="Q1323" s="202">
        <f>IF(COUNT(Q1324:Q1326)=0,"",SUM(Q1324:Q1326))</f>
        <v>0</v>
      </c>
      <c r="R1323" s="163"/>
      <c r="S1323" s="163"/>
      <c r="T1323" s="54" t="s">
        <v>65</v>
      </c>
      <c r="U1323" s="179"/>
      <c r="V1323" s="179"/>
      <c r="W1323" s="179"/>
      <c r="X1323" s="105"/>
      <c r="Y1323" s="105"/>
      <c r="Z1323" s="105"/>
      <c r="AA1323" s="105"/>
      <c r="AB1323" s="179"/>
      <c r="AC1323" s="105"/>
    </row>
    <row r="1324" ht="33.75" customHeight="1">
      <c r="A1324" s="65" t="s">
        <v>2233</v>
      </c>
      <c r="B1324" s="215" t="s">
        <v>2226</v>
      </c>
      <c r="C1324" s="215" t="s">
        <v>2227</v>
      </c>
      <c r="D1324" s="215" t="s">
        <v>2230</v>
      </c>
      <c r="E1324" s="215" t="s">
        <v>2231</v>
      </c>
      <c r="F1324" s="65" t="s">
        <v>2232</v>
      </c>
      <c r="G1324" s="65" t="s">
        <v>168</v>
      </c>
      <c r="H1324" s="65" t="s">
        <v>168</v>
      </c>
      <c r="I1324" s="65"/>
      <c r="J1324" s="65" t="s">
        <v>9</v>
      </c>
      <c r="K1324" s="65" t="s">
        <v>9</v>
      </c>
      <c r="L1324" s="128">
        <v>0.0</v>
      </c>
      <c r="M1324" s="180">
        <f t="shared" si="834"/>
        <v>0</v>
      </c>
      <c r="N1324" s="128">
        <v>0.0</v>
      </c>
      <c r="O1324" s="129">
        <f t="shared" ref="O1324:O1326" si="835">IF(COUNT(L1324:N1324)=0,"",(L1324+4*M1324+N1324)/6)</f>
        <v>0</v>
      </c>
      <c r="P1324" s="159"/>
      <c r="Q1324" s="208">
        <f t="shared" ref="Q1324:Q1326" si="836">IF(O1324="","",IF(P1324="",O1324,O1324*(1+P1324)))</f>
        <v>0</v>
      </c>
      <c r="R1324" s="132"/>
      <c r="S1324" s="132"/>
      <c r="T1324" s="65" t="s">
        <v>31</v>
      </c>
      <c r="U1324" s="178"/>
      <c r="V1324" s="178"/>
      <c r="W1324" s="178"/>
      <c r="X1324" s="26"/>
      <c r="Y1324" s="26"/>
      <c r="Z1324" s="26"/>
      <c r="AA1324" s="26"/>
      <c r="AB1324" s="26"/>
      <c r="AC1324" s="26"/>
    </row>
    <row r="1325" ht="33.75" customHeight="1">
      <c r="A1325" s="65" t="s">
        <v>2234</v>
      </c>
      <c r="B1325" s="215" t="s">
        <v>2226</v>
      </c>
      <c r="C1325" s="215" t="s">
        <v>2227</v>
      </c>
      <c r="D1325" s="215" t="s">
        <v>2230</v>
      </c>
      <c r="E1325" s="215" t="s">
        <v>2231</v>
      </c>
      <c r="F1325" s="65" t="s">
        <v>2232</v>
      </c>
      <c r="G1325" s="65" t="s">
        <v>168</v>
      </c>
      <c r="H1325" s="65" t="s">
        <v>168</v>
      </c>
      <c r="I1325" s="65"/>
      <c r="J1325" s="65" t="s">
        <v>9</v>
      </c>
      <c r="K1325" s="65" t="s">
        <v>9</v>
      </c>
      <c r="L1325" s="128">
        <v>0.0</v>
      </c>
      <c r="M1325" s="180">
        <f t="shared" si="834"/>
        <v>0</v>
      </c>
      <c r="N1325" s="128">
        <v>0.0</v>
      </c>
      <c r="O1325" s="129">
        <f t="shared" si="835"/>
        <v>0</v>
      </c>
      <c r="P1325" s="159"/>
      <c r="Q1325" s="208">
        <f t="shared" si="836"/>
        <v>0</v>
      </c>
      <c r="R1325" s="132"/>
      <c r="S1325" s="132"/>
      <c r="T1325" s="65" t="s">
        <v>32</v>
      </c>
      <c r="U1325" s="178"/>
      <c r="V1325" s="178"/>
      <c r="W1325" s="178"/>
      <c r="X1325" s="26"/>
      <c r="Y1325" s="26"/>
      <c r="Z1325" s="26"/>
      <c r="AA1325" s="26"/>
      <c r="AB1325" s="26"/>
      <c r="AC1325" s="26"/>
    </row>
    <row r="1326" ht="33.75" customHeight="1">
      <c r="A1326" s="65" t="s">
        <v>2235</v>
      </c>
      <c r="B1326" s="215" t="s">
        <v>2226</v>
      </c>
      <c r="C1326" s="215" t="s">
        <v>2227</v>
      </c>
      <c r="D1326" s="215" t="s">
        <v>2230</v>
      </c>
      <c r="E1326" s="215" t="s">
        <v>2231</v>
      </c>
      <c r="F1326" s="65" t="s">
        <v>2232</v>
      </c>
      <c r="G1326" s="65" t="s">
        <v>168</v>
      </c>
      <c r="H1326" s="65" t="s">
        <v>168</v>
      </c>
      <c r="I1326" s="65"/>
      <c r="J1326" s="65" t="s">
        <v>9</v>
      </c>
      <c r="K1326" s="65" t="s">
        <v>9</v>
      </c>
      <c r="L1326" s="128">
        <v>0.0</v>
      </c>
      <c r="M1326" s="180">
        <f t="shared" si="834"/>
        <v>0</v>
      </c>
      <c r="N1326" s="128">
        <v>0.0</v>
      </c>
      <c r="O1326" s="129">
        <f t="shared" si="835"/>
        <v>0</v>
      </c>
      <c r="P1326" s="159"/>
      <c r="Q1326" s="208">
        <f t="shared" si="836"/>
        <v>0</v>
      </c>
      <c r="R1326" s="132"/>
      <c r="S1326" s="132"/>
      <c r="T1326" s="65" t="s">
        <v>70</v>
      </c>
      <c r="U1326" s="178"/>
      <c r="V1326" s="178"/>
      <c r="W1326" s="178"/>
      <c r="X1326" s="26"/>
      <c r="Y1326" s="26"/>
      <c r="Z1326" s="26"/>
      <c r="AA1326" s="26"/>
      <c r="AB1326" s="26"/>
      <c r="AC1326" s="26"/>
    </row>
    <row r="1327" ht="33.75" customHeight="1">
      <c r="A1327" s="54" t="s">
        <v>2236</v>
      </c>
      <c r="B1327" s="209" t="s">
        <v>2226</v>
      </c>
      <c r="C1327" s="209" t="s">
        <v>2227</v>
      </c>
      <c r="D1327" s="209" t="s">
        <v>2237</v>
      </c>
      <c r="E1327" s="209" t="s">
        <v>2238</v>
      </c>
      <c r="F1327" s="54" t="s">
        <v>2229</v>
      </c>
      <c r="G1327" s="54" t="s">
        <v>168</v>
      </c>
      <c r="H1327" s="54" t="s">
        <v>168</v>
      </c>
      <c r="I1327" s="54"/>
      <c r="J1327" s="54" t="s">
        <v>9</v>
      </c>
      <c r="K1327" s="54" t="s">
        <v>9</v>
      </c>
      <c r="L1327" s="202">
        <f>IF(COUNT(L1328:N1330)=0,"",SUM(L1328:L1330))</f>
        <v>0</v>
      </c>
      <c r="M1327" s="174">
        <f t="shared" si="834"/>
        <v>0</v>
      </c>
      <c r="N1327" s="202">
        <f>IF(COUNT(L1328:N1330)=0,"",SUM(N1328:N1330))</f>
        <v>0</v>
      </c>
      <c r="O1327" s="202">
        <f>IF(COUNT(O1328:O1330)=0,"",SUM(O1328:O1330))</f>
        <v>0</v>
      </c>
      <c r="P1327" s="210"/>
      <c r="Q1327" s="202">
        <f>IF(COUNT(Q1328:Q1330)=0,"",SUM(Q1328:Q1330))</f>
        <v>0</v>
      </c>
      <c r="R1327" s="163"/>
      <c r="S1327" s="163"/>
      <c r="T1327" s="54" t="s">
        <v>65</v>
      </c>
      <c r="U1327" s="179"/>
      <c r="V1327" s="179"/>
      <c r="W1327" s="179"/>
      <c r="X1327" s="105"/>
      <c r="Y1327" s="105"/>
      <c r="Z1327" s="105"/>
      <c r="AA1327" s="105"/>
      <c r="AB1327" s="105"/>
      <c r="AC1327" s="105"/>
    </row>
    <row r="1328" ht="33.75" customHeight="1">
      <c r="A1328" s="65" t="s">
        <v>2239</v>
      </c>
      <c r="B1328" s="215" t="s">
        <v>2226</v>
      </c>
      <c r="C1328" s="215" t="s">
        <v>2227</v>
      </c>
      <c r="D1328" s="215" t="s">
        <v>2237</v>
      </c>
      <c r="E1328" s="215" t="s">
        <v>2238</v>
      </c>
      <c r="F1328" s="65" t="s">
        <v>2229</v>
      </c>
      <c r="G1328" s="65" t="s">
        <v>168</v>
      </c>
      <c r="H1328" s="65" t="s">
        <v>168</v>
      </c>
      <c r="I1328" s="65"/>
      <c r="J1328" s="65" t="s">
        <v>9</v>
      </c>
      <c r="K1328" s="65" t="s">
        <v>9</v>
      </c>
      <c r="L1328" s="128">
        <v>0.0</v>
      </c>
      <c r="M1328" s="180">
        <f t="shared" si="834"/>
        <v>0</v>
      </c>
      <c r="N1328" s="128">
        <v>0.0</v>
      </c>
      <c r="O1328" s="129">
        <f t="shared" ref="O1328:O1330" si="837">IF(COUNT(L1328:N1328)=0,"",(L1328+4*M1328+N1328)/6)</f>
        <v>0</v>
      </c>
      <c r="P1328" s="159"/>
      <c r="Q1328" s="208">
        <f t="shared" ref="Q1328:Q1330" si="838">IF(O1328="","",IF(P1328="",O1328,O1328*(1+P1328)))</f>
        <v>0</v>
      </c>
      <c r="R1328" s="132"/>
      <c r="S1328" s="132"/>
      <c r="T1328" s="65" t="s">
        <v>31</v>
      </c>
      <c r="U1328" s="178"/>
      <c r="V1328" s="178"/>
      <c r="W1328" s="178"/>
      <c r="X1328" s="26"/>
      <c r="Y1328" s="26"/>
      <c r="Z1328" s="26"/>
      <c r="AA1328" s="26"/>
      <c r="AB1328" s="26"/>
      <c r="AC1328" s="26"/>
    </row>
    <row r="1329" ht="33.75" customHeight="1">
      <c r="A1329" s="65" t="s">
        <v>2240</v>
      </c>
      <c r="B1329" s="215" t="s">
        <v>2226</v>
      </c>
      <c r="C1329" s="215" t="s">
        <v>2227</v>
      </c>
      <c r="D1329" s="215" t="s">
        <v>2237</v>
      </c>
      <c r="E1329" s="215" t="s">
        <v>2238</v>
      </c>
      <c r="F1329" s="65" t="s">
        <v>2229</v>
      </c>
      <c r="G1329" s="65" t="s">
        <v>168</v>
      </c>
      <c r="H1329" s="65" t="s">
        <v>168</v>
      </c>
      <c r="I1329" s="65"/>
      <c r="J1329" s="65" t="s">
        <v>9</v>
      </c>
      <c r="K1329" s="65" t="s">
        <v>9</v>
      </c>
      <c r="L1329" s="128">
        <v>0.0</v>
      </c>
      <c r="M1329" s="180">
        <f t="shared" si="834"/>
        <v>0</v>
      </c>
      <c r="N1329" s="128">
        <v>0.0</v>
      </c>
      <c r="O1329" s="129">
        <f t="shared" si="837"/>
        <v>0</v>
      </c>
      <c r="P1329" s="159"/>
      <c r="Q1329" s="208">
        <f t="shared" si="838"/>
        <v>0</v>
      </c>
      <c r="R1329" s="132"/>
      <c r="S1329" s="132"/>
      <c r="T1329" s="65" t="s">
        <v>32</v>
      </c>
      <c r="U1329" s="178"/>
      <c r="V1329" s="178"/>
      <c r="W1329" s="178"/>
      <c r="X1329" s="26"/>
      <c r="Y1329" s="26"/>
      <c r="Z1329" s="26"/>
      <c r="AA1329" s="26"/>
      <c r="AB1329" s="26"/>
      <c r="AC1329" s="26"/>
    </row>
    <row r="1330" ht="33.75" customHeight="1">
      <c r="A1330" s="65" t="s">
        <v>2241</v>
      </c>
      <c r="B1330" s="215" t="s">
        <v>2226</v>
      </c>
      <c r="C1330" s="215" t="s">
        <v>2227</v>
      </c>
      <c r="D1330" s="215" t="s">
        <v>2237</v>
      </c>
      <c r="E1330" s="215" t="s">
        <v>2238</v>
      </c>
      <c r="F1330" s="65" t="s">
        <v>2229</v>
      </c>
      <c r="G1330" s="65" t="s">
        <v>168</v>
      </c>
      <c r="H1330" s="65" t="s">
        <v>168</v>
      </c>
      <c r="I1330" s="65"/>
      <c r="J1330" s="65" t="s">
        <v>9</v>
      </c>
      <c r="K1330" s="65" t="s">
        <v>9</v>
      </c>
      <c r="L1330" s="128">
        <v>0.0</v>
      </c>
      <c r="M1330" s="180">
        <f t="shared" si="834"/>
        <v>0</v>
      </c>
      <c r="N1330" s="128">
        <v>0.0</v>
      </c>
      <c r="O1330" s="129">
        <f t="shared" si="837"/>
        <v>0</v>
      </c>
      <c r="P1330" s="159"/>
      <c r="Q1330" s="208">
        <f t="shared" si="838"/>
        <v>0</v>
      </c>
      <c r="R1330" s="132"/>
      <c r="S1330" s="132"/>
      <c r="T1330" s="65" t="s">
        <v>70</v>
      </c>
      <c r="U1330" s="178"/>
      <c r="V1330" s="178"/>
      <c r="W1330" s="178"/>
      <c r="X1330" s="26"/>
      <c r="Y1330" s="26"/>
      <c r="Z1330" s="26"/>
      <c r="AA1330" s="26"/>
      <c r="AB1330" s="26"/>
      <c r="AC1330" s="26"/>
    </row>
    <row r="1331" ht="33.75" customHeight="1">
      <c r="A1331" s="54" t="s">
        <v>2242</v>
      </c>
      <c r="B1331" s="209" t="s">
        <v>2226</v>
      </c>
      <c r="C1331" s="209" t="s">
        <v>2227</v>
      </c>
      <c r="D1331" s="209" t="s">
        <v>2243</v>
      </c>
      <c r="E1331" s="209" t="s">
        <v>2244</v>
      </c>
      <c r="F1331" s="54" t="s">
        <v>2229</v>
      </c>
      <c r="G1331" s="54" t="s">
        <v>168</v>
      </c>
      <c r="H1331" s="54" t="s">
        <v>168</v>
      </c>
      <c r="I1331" s="54"/>
      <c r="J1331" s="54" t="s">
        <v>9</v>
      </c>
      <c r="K1331" s="54" t="s">
        <v>9</v>
      </c>
      <c r="L1331" s="202">
        <f>IF(COUNT(L1332:N1334)=0,"",SUM(L1332:L1334))</f>
        <v>0</v>
      </c>
      <c r="M1331" s="174">
        <f t="shared" si="834"/>
        <v>0</v>
      </c>
      <c r="N1331" s="202">
        <f>IF(COUNT(L1332:N1334)=0,"",SUM(N1332:N1334))</f>
        <v>0</v>
      </c>
      <c r="O1331" s="202">
        <f>IF(COUNT(O1332:O1334)=0,"",SUM(O1332:O1334))</f>
        <v>0</v>
      </c>
      <c r="P1331" s="210"/>
      <c r="Q1331" s="202">
        <f>IF(COUNT(Q1332:Q1334)=0,"",SUM(Q1332:Q1334))</f>
        <v>0</v>
      </c>
      <c r="R1331" s="163"/>
      <c r="S1331" s="163"/>
      <c r="T1331" s="54" t="s">
        <v>65</v>
      </c>
      <c r="U1331" s="179"/>
      <c r="V1331" s="179"/>
      <c r="W1331" s="179"/>
      <c r="X1331" s="105"/>
      <c r="Y1331" s="105"/>
      <c r="Z1331" s="105"/>
      <c r="AA1331" s="105"/>
      <c r="AB1331" s="105"/>
      <c r="AC1331" s="105"/>
    </row>
    <row r="1332" ht="33.75" customHeight="1">
      <c r="A1332" s="65" t="s">
        <v>2245</v>
      </c>
      <c r="B1332" s="215" t="s">
        <v>2226</v>
      </c>
      <c r="C1332" s="215" t="s">
        <v>2227</v>
      </c>
      <c r="D1332" s="215" t="s">
        <v>2243</v>
      </c>
      <c r="E1332" s="215" t="s">
        <v>2244</v>
      </c>
      <c r="F1332" s="65" t="s">
        <v>2229</v>
      </c>
      <c r="G1332" s="65" t="s">
        <v>168</v>
      </c>
      <c r="H1332" s="65" t="s">
        <v>168</v>
      </c>
      <c r="I1332" s="65"/>
      <c r="J1332" s="65" t="s">
        <v>9</v>
      </c>
      <c r="K1332" s="65" t="s">
        <v>9</v>
      </c>
      <c r="L1332" s="128">
        <v>0.0</v>
      </c>
      <c r="M1332" s="180">
        <f t="shared" si="834"/>
        <v>0</v>
      </c>
      <c r="N1332" s="128">
        <v>0.0</v>
      </c>
      <c r="O1332" s="129">
        <f t="shared" ref="O1332:O1334" si="839">IF(COUNT(L1332:N1332)=0,"",(L1332+4*M1332+N1332)/6)</f>
        <v>0</v>
      </c>
      <c r="P1332" s="159"/>
      <c r="Q1332" s="208">
        <f t="shared" ref="Q1332:Q1334" si="840">IF(O1332="","",IF(P1332="",O1332,O1332*(1+P1332)))</f>
        <v>0</v>
      </c>
      <c r="R1332" s="132"/>
      <c r="S1332" s="132"/>
      <c r="T1332" s="65" t="s">
        <v>31</v>
      </c>
      <c r="U1332" s="26"/>
      <c r="V1332" s="26"/>
      <c r="W1332" s="26"/>
      <c r="X1332" s="26"/>
      <c r="Y1332" s="26"/>
      <c r="Z1332" s="26"/>
      <c r="AA1332" s="26"/>
      <c r="AB1332" s="26"/>
      <c r="AC1332" s="26"/>
    </row>
    <row r="1333" ht="33.75" customHeight="1">
      <c r="A1333" s="65" t="s">
        <v>2246</v>
      </c>
      <c r="B1333" s="215" t="s">
        <v>2226</v>
      </c>
      <c r="C1333" s="215" t="s">
        <v>2227</v>
      </c>
      <c r="D1333" s="215" t="s">
        <v>2243</v>
      </c>
      <c r="E1333" s="215" t="s">
        <v>2244</v>
      </c>
      <c r="F1333" s="65" t="s">
        <v>2229</v>
      </c>
      <c r="G1333" s="65" t="s">
        <v>168</v>
      </c>
      <c r="H1333" s="65" t="s">
        <v>168</v>
      </c>
      <c r="I1333" s="65"/>
      <c r="J1333" s="65" t="s">
        <v>9</v>
      </c>
      <c r="K1333" s="65" t="s">
        <v>9</v>
      </c>
      <c r="L1333" s="128">
        <v>0.0</v>
      </c>
      <c r="M1333" s="180">
        <f t="shared" si="834"/>
        <v>0</v>
      </c>
      <c r="N1333" s="128">
        <v>0.0</v>
      </c>
      <c r="O1333" s="129">
        <f t="shared" si="839"/>
        <v>0</v>
      </c>
      <c r="P1333" s="159"/>
      <c r="Q1333" s="208">
        <f t="shared" si="840"/>
        <v>0</v>
      </c>
      <c r="R1333" s="132"/>
      <c r="S1333" s="132"/>
      <c r="T1333" s="65" t="s">
        <v>32</v>
      </c>
      <c r="U1333" s="26"/>
      <c r="V1333" s="26"/>
      <c r="W1333" s="26"/>
      <c r="X1333" s="26"/>
      <c r="Y1333" s="26"/>
      <c r="Z1333" s="26"/>
      <c r="AA1333" s="26"/>
      <c r="AB1333" s="26"/>
      <c r="AC1333" s="26"/>
    </row>
    <row r="1334" ht="33.75" customHeight="1">
      <c r="A1334" s="65" t="s">
        <v>2247</v>
      </c>
      <c r="B1334" s="215" t="s">
        <v>2226</v>
      </c>
      <c r="C1334" s="215" t="s">
        <v>2227</v>
      </c>
      <c r="D1334" s="215" t="s">
        <v>2243</v>
      </c>
      <c r="E1334" s="215" t="s">
        <v>2244</v>
      </c>
      <c r="F1334" s="65" t="s">
        <v>2229</v>
      </c>
      <c r="G1334" s="65" t="s">
        <v>168</v>
      </c>
      <c r="H1334" s="65" t="s">
        <v>168</v>
      </c>
      <c r="I1334" s="65"/>
      <c r="J1334" s="65" t="s">
        <v>9</v>
      </c>
      <c r="K1334" s="65" t="s">
        <v>9</v>
      </c>
      <c r="L1334" s="128">
        <v>0.0</v>
      </c>
      <c r="M1334" s="180">
        <f t="shared" si="834"/>
        <v>0</v>
      </c>
      <c r="N1334" s="128">
        <v>0.0</v>
      </c>
      <c r="O1334" s="129">
        <f t="shared" si="839"/>
        <v>0</v>
      </c>
      <c r="P1334" s="159"/>
      <c r="Q1334" s="208">
        <f t="shared" si="840"/>
        <v>0</v>
      </c>
      <c r="R1334" s="132"/>
      <c r="S1334" s="132"/>
      <c r="T1334" s="65" t="s">
        <v>70</v>
      </c>
      <c r="U1334" s="26"/>
      <c r="V1334" s="26"/>
      <c r="W1334" s="26"/>
      <c r="X1334" s="26"/>
      <c r="Y1334" s="26"/>
      <c r="Z1334" s="26"/>
      <c r="AA1334" s="26"/>
      <c r="AB1334" s="26"/>
      <c r="AC1334" s="26"/>
    </row>
    <row r="1335" ht="33.75" customHeight="1">
      <c r="A1335" s="54" t="s">
        <v>2248</v>
      </c>
      <c r="B1335" s="209" t="s">
        <v>2226</v>
      </c>
      <c r="C1335" s="209" t="s">
        <v>2227</v>
      </c>
      <c r="D1335" s="209" t="s">
        <v>2249</v>
      </c>
      <c r="E1335" s="209" t="s">
        <v>2250</v>
      </c>
      <c r="F1335" s="54" t="s">
        <v>2229</v>
      </c>
      <c r="G1335" s="54" t="s">
        <v>154</v>
      </c>
      <c r="H1335" s="54" t="s">
        <v>154</v>
      </c>
      <c r="I1335" s="54"/>
      <c r="J1335" s="54" t="s">
        <v>9</v>
      </c>
      <c r="K1335" s="54" t="s">
        <v>9</v>
      </c>
      <c r="L1335" s="202">
        <f>IF(COUNT(L1336:N1338)=0,"",SUM(L1336:L1338))</f>
        <v>0</v>
      </c>
      <c r="M1335" s="174">
        <f t="shared" si="834"/>
        <v>0</v>
      </c>
      <c r="N1335" s="202">
        <f>IF(COUNT(L1336:N1338)=0,"",SUM(N1336:N1338))</f>
        <v>0</v>
      </c>
      <c r="O1335" s="202">
        <f>IF(COUNT(O1336:O1338)=0,"",SUM(O1336:O1338))</f>
        <v>0</v>
      </c>
      <c r="P1335" s="210"/>
      <c r="Q1335" s="202">
        <f>IF(COUNT(Q1336:Q1338)=0,"",SUM(Q1336:Q1338))</f>
        <v>0</v>
      </c>
      <c r="R1335" s="163"/>
      <c r="S1335" s="163"/>
      <c r="T1335" s="54" t="s">
        <v>65</v>
      </c>
      <c r="U1335" s="26"/>
      <c r="V1335" s="26"/>
      <c r="W1335" s="26"/>
      <c r="X1335" s="105"/>
      <c r="Y1335" s="105"/>
      <c r="Z1335" s="105"/>
      <c r="AA1335" s="105"/>
      <c r="AB1335" s="105"/>
      <c r="AC1335" s="105"/>
    </row>
    <row r="1336" ht="33.75" customHeight="1">
      <c r="A1336" s="65" t="s">
        <v>2251</v>
      </c>
      <c r="B1336" s="215" t="s">
        <v>2226</v>
      </c>
      <c r="C1336" s="215" t="s">
        <v>2227</v>
      </c>
      <c r="D1336" s="215" t="s">
        <v>2249</v>
      </c>
      <c r="E1336" s="215" t="s">
        <v>2250</v>
      </c>
      <c r="F1336" s="65" t="s">
        <v>2229</v>
      </c>
      <c r="G1336" s="65" t="s">
        <v>154</v>
      </c>
      <c r="H1336" s="65" t="s">
        <v>154</v>
      </c>
      <c r="I1336" s="65"/>
      <c r="J1336" s="65" t="s">
        <v>9</v>
      </c>
      <c r="K1336" s="65" t="s">
        <v>9</v>
      </c>
      <c r="L1336" s="128">
        <v>0.0</v>
      </c>
      <c r="M1336" s="180">
        <f t="shared" si="834"/>
        <v>0</v>
      </c>
      <c r="N1336" s="128">
        <v>0.0</v>
      </c>
      <c r="O1336" s="129">
        <f t="shared" ref="O1336:O1338" si="841">IF(COUNT(L1336:N1336)=0,"",(L1336+4*M1336+N1336)/6)</f>
        <v>0</v>
      </c>
      <c r="P1336" s="159"/>
      <c r="Q1336" s="208">
        <f t="shared" ref="Q1336:Q1338" si="842">IF(O1336="","",IF(P1336="",O1336,O1336*(1+P1336)))</f>
        <v>0</v>
      </c>
      <c r="R1336" s="132"/>
      <c r="S1336" s="132"/>
      <c r="T1336" s="65" t="s">
        <v>31</v>
      </c>
      <c r="U1336" s="26"/>
      <c r="V1336" s="26"/>
      <c r="W1336" s="26"/>
      <c r="X1336" s="26"/>
      <c r="Y1336" s="26"/>
      <c r="Z1336" s="26"/>
      <c r="AA1336" s="26"/>
      <c r="AB1336" s="26"/>
      <c r="AC1336" s="26"/>
    </row>
    <row r="1337" ht="33.75" customHeight="1">
      <c r="A1337" s="65" t="s">
        <v>2252</v>
      </c>
      <c r="B1337" s="215" t="s">
        <v>2226</v>
      </c>
      <c r="C1337" s="215" t="s">
        <v>2227</v>
      </c>
      <c r="D1337" s="215" t="s">
        <v>2249</v>
      </c>
      <c r="E1337" s="215" t="s">
        <v>2250</v>
      </c>
      <c r="F1337" s="65" t="s">
        <v>2229</v>
      </c>
      <c r="G1337" s="65" t="s">
        <v>154</v>
      </c>
      <c r="H1337" s="65" t="s">
        <v>154</v>
      </c>
      <c r="I1337" s="65"/>
      <c r="J1337" s="65" t="s">
        <v>9</v>
      </c>
      <c r="K1337" s="65" t="s">
        <v>9</v>
      </c>
      <c r="L1337" s="128">
        <v>0.0</v>
      </c>
      <c r="M1337" s="180">
        <f t="shared" si="834"/>
        <v>0</v>
      </c>
      <c r="N1337" s="128">
        <v>0.0</v>
      </c>
      <c r="O1337" s="129">
        <f t="shared" si="841"/>
        <v>0</v>
      </c>
      <c r="P1337" s="159"/>
      <c r="Q1337" s="208">
        <f t="shared" si="842"/>
        <v>0</v>
      </c>
      <c r="R1337" s="132"/>
      <c r="S1337" s="132"/>
      <c r="T1337" s="65" t="s">
        <v>32</v>
      </c>
      <c r="U1337" s="26"/>
      <c r="V1337" s="26"/>
      <c r="W1337" s="26"/>
      <c r="X1337" s="26"/>
      <c r="Y1337" s="26"/>
      <c r="Z1337" s="26"/>
      <c r="AA1337" s="26"/>
      <c r="AB1337" s="26"/>
      <c r="AC1337" s="26"/>
    </row>
    <row r="1338" ht="33.75" customHeight="1">
      <c r="A1338" s="65" t="s">
        <v>2253</v>
      </c>
      <c r="B1338" s="215" t="s">
        <v>2226</v>
      </c>
      <c r="C1338" s="215" t="s">
        <v>2227</v>
      </c>
      <c r="D1338" s="215" t="s">
        <v>2249</v>
      </c>
      <c r="E1338" s="215" t="s">
        <v>2250</v>
      </c>
      <c r="F1338" s="65" t="s">
        <v>2229</v>
      </c>
      <c r="G1338" s="65" t="s">
        <v>154</v>
      </c>
      <c r="H1338" s="65" t="s">
        <v>154</v>
      </c>
      <c r="I1338" s="65"/>
      <c r="J1338" s="65" t="s">
        <v>9</v>
      </c>
      <c r="K1338" s="65" t="s">
        <v>9</v>
      </c>
      <c r="L1338" s="128">
        <v>0.0</v>
      </c>
      <c r="M1338" s="180">
        <f t="shared" si="834"/>
        <v>0</v>
      </c>
      <c r="N1338" s="128">
        <v>0.0</v>
      </c>
      <c r="O1338" s="129">
        <f t="shared" si="841"/>
        <v>0</v>
      </c>
      <c r="P1338" s="159"/>
      <c r="Q1338" s="208">
        <f t="shared" si="842"/>
        <v>0</v>
      </c>
      <c r="R1338" s="132"/>
      <c r="S1338" s="132"/>
      <c r="T1338" s="65" t="s">
        <v>70</v>
      </c>
      <c r="U1338" s="26"/>
      <c r="V1338" s="26"/>
      <c r="W1338" s="26"/>
      <c r="X1338" s="26"/>
      <c r="Y1338" s="26"/>
      <c r="Z1338" s="26"/>
      <c r="AA1338" s="26"/>
      <c r="AB1338" s="26"/>
      <c r="AC1338" s="26"/>
    </row>
    <row r="1339" ht="33.75" customHeight="1">
      <c r="A1339" s="45" t="s">
        <v>2254</v>
      </c>
      <c r="B1339" s="212" t="s">
        <v>2226</v>
      </c>
      <c r="C1339" s="212" t="s">
        <v>2255</v>
      </c>
      <c r="D1339" s="212" t="s">
        <v>2255</v>
      </c>
      <c r="E1339" s="212" t="s">
        <v>2256</v>
      </c>
      <c r="F1339" s="45"/>
      <c r="G1339" s="45"/>
      <c r="H1339" s="45"/>
      <c r="I1339" s="45"/>
      <c r="J1339" s="45"/>
      <c r="K1339" s="123"/>
      <c r="L1339" s="213">
        <f>IF(COUNT(L1340,L1344,L1348,L1352)=0,"",SUM(L1340,L1344,L1348,L1352))</f>
        <v>0</v>
      </c>
      <c r="M1339" s="213">
        <f t="shared" si="834"/>
        <v>0</v>
      </c>
      <c r="N1339" s="213">
        <f t="shared" ref="N1339:O1339" si="843">IF(COUNT(N1340,N1344,N1348,N1352)=0,"",SUM(N1340,N1344,N1348,N1352))</f>
        <v>0</v>
      </c>
      <c r="O1339" s="213">
        <f t="shared" si="843"/>
        <v>0</v>
      </c>
      <c r="P1339" s="214"/>
      <c r="Q1339" s="213">
        <f>IF(COUNT(Q1340,Q1344,Q1348,Q1352)=0,"",SUM(Q1340,Q1344,Q1348,Q1352))</f>
        <v>0</v>
      </c>
      <c r="R1339" s="126"/>
      <c r="S1339" s="126"/>
      <c r="T1339" s="45" t="s">
        <v>62</v>
      </c>
      <c r="U1339" s="26"/>
      <c r="V1339" s="26"/>
      <c r="W1339" s="26"/>
      <c r="X1339" s="46">
        <f t="shared" ref="X1339:AA1339" si="844">L1339</f>
        <v>0</v>
      </c>
      <c r="Y1339" s="46">
        <f t="shared" si="844"/>
        <v>0</v>
      </c>
      <c r="Z1339" s="46">
        <f t="shared" si="844"/>
        <v>0</v>
      </c>
      <c r="AA1339" s="46">
        <f t="shared" si="844"/>
        <v>0</v>
      </c>
      <c r="AB1339" s="26"/>
      <c r="AC1339" s="46">
        <f>Q1339</f>
        <v>0</v>
      </c>
    </row>
    <row r="1340" ht="33.75" customHeight="1">
      <c r="A1340" s="54" t="s">
        <v>2257</v>
      </c>
      <c r="B1340" s="209" t="s">
        <v>2226</v>
      </c>
      <c r="C1340" s="209" t="s">
        <v>2255</v>
      </c>
      <c r="D1340" s="209" t="s">
        <v>2258</v>
      </c>
      <c r="E1340" s="209" t="s">
        <v>2259</v>
      </c>
      <c r="F1340" s="54" t="s">
        <v>2260</v>
      </c>
      <c r="G1340" s="54" t="s">
        <v>168</v>
      </c>
      <c r="H1340" s="54" t="s">
        <v>168</v>
      </c>
      <c r="I1340" s="54"/>
      <c r="J1340" s="54" t="s">
        <v>9</v>
      </c>
      <c r="K1340" s="119" t="s">
        <v>9</v>
      </c>
      <c r="L1340" s="202">
        <f>IF(COUNT(L1341:N1343)=0,"",SUM(L1341:L1343))</f>
        <v>0</v>
      </c>
      <c r="M1340" s="174">
        <f t="shared" si="834"/>
        <v>0</v>
      </c>
      <c r="N1340" s="202">
        <f>IF(COUNT(L1341:N1343)=0,"",SUM(N1341:N1343))</f>
        <v>0</v>
      </c>
      <c r="O1340" s="202">
        <f>IF(COUNT(O1341:O1343)=0,"",SUM(O1341:O1343))</f>
        <v>0</v>
      </c>
      <c r="P1340" s="210"/>
      <c r="Q1340" s="202">
        <f>IF(COUNT(Q1341:Q1343)=0,"",SUM(Q1341:Q1343))</f>
        <v>0</v>
      </c>
      <c r="R1340" s="163"/>
      <c r="S1340" s="163"/>
      <c r="T1340" s="54" t="s">
        <v>65</v>
      </c>
      <c r="U1340" s="179"/>
      <c r="V1340" s="179"/>
      <c r="W1340" s="179"/>
      <c r="X1340" s="105"/>
      <c r="Y1340" s="105"/>
      <c r="Z1340" s="105"/>
      <c r="AA1340" s="105"/>
      <c r="AB1340" s="179"/>
      <c r="AC1340" s="105"/>
    </row>
    <row r="1341" ht="33.75" customHeight="1">
      <c r="A1341" s="65" t="s">
        <v>2261</v>
      </c>
      <c r="B1341" s="215" t="s">
        <v>2226</v>
      </c>
      <c r="C1341" s="215" t="s">
        <v>2255</v>
      </c>
      <c r="D1341" s="215" t="s">
        <v>2258</v>
      </c>
      <c r="E1341" s="215" t="s">
        <v>2259</v>
      </c>
      <c r="F1341" s="65" t="s">
        <v>2260</v>
      </c>
      <c r="G1341" s="65" t="s">
        <v>168</v>
      </c>
      <c r="H1341" s="65" t="s">
        <v>168</v>
      </c>
      <c r="I1341" s="65"/>
      <c r="J1341" s="65" t="s">
        <v>9</v>
      </c>
      <c r="K1341" s="65" t="s">
        <v>9</v>
      </c>
      <c r="L1341" s="128">
        <v>0.0</v>
      </c>
      <c r="M1341" s="180">
        <f t="shared" si="834"/>
        <v>0</v>
      </c>
      <c r="N1341" s="128">
        <v>0.0</v>
      </c>
      <c r="O1341" s="129">
        <f t="shared" ref="O1341:O1343" si="845">IF(COUNT(L1341:N1341)=0,"",(L1341+4*M1341+N1341)/6)</f>
        <v>0</v>
      </c>
      <c r="P1341" s="159"/>
      <c r="Q1341" s="208">
        <f t="shared" ref="Q1341:Q1343" si="846">IF(O1341="","",IF(P1341="",O1341,O1341*(1+P1341)))</f>
        <v>0</v>
      </c>
      <c r="R1341" s="132"/>
      <c r="S1341" s="132"/>
      <c r="T1341" s="65" t="s">
        <v>31</v>
      </c>
      <c r="U1341" s="26"/>
      <c r="V1341" s="26"/>
      <c r="W1341" s="26"/>
      <c r="X1341" s="26"/>
      <c r="Y1341" s="26"/>
      <c r="Z1341" s="26"/>
      <c r="AA1341" s="26"/>
      <c r="AB1341" s="26"/>
      <c r="AC1341" s="26"/>
    </row>
    <row r="1342" ht="33.75" customHeight="1">
      <c r="A1342" s="65" t="s">
        <v>2262</v>
      </c>
      <c r="B1342" s="215" t="s">
        <v>2226</v>
      </c>
      <c r="C1342" s="215" t="s">
        <v>2255</v>
      </c>
      <c r="D1342" s="215" t="s">
        <v>2258</v>
      </c>
      <c r="E1342" s="215" t="s">
        <v>2259</v>
      </c>
      <c r="F1342" s="65" t="s">
        <v>2260</v>
      </c>
      <c r="G1342" s="65" t="s">
        <v>168</v>
      </c>
      <c r="H1342" s="65" t="s">
        <v>168</v>
      </c>
      <c r="I1342" s="65"/>
      <c r="J1342" s="65" t="s">
        <v>9</v>
      </c>
      <c r="K1342" s="65" t="s">
        <v>9</v>
      </c>
      <c r="L1342" s="128">
        <v>0.0</v>
      </c>
      <c r="M1342" s="180">
        <f t="shared" si="834"/>
        <v>0</v>
      </c>
      <c r="N1342" s="128">
        <v>0.0</v>
      </c>
      <c r="O1342" s="129">
        <f t="shared" si="845"/>
        <v>0</v>
      </c>
      <c r="P1342" s="159"/>
      <c r="Q1342" s="208">
        <f t="shared" si="846"/>
        <v>0</v>
      </c>
      <c r="R1342" s="132"/>
      <c r="S1342" s="132"/>
      <c r="T1342" s="65" t="s">
        <v>32</v>
      </c>
      <c r="U1342" s="26"/>
      <c r="V1342" s="26"/>
      <c r="W1342" s="26"/>
      <c r="X1342" s="26"/>
      <c r="Y1342" s="26"/>
      <c r="Z1342" s="26"/>
      <c r="AA1342" s="26"/>
      <c r="AB1342" s="26"/>
      <c r="AC1342" s="26"/>
    </row>
    <row r="1343" ht="33.75" customHeight="1">
      <c r="A1343" s="65" t="s">
        <v>2263</v>
      </c>
      <c r="B1343" s="215" t="s">
        <v>2226</v>
      </c>
      <c r="C1343" s="215" t="s">
        <v>2255</v>
      </c>
      <c r="D1343" s="215" t="s">
        <v>2258</v>
      </c>
      <c r="E1343" s="215" t="s">
        <v>2259</v>
      </c>
      <c r="F1343" s="65" t="s">
        <v>2260</v>
      </c>
      <c r="G1343" s="65" t="s">
        <v>168</v>
      </c>
      <c r="H1343" s="65" t="s">
        <v>168</v>
      </c>
      <c r="I1343" s="65"/>
      <c r="J1343" s="65" t="s">
        <v>9</v>
      </c>
      <c r="K1343" s="65" t="s">
        <v>9</v>
      </c>
      <c r="L1343" s="128">
        <v>0.0</v>
      </c>
      <c r="M1343" s="180">
        <f t="shared" si="834"/>
        <v>0</v>
      </c>
      <c r="N1343" s="128">
        <v>0.0</v>
      </c>
      <c r="O1343" s="129">
        <f t="shared" si="845"/>
        <v>0</v>
      </c>
      <c r="P1343" s="159"/>
      <c r="Q1343" s="208">
        <f t="shared" si="846"/>
        <v>0</v>
      </c>
      <c r="R1343" s="132"/>
      <c r="S1343" s="132"/>
      <c r="T1343" s="65" t="s">
        <v>70</v>
      </c>
      <c r="U1343" s="26"/>
      <c r="V1343" s="26"/>
      <c r="W1343" s="26"/>
      <c r="X1343" s="26"/>
      <c r="Y1343" s="26"/>
      <c r="Z1343" s="26"/>
      <c r="AA1343" s="26"/>
      <c r="AB1343" s="26"/>
      <c r="AC1343" s="26"/>
    </row>
    <row r="1344" ht="33.75" customHeight="1">
      <c r="A1344" s="54" t="s">
        <v>2264</v>
      </c>
      <c r="B1344" s="209" t="s">
        <v>2226</v>
      </c>
      <c r="C1344" s="209" t="s">
        <v>2255</v>
      </c>
      <c r="D1344" s="209" t="s">
        <v>2265</v>
      </c>
      <c r="E1344" s="209" t="s">
        <v>2266</v>
      </c>
      <c r="F1344" s="54" t="s">
        <v>2257</v>
      </c>
      <c r="G1344" s="54" t="s">
        <v>168</v>
      </c>
      <c r="H1344" s="54" t="s">
        <v>168</v>
      </c>
      <c r="I1344" s="54"/>
      <c r="J1344" s="54" t="s">
        <v>9</v>
      </c>
      <c r="K1344" s="54" t="s">
        <v>9</v>
      </c>
      <c r="L1344" s="202">
        <f>IF(COUNT(L1345:N1347)=0,"",SUM(L1345:L1347))</f>
        <v>0</v>
      </c>
      <c r="M1344" s="174">
        <f t="shared" si="834"/>
        <v>0</v>
      </c>
      <c r="N1344" s="202">
        <f>IF(COUNT(L1345:N1347)=0,"",SUM(N1345:N1347))</f>
        <v>0</v>
      </c>
      <c r="O1344" s="202">
        <f>IF(COUNT(O1345:O1347)=0,"",SUM(O1345:O1347))</f>
        <v>0</v>
      </c>
      <c r="P1344" s="210"/>
      <c r="Q1344" s="202">
        <f>IF(COUNT(Q1345:Q1347)=0,"",SUM(Q1345:Q1347))</f>
        <v>0</v>
      </c>
      <c r="R1344" s="163"/>
      <c r="S1344" s="163"/>
      <c r="T1344" s="54" t="s">
        <v>65</v>
      </c>
      <c r="U1344" s="26"/>
      <c r="V1344" s="26"/>
      <c r="W1344" s="26"/>
      <c r="X1344" s="105"/>
      <c r="Y1344" s="105"/>
      <c r="Z1344" s="105"/>
      <c r="AA1344" s="105"/>
      <c r="AB1344" s="105"/>
      <c r="AC1344" s="105"/>
    </row>
    <row r="1345" ht="33.75" customHeight="1">
      <c r="A1345" s="65" t="s">
        <v>2267</v>
      </c>
      <c r="B1345" s="215" t="s">
        <v>2226</v>
      </c>
      <c r="C1345" s="215" t="s">
        <v>2255</v>
      </c>
      <c r="D1345" s="215" t="s">
        <v>2265</v>
      </c>
      <c r="E1345" s="215" t="s">
        <v>2266</v>
      </c>
      <c r="F1345" s="65" t="s">
        <v>2257</v>
      </c>
      <c r="G1345" s="65" t="s">
        <v>168</v>
      </c>
      <c r="H1345" s="65" t="s">
        <v>168</v>
      </c>
      <c r="I1345" s="65"/>
      <c r="J1345" s="65" t="s">
        <v>9</v>
      </c>
      <c r="K1345" s="65" t="s">
        <v>9</v>
      </c>
      <c r="L1345" s="128">
        <v>0.0</v>
      </c>
      <c r="M1345" s="180">
        <f t="shared" si="834"/>
        <v>0</v>
      </c>
      <c r="N1345" s="128">
        <v>0.0</v>
      </c>
      <c r="O1345" s="129">
        <f t="shared" ref="O1345:O1347" si="847">IF(COUNT(L1345:N1345)=0,"",(L1345+4*M1345+N1345)/6)</f>
        <v>0</v>
      </c>
      <c r="P1345" s="159"/>
      <c r="Q1345" s="208">
        <f t="shared" ref="Q1345:Q1347" si="848">IF(O1345="","",IF(P1345="",O1345,O1345*(1+P1345)))</f>
        <v>0</v>
      </c>
      <c r="R1345" s="132"/>
      <c r="S1345" s="132"/>
      <c r="T1345" s="65" t="s">
        <v>31</v>
      </c>
      <c r="U1345" s="26"/>
      <c r="V1345" s="26"/>
      <c r="W1345" s="26"/>
      <c r="X1345" s="26"/>
      <c r="Y1345" s="26"/>
      <c r="Z1345" s="26"/>
      <c r="AA1345" s="26"/>
      <c r="AB1345" s="26"/>
      <c r="AC1345" s="26"/>
    </row>
    <row r="1346" ht="33.75" customHeight="1">
      <c r="A1346" s="65" t="s">
        <v>2268</v>
      </c>
      <c r="B1346" s="215" t="s">
        <v>2226</v>
      </c>
      <c r="C1346" s="215" t="s">
        <v>2255</v>
      </c>
      <c r="D1346" s="215" t="s">
        <v>2265</v>
      </c>
      <c r="E1346" s="215" t="s">
        <v>2266</v>
      </c>
      <c r="F1346" s="65" t="s">
        <v>2257</v>
      </c>
      <c r="G1346" s="65" t="s">
        <v>168</v>
      </c>
      <c r="H1346" s="65" t="s">
        <v>168</v>
      </c>
      <c r="I1346" s="65"/>
      <c r="J1346" s="65" t="s">
        <v>9</v>
      </c>
      <c r="K1346" s="65" t="s">
        <v>9</v>
      </c>
      <c r="L1346" s="128">
        <v>0.0</v>
      </c>
      <c r="M1346" s="180">
        <f t="shared" si="834"/>
        <v>0</v>
      </c>
      <c r="N1346" s="128">
        <v>0.0</v>
      </c>
      <c r="O1346" s="129">
        <f t="shared" si="847"/>
        <v>0</v>
      </c>
      <c r="P1346" s="159"/>
      <c r="Q1346" s="208">
        <f t="shared" si="848"/>
        <v>0</v>
      </c>
      <c r="R1346" s="132"/>
      <c r="S1346" s="132"/>
      <c r="T1346" s="65" t="s">
        <v>32</v>
      </c>
      <c r="U1346" s="26"/>
      <c r="V1346" s="26"/>
      <c r="W1346" s="26"/>
      <c r="X1346" s="26"/>
      <c r="Y1346" s="26"/>
      <c r="Z1346" s="26"/>
      <c r="AA1346" s="26"/>
      <c r="AB1346" s="26"/>
      <c r="AC1346" s="26"/>
    </row>
    <row r="1347" ht="33.75" customHeight="1">
      <c r="A1347" s="65" t="s">
        <v>2269</v>
      </c>
      <c r="B1347" s="215" t="s">
        <v>2226</v>
      </c>
      <c r="C1347" s="215" t="s">
        <v>2255</v>
      </c>
      <c r="D1347" s="215" t="s">
        <v>2265</v>
      </c>
      <c r="E1347" s="215" t="s">
        <v>2266</v>
      </c>
      <c r="F1347" s="65" t="s">
        <v>2257</v>
      </c>
      <c r="G1347" s="65" t="s">
        <v>168</v>
      </c>
      <c r="H1347" s="65" t="s">
        <v>168</v>
      </c>
      <c r="I1347" s="65"/>
      <c r="J1347" s="65" t="s">
        <v>9</v>
      </c>
      <c r="K1347" s="65" t="s">
        <v>9</v>
      </c>
      <c r="L1347" s="128">
        <v>0.0</v>
      </c>
      <c r="M1347" s="180">
        <f t="shared" si="834"/>
        <v>0</v>
      </c>
      <c r="N1347" s="128">
        <v>0.0</v>
      </c>
      <c r="O1347" s="129">
        <f t="shared" si="847"/>
        <v>0</v>
      </c>
      <c r="P1347" s="159"/>
      <c r="Q1347" s="208">
        <f t="shared" si="848"/>
        <v>0</v>
      </c>
      <c r="R1347" s="132"/>
      <c r="S1347" s="132"/>
      <c r="T1347" s="65" t="s">
        <v>70</v>
      </c>
      <c r="U1347" s="26"/>
      <c r="V1347" s="26"/>
      <c r="W1347" s="26"/>
      <c r="X1347" s="26"/>
      <c r="Y1347" s="26"/>
      <c r="Z1347" s="26"/>
      <c r="AA1347" s="26"/>
      <c r="AB1347" s="26"/>
      <c r="AC1347" s="26"/>
    </row>
    <row r="1348" ht="33.75" customHeight="1">
      <c r="A1348" s="98" t="s">
        <v>2270</v>
      </c>
      <c r="B1348" s="99" t="s">
        <v>2226</v>
      </c>
      <c r="C1348" s="99" t="s">
        <v>2255</v>
      </c>
      <c r="D1348" s="99" t="s">
        <v>2271</v>
      </c>
      <c r="E1348" s="99" t="s">
        <v>2272</v>
      </c>
      <c r="F1348" s="98" t="s">
        <v>2257</v>
      </c>
      <c r="G1348" s="98" t="s">
        <v>168</v>
      </c>
      <c r="H1348" s="98" t="s">
        <v>168</v>
      </c>
      <c r="I1348" s="98"/>
      <c r="J1348" s="98" t="s">
        <v>12</v>
      </c>
      <c r="K1348" s="100" t="s">
        <v>12</v>
      </c>
      <c r="L1348" s="101">
        <f>IF(COUNT(L1349:N1351)=0,"",SUM(L1349:L1351))</f>
        <v>0</v>
      </c>
      <c r="M1348" s="102">
        <f t="shared" si="834"/>
        <v>0</v>
      </c>
      <c r="N1348" s="101">
        <f>IF(COUNT(L1349:N1351)=0,"",SUM(N1349:N1351))</f>
        <v>0</v>
      </c>
      <c r="O1348" s="101">
        <f>IF(COUNT(O1349:O1351)=0,"",SUM(O1349:O1351))</f>
        <v>0</v>
      </c>
      <c r="P1348" s="103"/>
      <c r="Q1348" s="101">
        <f>IF(COUNT(Q1349:Q1351)=0,"",SUM(Q1349:Q1351))</f>
        <v>0</v>
      </c>
      <c r="R1348" s="104"/>
      <c r="S1348" s="104"/>
      <c r="T1348" s="98" t="s">
        <v>65</v>
      </c>
      <c r="U1348" s="26"/>
      <c r="V1348" s="26"/>
      <c r="W1348" s="26"/>
      <c r="X1348" s="105"/>
      <c r="Y1348" s="105"/>
      <c r="Z1348" s="105"/>
      <c r="AA1348" s="105"/>
      <c r="AB1348" s="105"/>
      <c r="AC1348" s="105"/>
    </row>
    <row r="1349" ht="33.75" customHeight="1">
      <c r="A1349" s="106" t="s">
        <v>2273</v>
      </c>
      <c r="B1349" s="107" t="s">
        <v>2226</v>
      </c>
      <c r="C1349" s="107" t="s">
        <v>2255</v>
      </c>
      <c r="D1349" s="107" t="s">
        <v>2271</v>
      </c>
      <c r="E1349" s="107" t="s">
        <v>2272</v>
      </c>
      <c r="F1349" s="106" t="s">
        <v>2257</v>
      </c>
      <c r="G1349" s="106" t="s">
        <v>168</v>
      </c>
      <c r="H1349" s="106" t="s">
        <v>168</v>
      </c>
      <c r="I1349" s="106"/>
      <c r="J1349" s="106" t="s">
        <v>12</v>
      </c>
      <c r="K1349" s="108" t="s">
        <v>12</v>
      </c>
      <c r="L1349" s="109"/>
      <c r="M1349" s="109">
        <f t="shared" si="834"/>
        <v>0</v>
      </c>
      <c r="N1349" s="109"/>
      <c r="O1349" s="109">
        <f t="shared" ref="O1349:O1351" si="849">IF(COUNT(L1349:N1349)=0,"",(L1349+4*M1349+N1349)/6)</f>
        <v>0</v>
      </c>
      <c r="P1349" s="110"/>
      <c r="Q1349" s="109">
        <f t="shared" ref="Q1349:Q1351" si="850">IF(O1349="","",IF(P1349="",O1349,O1349*(1+P1349)))</f>
        <v>0</v>
      </c>
      <c r="R1349" s="111"/>
      <c r="S1349" s="111"/>
      <c r="T1349" s="106" t="s">
        <v>31</v>
      </c>
      <c r="U1349" s="26"/>
      <c r="V1349" s="26"/>
      <c r="W1349" s="26"/>
      <c r="X1349" s="26"/>
      <c r="Y1349" s="26"/>
      <c r="Z1349" s="26"/>
      <c r="AA1349" s="26"/>
      <c r="AB1349" s="26"/>
      <c r="AC1349" s="26"/>
    </row>
    <row r="1350" ht="33.75" customHeight="1">
      <c r="A1350" s="106" t="s">
        <v>2274</v>
      </c>
      <c r="B1350" s="107" t="s">
        <v>2226</v>
      </c>
      <c r="C1350" s="107" t="s">
        <v>2255</v>
      </c>
      <c r="D1350" s="107" t="s">
        <v>2271</v>
      </c>
      <c r="E1350" s="107" t="s">
        <v>2272</v>
      </c>
      <c r="F1350" s="106" t="s">
        <v>2257</v>
      </c>
      <c r="G1350" s="106" t="s">
        <v>168</v>
      </c>
      <c r="H1350" s="106" t="s">
        <v>168</v>
      </c>
      <c r="I1350" s="106"/>
      <c r="J1350" s="106" t="s">
        <v>12</v>
      </c>
      <c r="K1350" s="108" t="s">
        <v>12</v>
      </c>
      <c r="L1350" s="109"/>
      <c r="M1350" s="109">
        <f t="shared" si="834"/>
        <v>0</v>
      </c>
      <c r="N1350" s="109"/>
      <c r="O1350" s="109">
        <f t="shared" si="849"/>
        <v>0</v>
      </c>
      <c r="P1350" s="110"/>
      <c r="Q1350" s="109">
        <f t="shared" si="850"/>
        <v>0</v>
      </c>
      <c r="R1350" s="111"/>
      <c r="S1350" s="111"/>
      <c r="T1350" s="106" t="s">
        <v>32</v>
      </c>
      <c r="U1350" s="26"/>
      <c r="V1350" s="26"/>
      <c r="W1350" s="26"/>
      <c r="X1350" s="26"/>
      <c r="Y1350" s="26"/>
      <c r="Z1350" s="26"/>
      <c r="AA1350" s="26"/>
      <c r="AB1350" s="26"/>
      <c r="AC1350" s="26"/>
    </row>
    <row r="1351" ht="33.75" customHeight="1">
      <c r="A1351" s="106" t="s">
        <v>2275</v>
      </c>
      <c r="B1351" s="107" t="s">
        <v>2226</v>
      </c>
      <c r="C1351" s="107" t="s">
        <v>2255</v>
      </c>
      <c r="D1351" s="107" t="s">
        <v>2271</v>
      </c>
      <c r="E1351" s="107" t="s">
        <v>2272</v>
      </c>
      <c r="F1351" s="106" t="s">
        <v>2257</v>
      </c>
      <c r="G1351" s="106" t="s">
        <v>168</v>
      </c>
      <c r="H1351" s="106" t="s">
        <v>168</v>
      </c>
      <c r="I1351" s="106"/>
      <c r="J1351" s="106" t="s">
        <v>12</v>
      </c>
      <c r="K1351" s="108" t="s">
        <v>12</v>
      </c>
      <c r="L1351" s="109"/>
      <c r="M1351" s="109">
        <f t="shared" si="834"/>
        <v>0</v>
      </c>
      <c r="N1351" s="109"/>
      <c r="O1351" s="109">
        <f t="shared" si="849"/>
        <v>0</v>
      </c>
      <c r="P1351" s="110"/>
      <c r="Q1351" s="109">
        <f t="shared" si="850"/>
        <v>0</v>
      </c>
      <c r="R1351" s="111"/>
      <c r="S1351" s="111"/>
      <c r="T1351" s="106" t="s">
        <v>70</v>
      </c>
      <c r="U1351" s="26"/>
      <c r="V1351" s="26"/>
      <c r="W1351" s="26"/>
      <c r="X1351" s="26"/>
      <c r="Y1351" s="26"/>
      <c r="Z1351" s="26"/>
      <c r="AA1351" s="26"/>
      <c r="AB1351" s="26"/>
      <c r="AC1351" s="26"/>
    </row>
    <row r="1352" ht="33.75" customHeight="1">
      <c r="A1352" s="98" t="s">
        <v>2276</v>
      </c>
      <c r="B1352" s="99" t="s">
        <v>2226</v>
      </c>
      <c r="C1352" s="99" t="s">
        <v>2255</v>
      </c>
      <c r="D1352" s="99" t="s">
        <v>2277</v>
      </c>
      <c r="E1352" s="99" t="s">
        <v>2278</v>
      </c>
      <c r="F1352" s="98" t="s">
        <v>2257</v>
      </c>
      <c r="G1352" s="98" t="s">
        <v>168</v>
      </c>
      <c r="H1352" s="98" t="s">
        <v>168</v>
      </c>
      <c r="I1352" s="98"/>
      <c r="J1352" s="98" t="s">
        <v>12</v>
      </c>
      <c r="K1352" s="100" t="s">
        <v>12</v>
      </c>
      <c r="L1352" s="101">
        <f>IF(COUNT(L1353:N1355)=0,"",SUM(L1353:L1355))</f>
        <v>0</v>
      </c>
      <c r="M1352" s="102">
        <f t="shared" si="834"/>
        <v>0</v>
      </c>
      <c r="N1352" s="101">
        <f>IF(COUNT(L1353:N1355)=0,"",SUM(N1353:N1355))</f>
        <v>0</v>
      </c>
      <c r="O1352" s="101">
        <f>IF(COUNT(O1353:O1355)=0,"",SUM(O1353:O1355))</f>
        <v>0</v>
      </c>
      <c r="P1352" s="103"/>
      <c r="Q1352" s="101">
        <f>IF(COUNT(Q1353:Q1355)=0,"",SUM(Q1353:Q1355))</f>
        <v>0</v>
      </c>
      <c r="R1352" s="104"/>
      <c r="S1352" s="104"/>
      <c r="T1352" s="98" t="s">
        <v>65</v>
      </c>
      <c r="U1352" s="26"/>
      <c r="V1352" s="26"/>
      <c r="W1352" s="26"/>
      <c r="X1352" s="105"/>
      <c r="Y1352" s="105"/>
      <c r="Z1352" s="105"/>
      <c r="AA1352" s="105"/>
      <c r="AB1352" s="105"/>
      <c r="AC1352" s="105"/>
    </row>
    <row r="1353" ht="33.75" customHeight="1">
      <c r="A1353" s="106" t="s">
        <v>2279</v>
      </c>
      <c r="B1353" s="107" t="s">
        <v>2226</v>
      </c>
      <c r="C1353" s="107" t="s">
        <v>2255</v>
      </c>
      <c r="D1353" s="107" t="s">
        <v>2277</v>
      </c>
      <c r="E1353" s="107" t="s">
        <v>2278</v>
      </c>
      <c r="F1353" s="106" t="s">
        <v>2257</v>
      </c>
      <c r="G1353" s="106" t="s">
        <v>168</v>
      </c>
      <c r="H1353" s="106" t="s">
        <v>168</v>
      </c>
      <c r="I1353" s="106"/>
      <c r="J1353" s="106" t="s">
        <v>12</v>
      </c>
      <c r="K1353" s="108" t="s">
        <v>12</v>
      </c>
      <c r="L1353" s="109"/>
      <c r="M1353" s="109">
        <f t="shared" si="834"/>
        <v>0</v>
      </c>
      <c r="N1353" s="109"/>
      <c r="O1353" s="109">
        <f t="shared" ref="O1353:O1355" si="851">IF(COUNT(L1353:N1353)=0,"",(L1353+4*M1353+N1353)/6)</f>
        <v>0</v>
      </c>
      <c r="P1353" s="110"/>
      <c r="Q1353" s="109">
        <f t="shared" ref="Q1353:Q1355" si="852">IF(O1353="","",IF(P1353="",O1353,O1353*(1+P1353)))</f>
        <v>0</v>
      </c>
      <c r="R1353" s="111"/>
      <c r="S1353" s="111"/>
      <c r="T1353" s="106" t="s">
        <v>31</v>
      </c>
      <c r="U1353" s="26"/>
      <c r="V1353" s="26"/>
      <c r="W1353" s="26"/>
      <c r="X1353" s="26"/>
      <c r="Y1353" s="26"/>
      <c r="Z1353" s="26"/>
      <c r="AA1353" s="26"/>
      <c r="AB1353" s="26"/>
      <c r="AC1353" s="26"/>
    </row>
    <row r="1354" ht="33.75" customHeight="1">
      <c r="A1354" s="106" t="s">
        <v>2280</v>
      </c>
      <c r="B1354" s="107" t="s">
        <v>2226</v>
      </c>
      <c r="C1354" s="107" t="s">
        <v>2255</v>
      </c>
      <c r="D1354" s="107" t="s">
        <v>2277</v>
      </c>
      <c r="E1354" s="107" t="s">
        <v>2278</v>
      </c>
      <c r="F1354" s="106" t="s">
        <v>2257</v>
      </c>
      <c r="G1354" s="106" t="s">
        <v>168</v>
      </c>
      <c r="H1354" s="106" t="s">
        <v>168</v>
      </c>
      <c r="I1354" s="106"/>
      <c r="J1354" s="106" t="s">
        <v>12</v>
      </c>
      <c r="K1354" s="108" t="s">
        <v>12</v>
      </c>
      <c r="L1354" s="109"/>
      <c r="M1354" s="109">
        <f t="shared" si="834"/>
        <v>0</v>
      </c>
      <c r="N1354" s="109"/>
      <c r="O1354" s="109">
        <f t="shared" si="851"/>
        <v>0</v>
      </c>
      <c r="P1354" s="110"/>
      <c r="Q1354" s="109">
        <f t="shared" si="852"/>
        <v>0</v>
      </c>
      <c r="R1354" s="111"/>
      <c r="S1354" s="111"/>
      <c r="T1354" s="106" t="s">
        <v>32</v>
      </c>
      <c r="U1354" s="26"/>
      <c r="V1354" s="26"/>
      <c r="W1354" s="26"/>
      <c r="X1354" s="26"/>
      <c r="Y1354" s="26"/>
      <c r="Z1354" s="26"/>
      <c r="AA1354" s="26"/>
      <c r="AB1354" s="26"/>
      <c r="AC1354" s="26"/>
    </row>
    <row r="1355" ht="33.75" customHeight="1">
      <c r="A1355" s="106" t="s">
        <v>2281</v>
      </c>
      <c r="B1355" s="107" t="s">
        <v>2226</v>
      </c>
      <c r="C1355" s="107" t="s">
        <v>2255</v>
      </c>
      <c r="D1355" s="107" t="s">
        <v>2277</v>
      </c>
      <c r="E1355" s="107" t="s">
        <v>2278</v>
      </c>
      <c r="F1355" s="106" t="s">
        <v>2257</v>
      </c>
      <c r="G1355" s="106" t="s">
        <v>168</v>
      </c>
      <c r="H1355" s="106" t="s">
        <v>168</v>
      </c>
      <c r="I1355" s="106"/>
      <c r="J1355" s="106" t="s">
        <v>12</v>
      </c>
      <c r="K1355" s="108" t="s">
        <v>12</v>
      </c>
      <c r="L1355" s="109"/>
      <c r="M1355" s="109">
        <f t="shared" si="834"/>
        <v>0</v>
      </c>
      <c r="N1355" s="109"/>
      <c r="O1355" s="109">
        <f t="shared" si="851"/>
        <v>0</v>
      </c>
      <c r="P1355" s="110"/>
      <c r="Q1355" s="109">
        <f t="shared" si="852"/>
        <v>0</v>
      </c>
      <c r="R1355" s="111"/>
      <c r="S1355" s="111"/>
      <c r="T1355" s="106" t="s">
        <v>70</v>
      </c>
      <c r="U1355" s="26"/>
      <c r="V1355" s="26"/>
      <c r="W1355" s="26"/>
      <c r="X1355" s="26"/>
      <c r="Y1355" s="26"/>
      <c r="Z1355" s="26"/>
      <c r="AA1355" s="26"/>
      <c r="AB1355" s="26"/>
      <c r="AC1355" s="26"/>
    </row>
    <row r="1356" ht="33.75" customHeight="1">
      <c r="A1356" s="45" t="s">
        <v>2282</v>
      </c>
      <c r="B1356" s="212" t="s">
        <v>2226</v>
      </c>
      <c r="C1356" s="212" t="s">
        <v>2283</v>
      </c>
      <c r="D1356" s="212" t="s">
        <v>2283</v>
      </c>
      <c r="E1356" s="212" t="s">
        <v>2284</v>
      </c>
      <c r="F1356" s="45"/>
      <c r="G1356" s="45"/>
      <c r="H1356" s="45"/>
      <c r="I1356" s="45"/>
      <c r="J1356" s="45"/>
      <c r="K1356" s="123"/>
      <c r="L1356" s="213">
        <f>IF(COUNT(L1357,L1361,L1365,L1369,L1373)=0,"",SUM(L1357,L1361,L1365,L1369,L1373))</f>
        <v>1.75</v>
      </c>
      <c r="M1356" s="213">
        <f t="shared" si="834"/>
        <v>3.125</v>
      </c>
      <c r="N1356" s="213">
        <f t="shared" ref="N1356:O1356" si="853">IF(COUNT(N1357,N1361,N1365,N1369,N1373)=0,"",SUM(N1357,N1361,N1365,N1369,N1373))</f>
        <v>4.5</v>
      </c>
      <c r="O1356" s="213">
        <f t="shared" si="853"/>
        <v>3.125</v>
      </c>
      <c r="P1356" s="214"/>
      <c r="Q1356" s="213">
        <f>IF(COUNT(Q1357,Q1361,Q1365,Q1369,Q1373)=0,"",SUM(Q1357,Q1361,Q1365,Q1369,Q1373))</f>
        <v>3.125</v>
      </c>
      <c r="R1356" s="126"/>
      <c r="S1356" s="126"/>
      <c r="T1356" s="45" t="s">
        <v>62</v>
      </c>
      <c r="U1356" s="26"/>
      <c r="V1356" s="26"/>
      <c r="W1356" s="26"/>
      <c r="X1356" s="46">
        <f t="shared" ref="X1356:AA1356" si="854">L1356</f>
        <v>1.75</v>
      </c>
      <c r="Y1356" s="46">
        <f t="shared" si="854"/>
        <v>3.125</v>
      </c>
      <c r="Z1356" s="46">
        <f t="shared" si="854"/>
        <v>4.5</v>
      </c>
      <c r="AA1356" s="46">
        <f t="shared" si="854"/>
        <v>3.125</v>
      </c>
      <c r="AB1356" s="26"/>
      <c r="AC1356" s="46">
        <f>Q1356</f>
        <v>3.125</v>
      </c>
    </row>
    <row r="1357" ht="33.75" customHeight="1">
      <c r="A1357" s="54" t="s">
        <v>2285</v>
      </c>
      <c r="B1357" s="209" t="s">
        <v>2226</v>
      </c>
      <c r="C1357" s="209" t="s">
        <v>2283</v>
      </c>
      <c r="D1357" s="209" t="s">
        <v>2286</v>
      </c>
      <c r="E1357" s="209" t="s">
        <v>2287</v>
      </c>
      <c r="F1357" s="54" t="s">
        <v>2260</v>
      </c>
      <c r="G1357" s="54" t="s">
        <v>168</v>
      </c>
      <c r="H1357" s="54" t="s">
        <v>168</v>
      </c>
      <c r="I1357" s="54"/>
      <c r="J1357" s="54" t="s">
        <v>9</v>
      </c>
      <c r="K1357" s="119" t="s">
        <v>9</v>
      </c>
      <c r="L1357" s="202">
        <f>IF(COUNT(L1358:N1360)=0,"",SUM(L1358:L1360))</f>
        <v>0</v>
      </c>
      <c r="M1357" s="174">
        <f t="shared" si="834"/>
        <v>0</v>
      </c>
      <c r="N1357" s="202">
        <f>IF(COUNT(L1358:N1360)=0,"",SUM(N1358:N1360))</f>
        <v>0</v>
      </c>
      <c r="O1357" s="202">
        <f>IF(COUNT(O1358:O1360)=0,"",SUM(O1358:O1360))</f>
        <v>0</v>
      </c>
      <c r="P1357" s="210"/>
      <c r="Q1357" s="202">
        <f>IF(COUNT(Q1358:Q1360)=0,"",SUM(Q1358:Q1360))</f>
        <v>0</v>
      </c>
      <c r="R1357" s="163"/>
      <c r="S1357" s="163"/>
      <c r="T1357" s="54" t="s">
        <v>65</v>
      </c>
      <c r="U1357" s="179"/>
      <c r="V1357" s="179"/>
      <c r="W1357" s="179"/>
      <c r="X1357" s="105"/>
      <c r="Y1357" s="105"/>
      <c r="Z1357" s="105"/>
      <c r="AA1357" s="105"/>
      <c r="AB1357" s="179"/>
      <c r="AC1357" s="105"/>
    </row>
    <row r="1358" ht="33.75" customHeight="1">
      <c r="A1358" s="65" t="s">
        <v>2288</v>
      </c>
      <c r="B1358" s="215" t="s">
        <v>2226</v>
      </c>
      <c r="C1358" s="215" t="s">
        <v>2283</v>
      </c>
      <c r="D1358" s="215" t="s">
        <v>2286</v>
      </c>
      <c r="E1358" s="215" t="s">
        <v>2287</v>
      </c>
      <c r="F1358" s="65" t="s">
        <v>2260</v>
      </c>
      <c r="G1358" s="65" t="s">
        <v>168</v>
      </c>
      <c r="H1358" s="65" t="s">
        <v>168</v>
      </c>
      <c r="I1358" s="65"/>
      <c r="J1358" s="65" t="s">
        <v>9</v>
      </c>
      <c r="K1358" s="65" t="s">
        <v>9</v>
      </c>
      <c r="L1358" s="128">
        <v>0.0</v>
      </c>
      <c r="M1358" s="180">
        <f t="shared" si="834"/>
        <v>0</v>
      </c>
      <c r="N1358" s="128">
        <v>0.0</v>
      </c>
      <c r="O1358" s="129">
        <f t="shared" ref="O1358:O1360" si="855">IF(COUNT(L1358:N1358)=0,"",(L1358+4*M1358+N1358)/6)</f>
        <v>0</v>
      </c>
      <c r="P1358" s="159"/>
      <c r="Q1358" s="208">
        <f t="shared" ref="Q1358:Q1360" si="856">IF(O1358="","",IF(P1358="",O1358,O1358*(1+P1358)))</f>
        <v>0</v>
      </c>
      <c r="R1358" s="132"/>
      <c r="S1358" s="132"/>
      <c r="T1358" s="65" t="s">
        <v>31</v>
      </c>
      <c r="U1358" s="26"/>
      <c r="V1358" s="26"/>
      <c r="W1358" s="26"/>
      <c r="X1358" s="26"/>
      <c r="Y1358" s="26"/>
      <c r="Z1358" s="26"/>
      <c r="AA1358" s="26"/>
      <c r="AB1358" s="26"/>
      <c r="AC1358" s="26"/>
    </row>
    <row r="1359" ht="33.75" customHeight="1">
      <c r="A1359" s="65" t="s">
        <v>2289</v>
      </c>
      <c r="B1359" s="215" t="s">
        <v>2226</v>
      </c>
      <c r="C1359" s="215" t="s">
        <v>2283</v>
      </c>
      <c r="D1359" s="215" t="s">
        <v>2286</v>
      </c>
      <c r="E1359" s="215" t="s">
        <v>2287</v>
      </c>
      <c r="F1359" s="65" t="s">
        <v>2260</v>
      </c>
      <c r="G1359" s="65" t="s">
        <v>168</v>
      </c>
      <c r="H1359" s="65" t="s">
        <v>168</v>
      </c>
      <c r="I1359" s="65"/>
      <c r="J1359" s="65" t="s">
        <v>9</v>
      </c>
      <c r="K1359" s="65" t="s">
        <v>9</v>
      </c>
      <c r="L1359" s="128">
        <v>0.0</v>
      </c>
      <c r="M1359" s="180">
        <f t="shared" si="834"/>
        <v>0</v>
      </c>
      <c r="N1359" s="128">
        <v>0.0</v>
      </c>
      <c r="O1359" s="129">
        <f t="shared" si="855"/>
        <v>0</v>
      </c>
      <c r="P1359" s="159"/>
      <c r="Q1359" s="208">
        <f t="shared" si="856"/>
        <v>0</v>
      </c>
      <c r="R1359" s="132"/>
      <c r="S1359" s="132"/>
      <c r="T1359" s="65" t="s">
        <v>32</v>
      </c>
      <c r="U1359" s="26"/>
      <c r="V1359" s="26"/>
      <c r="W1359" s="26"/>
      <c r="X1359" s="26"/>
      <c r="Y1359" s="26"/>
      <c r="Z1359" s="26"/>
      <c r="AA1359" s="26"/>
      <c r="AB1359" s="26"/>
      <c r="AC1359" s="26"/>
    </row>
    <row r="1360" ht="33.75" customHeight="1">
      <c r="A1360" s="65" t="s">
        <v>2290</v>
      </c>
      <c r="B1360" s="215" t="s">
        <v>2226</v>
      </c>
      <c r="C1360" s="215" t="s">
        <v>2283</v>
      </c>
      <c r="D1360" s="215" t="s">
        <v>2286</v>
      </c>
      <c r="E1360" s="215" t="s">
        <v>2287</v>
      </c>
      <c r="F1360" s="65" t="s">
        <v>2260</v>
      </c>
      <c r="G1360" s="65" t="s">
        <v>168</v>
      </c>
      <c r="H1360" s="65" t="s">
        <v>168</v>
      </c>
      <c r="I1360" s="65"/>
      <c r="J1360" s="65" t="s">
        <v>9</v>
      </c>
      <c r="K1360" s="65" t="s">
        <v>9</v>
      </c>
      <c r="L1360" s="128">
        <v>0.0</v>
      </c>
      <c r="M1360" s="180">
        <f t="shared" si="834"/>
        <v>0</v>
      </c>
      <c r="N1360" s="128">
        <v>0.0</v>
      </c>
      <c r="O1360" s="129">
        <f t="shared" si="855"/>
        <v>0</v>
      </c>
      <c r="P1360" s="159"/>
      <c r="Q1360" s="208">
        <f t="shared" si="856"/>
        <v>0</v>
      </c>
      <c r="R1360" s="132"/>
      <c r="S1360" s="132"/>
      <c r="T1360" s="65" t="s">
        <v>70</v>
      </c>
      <c r="U1360" s="26"/>
      <c r="V1360" s="26"/>
      <c r="W1360" s="26"/>
      <c r="X1360" s="26"/>
      <c r="Y1360" s="26"/>
      <c r="Z1360" s="26"/>
      <c r="AA1360" s="26"/>
      <c r="AB1360" s="26"/>
      <c r="AC1360" s="26"/>
    </row>
    <row r="1361" ht="33.75" customHeight="1">
      <c r="A1361" s="54" t="s">
        <v>2291</v>
      </c>
      <c r="B1361" s="209" t="s">
        <v>2226</v>
      </c>
      <c r="C1361" s="209" t="s">
        <v>2283</v>
      </c>
      <c r="D1361" s="209" t="s">
        <v>2292</v>
      </c>
      <c r="E1361" s="209" t="s">
        <v>2293</v>
      </c>
      <c r="F1361" s="54" t="s">
        <v>2294</v>
      </c>
      <c r="G1361" s="54" t="s">
        <v>168</v>
      </c>
      <c r="H1361" s="54" t="s">
        <v>168</v>
      </c>
      <c r="I1361" s="54"/>
      <c r="J1361" s="54" t="s">
        <v>9</v>
      </c>
      <c r="K1361" s="54" t="s">
        <v>9</v>
      </c>
      <c r="L1361" s="202">
        <f>IF(COUNT(L1362:N1364)=0,"",SUM(L1362:L1364))</f>
        <v>0</v>
      </c>
      <c r="M1361" s="174">
        <f t="shared" si="834"/>
        <v>0</v>
      </c>
      <c r="N1361" s="202">
        <f>IF(COUNT(L1362:N1364)=0,"",SUM(N1362:N1364))</f>
        <v>0</v>
      </c>
      <c r="O1361" s="202">
        <f>IF(COUNT(O1362:O1364)=0,"",SUM(O1362:O1364))</f>
        <v>0</v>
      </c>
      <c r="P1361" s="210"/>
      <c r="Q1361" s="202">
        <f>IF(COUNT(Q1362:Q1364)=0,"",SUM(Q1362:Q1364))</f>
        <v>0</v>
      </c>
      <c r="R1361" s="163"/>
      <c r="S1361" s="163"/>
      <c r="T1361" s="54" t="s">
        <v>65</v>
      </c>
      <c r="U1361" s="26"/>
      <c r="V1361" s="26"/>
      <c r="W1361" s="26"/>
      <c r="X1361" s="105"/>
      <c r="Y1361" s="105"/>
      <c r="Z1361" s="105"/>
      <c r="AA1361" s="105"/>
      <c r="AB1361" s="105"/>
      <c r="AC1361" s="105"/>
    </row>
    <row r="1362" ht="33.75" customHeight="1">
      <c r="A1362" s="65" t="s">
        <v>2295</v>
      </c>
      <c r="B1362" s="215" t="s">
        <v>2226</v>
      </c>
      <c r="C1362" s="215" t="s">
        <v>2283</v>
      </c>
      <c r="D1362" s="215" t="s">
        <v>2292</v>
      </c>
      <c r="E1362" s="215" t="s">
        <v>2293</v>
      </c>
      <c r="F1362" s="65" t="s">
        <v>2294</v>
      </c>
      <c r="G1362" s="65" t="s">
        <v>168</v>
      </c>
      <c r="H1362" s="65" t="s">
        <v>168</v>
      </c>
      <c r="I1362" s="65"/>
      <c r="J1362" s="65" t="s">
        <v>9</v>
      </c>
      <c r="K1362" s="65" t="s">
        <v>9</v>
      </c>
      <c r="L1362" s="128">
        <v>0.0</v>
      </c>
      <c r="M1362" s="180">
        <f t="shared" si="834"/>
        <v>0</v>
      </c>
      <c r="N1362" s="128">
        <v>0.0</v>
      </c>
      <c r="O1362" s="129">
        <f t="shared" ref="O1362:O1364" si="857">IF(COUNT(L1362:N1362)=0,"",(L1362+4*M1362+N1362)/6)</f>
        <v>0</v>
      </c>
      <c r="P1362" s="159"/>
      <c r="Q1362" s="208">
        <f t="shared" ref="Q1362:Q1364" si="858">IF(O1362="","",IF(P1362="",O1362,O1362*(1+P1362)))</f>
        <v>0</v>
      </c>
      <c r="R1362" s="132"/>
      <c r="S1362" s="132"/>
      <c r="T1362" s="65" t="s">
        <v>31</v>
      </c>
      <c r="U1362" s="26"/>
      <c r="V1362" s="26"/>
      <c r="W1362" s="26"/>
      <c r="X1362" s="26"/>
      <c r="Y1362" s="26"/>
      <c r="Z1362" s="26"/>
      <c r="AA1362" s="26"/>
      <c r="AB1362" s="26"/>
      <c r="AC1362" s="26"/>
    </row>
    <row r="1363" ht="33.75" customHeight="1">
      <c r="A1363" s="65" t="s">
        <v>2296</v>
      </c>
      <c r="B1363" s="215" t="s">
        <v>2226</v>
      </c>
      <c r="C1363" s="215" t="s">
        <v>2283</v>
      </c>
      <c r="D1363" s="215" t="s">
        <v>2292</v>
      </c>
      <c r="E1363" s="215" t="s">
        <v>2293</v>
      </c>
      <c r="F1363" s="65" t="s">
        <v>2294</v>
      </c>
      <c r="G1363" s="65" t="s">
        <v>168</v>
      </c>
      <c r="H1363" s="65" t="s">
        <v>168</v>
      </c>
      <c r="I1363" s="65"/>
      <c r="J1363" s="65" t="s">
        <v>9</v>
      </c>
      <c r="K1363" s="65" t="s">
        <v>9</v>
      </c>
      <c r="L1363" s="128">
        <v>0.0</v>
      </c>
      <c r="M1363" s="180">
        <f t="shared" si="834"/>
        <v>0</v>
      </c>
      <c r="N1363" s="128">
        <v>0.0</v>
      </c>
      <c r="O1363" s="129">
        <f t="shared" si="857"/>
        <v>0</v>
      </c>
      <c r="P1363" s="159"/>
      <c r="Q1363" s="208">
        <f t="shared" si="858"/>
        <v>0</v>
      </c>
      <c r="R1363" s="132"/>
      <c r="S1363" s="132"/>
      <c r="T1363" s="65" t="s">
        <v>32</v>
      </c>
      <c r="U1363" s="26"/>
      <c r="V1363" s="26"/>
      <c r="W1363" s="26"/>
      <c r="X1363" s="26"/>
      <c r="Y1363" s="26"/>
      <c r="Z1363" s="26"/>
      <c r="AA1363" s="26"/>
      <c r="AB1363" s="26"/>
      <c r="AC1363" s="26"/>
    </row>
    <row r="1364" ht="33.75" customHeight="1">
      <c r="A1364" s="65" t="s">
        <v>2297</v>
      </c>
      <c r="B1364" s="215" t="s">
        <v>2226</v>
      </c>
      <c r="C1364" s="215" t="s">
        <v>2283</v>
      </c>
      <c r="D1364" s="215" t="s">
        <v>2292</v>
      </c>
      <c r="E1364" s="215" t="s">
        <v>2293</v>
      </c>
      <c r="F1364" s="65" t="s">
        <v>2294</v>
      </c>
      <c r="G1364" s="65" t="s">
        <v>168</v>
      </c>
      <c r="H1364" s="65" t="s">
        <v>168</v>
      </c>
      <c r="I1364" s="65"/>
      <c r="J1364" s="65" t="s">
        <v>9</v>
      </c>
      <c r="K1364" s="65" t="s">
        <v>9</v>
      </c>
      <c r="L1364" s="128">
        <v>0.0</v>
      </c>
      <c r="M1364" s="180">
        <f t="shared" si="834"/>
        <v>0</v>
      </c>
      <c r="N1364" s="128">
        <v>0.0</v>
      </c>
      <c r="O1364" s="129">
        <f t="shared" si="857"/>
        <v>0</v>
      </c>
      <c r="P1364" s="159"/>
      <c r="Q1364" s="208">
        <f t="shared" si="858"/>
        <v>0</v>
      </c>
      <c r="R1364" s="132"/>
      <c r="S1364" s="132"/>
      <c r="T1364" s="65" t="s">
        <v>70</v>
      </c>
      <c r="U1364" s="26"/>
      <c r="V1364" s="26"/>
      <c r="W1364" s="26"/>
      <c r="X1364" s="26"/>
      <c r="Y1364" s="26"/>
      <c r="Z1364" s="26"/>
      <c r="AA1364" s="26"/>
      <c r="AB1364" s="26"/>
      <c r="AC1364" s="26"/>
    </row>
    <row r="1365" ht="33.75" customHeight="1">
      <c r="A1365" s="54" t="s">
        <v>2298</v>
      </c>
      <c r="B1365" s="209" t="s">
        <v>2226</v>
      </c>
      <c r="C1365" s="209" t="s">
        <v>2283</v>
      </c>
      <c r="D1365" s="209" t="s">
        <v>2299</v>
      </c>
      <c r="E1365" s="209" t="s">
        <v>2300</v>
      </c>
      <c r="F1365" s="54" t="s">
        <v>2301</v>
      </c>
      <c r="G1365" s="54" t="s">
        <v>168</v>
      </c>
      <c r="H1365" s="54" t="s">
        <v>168</v>
      </c>
      <c r="I1365" s="54"/>
      <c r="J1365" s="54" t="s">
        <v>9</v>
      </c>
      <c r="K1365" s="54" t="s">
        <v>9</v>
      </c>
      <c r="L1365" s="202">
        <f>IF(COUNT(L1366:N1368)=0,"",SUM(L1366:L1368))</f>
        <v>0.25</v>
      </c>
      <c r="M1365" s="174">
        <f t="shared" si="834"/>
        <v>0.375</v>
      </c>
      <c r="N1365" s="202">
        <f>IF(COUNT(L1366:N1368)=0,"",SUM(N1366:N1368))</f>
        <v>0.5</v>
      </c>
      <c r="O1365" s="202">
        <f>IF(COUNT(O1366:O1368)=0,"",SUM(O1366:O1368))</f>
        <v>0.375</v>
      </c>
      <c r="P1365" s="210"/>
      <c r="Q1365" s="202">
        <f>IF(COUNT(Q1366:Q1368)=0,"",SUM(Q1366:Q1368))</f>
        <v>0.375</v>
      </c>
      <c r="R1365" s="163"/>
      <c r="S1365" s="163"/>
      <c r="T1365" s="54" t="s">
        <v>65</v>
      </c>
      <c r="U1365" s="26"/>
      <c r="V1365" s="26"/>
      <c r="W1365" s="26"/>
      <c r="X1365" s="105"/>
      <c r="Y1365" s="105"/>
      <c r="Z1365" s="105"/>
      <c r="AA1365" s="105"/>
      <c r="AB1365" s="105"/>
      <c r="AC1365" s="105"/>
    </row>
    <row r="1366" ht="33.75" customHeight="1">
      <c r="A1366" s="65" t="s">
        <v>2302</v>
      </c>
      <c r="B1366" s="215" t="s">
        <v>2226</v>
      </c>
      <c r="C1366" s="215" t="s">
        <v>2283</v>
      </c>
      <c r="D1366" s="215" t="s">
        <v>2299</v>
      </c>
      <c r="E1366" s="215" t="s">
        <v>2300</v>
      </c>
      <c r="F1366" s="65" t="s">
        <v>2301</v>
      </c>
      <c r="G1366" s="65" t="s">
        <v>168</v>
      </c>
      <c r="H1366" s="65" t="s">
        <v>168</v>
      </c>
      <c r="I1366" s="65"/>
      <c r="J1366" s="65" t="s">
        <v>9</v>
      </c>
      <c r="K1366" s="65" t="s">
        <v>9</v>
      </c>
      <c r="L1366" s="128">
        <v>0.25</v>
      </c>
      <c r="M1366" s="180">
        <f t="shared" si="834"/>
        <v>0.375</v>
      </c>
      <c r="N1366" s="128">
        <v>0.5</v>
      </c>
      <c r="O1366" s="129">
        <f t="shared" ref="O1366:O1368" si="859">IF(COUNT(L1366:N1366)=0,"",(L1366+4*M1366+N1366)/6)</f>
        <v>0.375</v>
      </c>
      <c r="P1366" s="159"/>
      <c r="Q1366" s="208">
        <f t="shared" ref="Q1366:Q1368" si="860">IF(O1366="","",IF(P1366="",O1366,O1366*(1+P1366)))</f>
        <v>0.375</v>
      </c>
      <c r="R1366" s="132"/>
      <c r="S1366" s="132"/>
      <c r="T1366" s="65" t="s">
        <v>31</v>
      </c>
      <c r="U1366" s="26"/>
      <c r="V1366" s="26"/>
      <c r="W1366" s="26"/>
      <c r="X1366" s="26"/>
      <c r="Y1366" s="26"/>
      <c r="Z1366" s="26"/>
      <c r="AA1366" s="26"/>
      <c r="AB1366" s="26"/>
      <c r="AC1366" s="26"/>
    </row>
    <row r="1367" ht="33.75" customHeight="1">
      <c r="A1367" s="65" t="s">
        <v>2303</v>
      </c>
      <c r="B1367" s="215" t="s">
        <v>2226</v>
      </c>
      <c r="C1367" s="215" t="s">
        <v>2283</v>
      </c>
      <c r="D1367" s="215" t="s">
        <v>2299</v>
      </c>
      <c r="E1367" s="215" t="s">
        <v>2300</v>
      </c>
      <c r="F1367" s="65" t="s">
        <v>2301</v>
      </c>
      <c r="G1367" s="65" t="s">
        <v>168</v>
      </c>
      <c r="H1367" s="65" t="s">
        <v>168</v>
      </c>
      <c r="I1367" s="65"/>
      <c r="J1367" s="65" t="s">
        <v>9</v>
      </c>
      <c r="K1367" s="65" t="s">
        <v>9</v>
      </c>
      <c r="L1367" s="128">
        <v>0.0</v>
      </c>
      <c r="M1367" s="180">
        <f t="shared" si="834"/>
        <v>0</v>
      </c>
      <c r="N1367" s="128">
        <v>0.0</v>
      </c>
      <c r="O1367" s="129">
        <f t="shared" si="859"/>
        <v>0</v>
      </c>
      <c r="P1367" s="159"/>
      <c r="Q1367" s="208">
        <f t="shared" si="860"/>
        <v>0</v>
      </c>
      <c r="R1367" s="132"/>
      <c r="S1367" s="132"/>
      <c r="T1367" s="65" t="s">
        <v>32</v>
      </c>
      <c r="U1367" s="26"/>
      <c r="V1367" s="26"/>
      <c r="W1367" s="26"/>
      <c r="X1367" s="26"/>
      <c r="Y1367" s="26"/>
      <c r="Z1367" s="26"/>
      <c r="AA1367" s="26"/>
      <c r="AB1367" s="26"/>
      <c r="AC1367" s="26"/>
    </row>
    <row r="1368" ht="33.75" customHeight="1">
      <c r="A1368" s="65" t="s">
        <v>2304</v>
      </c>
      <c r="B1368" s="215" t="s">
        <v>2226</v>
      </c>
      <c r="C1368" s="215" t="s">
        <v>2283</v>
      </c>
      <c r="D1368" s="215" t="s">
        <v>2299</v>
      </c>
      <c r="E1368" s="215" t="s">
        <v>2300</v>
      </c>
      <c r="F1368" s="65" t="s">
        <v>2301</v>
      </c>
      <c r="G1368" s="65" t="s">
        <v>168</v>
      </c>
      <c r="H1368" s="65" t="s">
        <v>168</v>
      </c>
      <c r="I1368" s="65"/>
      <c r="J1368" s="65" t="s">
        <v>9</v>
      </c>
      <c r="K1368" s="65" t="s">
        <v>9</v>
      </c>
      <c r="L1368" s="128">
        <v>0.0</v>
      </c>
      <c r="M1368" s="180">
        <f t="shared" si="834"/>
        <v>0</v>
      </c>
      <c r="N1368" s="128">
        <v>0.0</v>
      </c>
      <c r="O1368" s="129">
        <f t="shared" si="859"/>
        <v>0</v>
      </c>
      <c r="P1368" s="159"/>
      <c r="Q1368" s="208">
        <f t="shared" si="860"/>
        <v>0</v>
      </c>
      <c r="R1368" s="132"/>
      <c r="S1368" s="132"/>
      <c r="T1368" s="65" t="s">
        <v>70</v>
      </c>
      <c r="U1368" s="26"/>
      <c r="V1368" s="26"/>
      <c r="W1368" s="26"/>
      <c r="X1368" s="26"/>
      <c r="Y1368" s="26"/>
      <c r="Z1368" s="26"/>
      <c r="AA1368" s="26"/>
      <c r="AB1368" s="26"/>
      <c r="AC1368" s="26"/>
    </row>
    <row r="1369" ht="33.75" customHeight="1">
      <c r="A1369" s="54" t="s">
        <v>2305</v>
      </c>
      <c r="B1369" s="209" t="s">
        <v>2226</v>
      </c>
      <c r="C1369" s="209" t="s">
        <v>2283</v>
      </c>
      <c r="D1369" s="209" t="s">
        <v>2306</v>
      </c>
      <c r="E1369" s="209" t="s">
        <v>2307</v>
      </c>
      <c r="F1369" s="54" t="s">
        <v>2308</v>
      </c>
      <c r="G1369" s="54" t="s">
        <v>168</v>
      </c>
      <c r="H1369" s="54" t="s">
        <v>168</v>
      </c>
      <c r="I1369" s="54"/>
      <c r="J1369" s="54" t="s">
        <v>9</v>
      </c>
      <c r="K1369" s="54" t="s">
        <v>9</v>
      </c>
      <c r="L1369" s="202">
        <f>IF(COUNT(L1370:N1372)=0,"",SUM(L1370:L1372))</f>
        <v>1</v>
      </c>
      <c r="M1369" s="174">
        <f t="shared" si="834"/>
        <v>2</v>
      </c>
      <c r="N1369" s="202">
        <f>IF(COUNT(L1370:N1372)=0,"",SUM(N1370:N1372))</f>
        <v>3</v>
      </c>
      <c r="O1369" s="202">
        <f>IF(COUNT(O1370:O1372)=0,"",SUM(O1370:O1372))</f>
        <v>2</v>
      </c>
      <c r="P1369" s="210"/>
      <c r="Q1369" s="202">
        <f>IF(COUNT(Q1370:Q1372)=0,"",SUM(Q1370:Q1372))</f>
        <v>2</v>
      </c>
      <c r="R1369" s="163"/>
      <c r="S1369" s="163"/>
      <c r="T1369" s="54" t="s">
        <v>65</v>
      </c>
      <c r="U1369" s="26"/>
      <c r="V1369" s="26"/>
      <c r="W1369" s="26"/>
      <c r="X1369" s="105"/>
      <c r="Y1369" s="105"/>
      <c r="Z1369" s="105"/>
      <c r="AA1369" s="105"/>
      <c r="AB1369" s="105"/>
      <c r="AC1369" s="105"/>
    </row>
    <row r="1370" ht="33.75" customHeight="1">
      <c r="A1370" s="65" t="s">
        <v>2309</v>
      </c>
      <c r="B1370" s="215" t="s">
        <v>2226</v>
      </c>
      <c r="C1370" s="215" t="s">
        <v>2283</v>
      </c>
      <c r="D1370" s="215" t="s">
        <v>2306</v>
      </c>
      <c r="E1370" s="215" t="s">
        <v>2307</v>
      </c>
      <c r="F1370" s="65" t="s">
        <v>2308</v>
      </c>
      <c r="G1370" s="65" t="s">
        <v>168</v>
      </c>
      <c r="H1370" s="65" t="s">
        <v>168</v>
      </c>
      <c r="I1370" s="65"/>
      <c r="J1370" s="65" t="s">
        <v>9</v>
      </c>
      <c r="K1370" s="65" t="s">
        <v>9</v>
      </c>
      <c r="L1370" s="128">
        <v>0.25</v>
      </c>
      <c r="M1370" s="180">
        <f t="shared" si="834"/>
        <v>0.625</v>
      </c>
      <c r="N1370" s="128">
        <v>1.0</v>
      </c>
      <c r="O1370" s="129">
        <f t="shared" ref="O1370:O1372" si="861">IF(COUNT(L1370:N1370)=0,"",(L1370+4*M1370+N1370)/6)</f>
        <v>0.625</v>
      </c>
      <c r="P1370" s="159"/>
      <c r="Q1370" s="208">
        <f t="shared" ref="Q1370:Q1372" si="862">IF(O1370="","",IF(P1370="",O1370,O1370*(1+P1370)))</f>
        <v>0.625</v>
      </c>
      <c r="R1370" s="132"/>
      <c r="S1370" s="132"/>
      <c r="T1370" s="65" t="s">
        <v>31</v>
      </c>
      <c r="U1370" s="26"/>
      <c r="V1370" s="26"/>
      <c r="W1370" s="26"/>
      <c r="X1370" s="26"/>
      <c r="Y1370" s="26"/>
      <c r="Z1370" s="26"/>
      <c r="AA1370" s="26"/>
      <c r="AB1370" s="26"/>
      <c r="AC1370" s="26"/>
    </row>
    <row r="1371" ht="33.75" customHeight="1">
      <c r="A1371" s="65" t="s">
        <v>2310</v>
      </c>
      <c r="B1371" s="215" t="s">
        <v>2226</v>
      </c>
      <c r="C1371" s="215" t="s">
        <v>2283</v>
      </c>
      <c r="D1371" s="215" t="s">
        <v>2306</v>
      </c>
      <c r="E1371" s="215" t="s">
        <v>2307</v>
      </c>
      <c r="F1371" s="65" t="s">
        <v>2308</v>
      </c>
      <c r="G1371" s="65" t="s">
        <v>168</v>
      </c>
      <c r="H1371" s="65" t="s">
        <v>168</v>
      </c>
      <c r="I1371" s="65"/>
      <c r="J1371" s="65" t="s">
        <v>9</v>
      </c>
      <c r="K1371" s="65" t="s">
        <v>9</v>
      </c>
      <c r="L1371" s="128">
        <v>0.25</v>
      </c>
      <c r="M1371" s="180">
        <f t="shared" si="834"/>
        <v>0.625</v>
      </c>
      <c r="N1371" s="128">
        <v>1.0</v>
      </c>
      <c r="O1371" s="129">
        <f t="shared" si="861"/>
        <v>0.625</v>
      </c>
      <c r="P1371" s="159"/>
      <c r="Q1371" s="208">
        <f t="shared" si="862"/>
        <v>0.625</v>
      </c>
      <c r="R1371" s="132"/>
      <c r="S1371" s="132"/>
      <c r="T1371" s="65" t="s">
        <v>32</v>
      </c>
      <c r="U1371" s="26"/>
      <c r="V1371" s="26"/>
      <c r="W1371" s="26"/>
      <c r="X1371" s="26"/>
      <c r="Y1371" s="26"/>
      <c r="Z1371" s="26"/>
      <c r="AA1371" s="26"/>
      <c r="AB1371" s="26"/>
      <c r="AC1371" s="26"/>
    </row>
    <row r="1372" ht="33.75" customHeight="1">
      <c r="A1372" s="65" t="s">
        <v>2311</v>
      </c>
      <c r="B1372" s="215" t="s">
        <v>2226</v>
      </c>
      <c r="C1372" s="215" t="s">
        <v>2283</v>
      </c>
      <c r="D1372" s="215" t="s">
        <v>2306</v>
      </c>
      <c r="E1372" s="215" t="s">
        <v>2307</v>
      </c>
      <c r="F1372" s="65" t="s">
        <v>2308</v>
      </c>
      <c r="G1372" s="65" t="s">
        <v>168</v>
      </c>
      <c r="H1372" s="65" t="s">
        <v>168</v>
      </c>
      <c r="I1372" s="65"/>
      <c r="J1372" s="65" t="s">
        <v>9</v>
      </c>
      <c r="K1372" s="65" t="s">
        <v>9</v>
      </c>
      <c r="L1372" s="128">
        <v>0.5</v>
      </c>
      <c r="M1372" s="180">
        <f t="shared" si="834"/>
        <v>0.75</v>
      </c>
      <c r="N1372" s="128">
        <v>1.0</v>
      </c>
      <c r="O1372" s="129">
        <f t="shared" si="861"/>
        <v>0.75</v>
      </c>
      <c r="P1372" s="159"/>
      <c r="Q1372" s="208">
        <f t="shared" si="862"/>
        <v>0.75</v>
      </c>
      <c r="R1372" s="132"/>
      <c r="S1372" s="132"/>
      <c r="T1372" s="65" t="s">
        <v>70</v>
      </c>
      <c r="U1372" s="26"/>
      <c r="V1372" s="26"/>
      <c r="W1372" s="26"/>
      <c r="X1372" s="26"/>
      <c r="Y1372" s="26"/>
      <c r="Z1372" s="26"/>
      <c r="AA1372" s="26"/>
      <c r="AB1372" s="26"/>
      <c r="AC1372" s="26"/>
    </row>
    <row r="1373" ht="33.75" customHeight="1">
      <c r="A1373" s="54" t="s">
        <v>2312</v>
      </c>
      <c r="B1373" s="209" t="s">
        <v>2226</v>
      </c>
      <c r="C1373" s="209" t="s">
        <v>2283</v>
      </c>
      <c r="D1373" s="209" t="s">
        <v>2313</v>
      </c>
      <c r="E1373" s="209" t="s">
        <v>2314</v>
      </c>
      <c r="F1373" s="54" t="s">
        <v>2315</v>
      </c>
      <c r="G1373" s="54" t="s">
        <v>168</v>
      </c>
      <c r="H1373" s="54" t="s">
        <v>168</v>
      </c>
      <c r="I1373" s="54"/>
      <c r="J1373" s="54" t="s">
        <v>9</v>
      </c>
      <c r="K1373" s="54" t="s">
        <v>9</v>
      </c>
      <c r="L1373" s="202">
        <f>IF(COUNT(L1374:N1376)=0,"",SUM(L1374:L1376))</f>
        <v>0.5</v>
      </c>
      <c r="M1373" s="174">
        <f t="shared" si="834"/>
        <v>0.75</v>
      </c>
      <c r="N1373" s="202">
        <f>IF(COUNT(L1374:N1376)=0,"",SUM(N1374:N1376))</f>
        <v>1</v>
      </c>
      <c r="O1373" s="202">
        <f>IF(COUNT(O1374:O1376)=0,"",SUM(O1374:O1376))</f>
        <v>0.75</v>
      </c>
      <c r="P1373" s="210"/>
      <c r="Q1373" s="202">
        <f>IF(COUNT(Q1374:Q1376)=0,"",SUM(Q1374:Q1376))</f>
        <v>0.75</v>
      </c>
      <c r="R1373" s="163"/>
      <c r="S1373" s="163"/>
      <c r="T1373" s="54" t="s">
        <v>65</v>
      </c>
      <c r="U1373" s="26"/>
      <c r="V1373" s="26"/>
      <c r="W1373" s="26"/>
      <c r="X1373" s="105"/>
      <c r="Y1373" s="105"/>
      <c r="Z1373" s="105"/>
      <c r="AA1373" s="105"/>
      <c r="AB1373" s="105"/>
      <c r="AC1373" s="105"/>
    </row>
    <row r="1374" ht="33.75" customHeight="1">
      <c r="A1374" s="65" t="s">
        <v>2316</v>
      </c>
      <c r="B1374" s="215" t="s">
        <v>2226</v>
      </c>
      <c r="C1374" s="215" t="s">
        <v>2283</v>
      </c>
      <c r="D1374" s="215" t="s">
        <v>2313</v>
      </c>
      <c r="E1374" s="215" t="s">
        <v>2314</v>
      </c>
      <c r="F1374" s="65" t="s">
        <v>2315</v>
      </c>
      <c r="G1374" s="65" t="s">
        <v>168</v>
      </c>
      <c r="H1374" s="65" t="s">
        <v>168</v>
      </c>
      <c r="I1374" s="65"/>
      <c r="J1374" s="65" t="s">
        <v>9</v>
      </c>
      <c r="K1374" s="65" t="s">
        <v>9</v>
      </c>
      <c r="L1374" s="128">
        <v>0.25</v>
      </c>
      <c r="M1374" s="180">
        <f t="shared" si="834"/>
        <v>0.375</v>
      </c>
      <c r="N1374" s="128">
        <v>0.5</v>
      </c>
      <c r="O1374" s="129">
        <f t="shared" ref="O1374:O1376" si="863">IF(COUNT(L1374:N1374)=0,"",(L1374+4*M1374+N1374)/6)</f>
        <v>0.375</v>
      </c>
      <c r="P1374" s="159"/>
      <c r="Q1374" s="208">
        <f t="shared" ref="Q1374:Q1376" si="864">IF(O1374="","",IF(P1374="",O1374,O1374*(1+P1374)))</f>
        <v>0.375</v>
      </c>
      <c r="R1374" s="132"/>
      <c r="S1374" s="132"/>
      <c r="T1374" s="65" t="s">
        <v>31</v>
      </c>
      <c r="U1374" s="26"/>
      <c r="V1374" s="26"/>
      <c r="W1374" s="26"/>
      <c r="X1374" s="26"/>
      <c r="Y1374" s="26"/>
      <c r="Z1374" s="26"/>
      <c r="AA1374" s="26"/>
      <c r="AB1374" s="26"/>
      <c r="AC1374" s="26"/>
    </row>
    <row r="1375" ht="33.75" customHeight="1">
      <c r="A1375" s="65" t="s">
        <v>2317</v>
      </c>
      <c r="B1375" s="215" t="s">
        <v>2226</v>
      </c>
      <c r="C1375" s="215" t="s">
        <v>2283</v>
      </c>
      <c r="D1375" s="215" t="s">
        <v>2313</v>
      </c>
      <c r="E1375" s="215" t="s">
        <v>2314</v>
      </c>
      <c r="F1375" s="65" t="s">
        <v>2315</v>
      </c>
      <c r="G1375" s="65" t="s">
        <v>168</v>
      </c>
      <c r="H1375" s="65" t="s">
        <v>168</v>
      </c>
      <c r="I1375" s="65"/>
      <c r="J1375" s="65" t="s">
        <v>9</v>
      </c>
      <c r="K1375" s="65" t="s">
        <v>9</v>
      </c>
      <c r="L1375" s="128">
        <v>0.0</v>
      </c>
      <c r="M1375" s="180">
        <f t="shared" si="834"/>
        <v>0</v>
      </c>
      <c r="N1375" s="128">
        <v>0.0</v>
      </c>
      <c r="O1375" s="129">
        <f t="shared" si="863"/>
        <v>0</v>
      </c>
      <c r="P1375" s="159"/>
      <c r="Q1375" s="208">
        <f t="shared" si="864"/>
        <v>0</v>
      </c>
      <c r="R1375" s="132"/>
      <c r="S1375" s="132"/>
      <c r="T1375" s="65" t="s">
        <v>32</v>
      </c>
      <c r="U1375" s="26"/>
      <c r="V1375" s="26"/>
      <c r="W1375" s="26"/>
      <c r="X1375" s="26"/>
      <c r="Y1375" s="26"/>
      <c r="Z1375" s="26"/>
      <c r="AA1375" s="26"/>
      <c r="AB1375" s="26"/>
      <c r="AC1375" s="26"/>
    </row>
    <row r="1376" ht="33.75" customHeight="1">
      <c r="A1376" s="65" t="s">
        <v>2318</v>
      </c>
      <c r="B1376" s="215" t="s">
        <v>2226</v>
      </c>
      <c r="C1376" s="215" t="s">
        <v>2283</v>
      </c>
      <c r="D1376" s="215" t="s">
        <v>2313</v>
      </c>
      <c r="E1376" s="215" t="s">
        <v>2314</v>
      </c>
      <c r="F1376" s="65" t="s">
        <v>2315</v>
      </c>
      <c r="G1376" s="65" t="s">
        <v>168</v>
      </c>
      <c r="H1376" s="65" t="s">
        <v>168</v>
      </c>
      <c r="I1376" s="65"/>
      <c r="J1376" s="65" t="s">
        <v>9</v>
      </c>
      <c r="K1376" s="65" t="s">
        <v>9</v>
      </c>
      <c r="L1376" s="128">
        <v>0.25</v>
      </c>
      <c r="M1376" s="180">
        <f t="shared" si="834"/>
        <v>0.375</v>
      </c>
      <c r="N1376" s="128">
        <v>0.5</v>
      </c>
      <c r="O1376" s="129">
        <f t="shared" si="863"/>
        <v>0.375</v>
      </c>
      <c r="P1376" s="159"/>
      <c r="Q1376" s="208">
        <f t="shared" si="864"/>
        <v>0.375</v>
      </c>
      <c r="R1376" s="132"/>
      <c r="S1376" s="132"/>
      <c r="T1376" s="65" t="s">
        <v>70</v>
      </c>
      <c r="U1376" s="26"/>
      <c r="V1376" s="26"/>
      <c r="W1376" s="26"/>
      <c r="X1376" s="26"/>
      <c r="Y1376" s="26"/>
      <c r="Z1376" s="26"/>
      <c r="AA1376" s="26"/>
      <c r="AB1376" s="26"/>
      <c r="AC1376" s="26"/>
    </row>
    <row r="1377" ht="33.75" customHeight="1">
      <c r="A1377" s="45" t="s">
        <v>2319</v>
      </c>
      <c r="B1377" s="212" t="s">
        <v>2226</v>
      </c>
      <c r="C1377" s="212" t="s">
        <v>2320</v>
      </c>
      <c r="D1377" s="212" t="s">
        <v>2320</v>
      </c>
      <c r="E1377" s="212" t="s">
        <v>2321</v>
      </c>
      <c r="F1377" s="45"/>
      <c r="G1377" s="45"/>
      <c r="H1377" s="45"/>
      <c r="I1377" s="45"/>
      <c r="J1377" s="45"/>
      <c r="K1377" s="123"/>
      <c r="L1377" s="213">
        <f>IF(COUNT(L1378,L1382,L1386,L1390)=0,"",SUM(L1378,L1382,L1386,L1390))</f>
        <v>3.25</v>
      </c>
      <c r="M1377" s="213">
        <f t="shared" si="834"/>
        <v>4.875</v>
      </c>
      <c r="N1377" s="213">
        <f t="shared" ref="N1377:O1377" si="865">IF(COUNT(N1378,N1382,N1386,N1390)=0,"",SUM(N1378,N1382,N1386,N1390))</f>
        <v>6.5</v>
      </c>
      <c r="O1377" s="213">
        <f t="shared" si="865"/>
        <v>4.875</v>
      </c>
      <c r="P1377" s="214"/>
      <c r="Q1377" s="213">
        <f>IF(COUNT(Q1378,Q1382,Q1386,Q1390)=0,"",SUM(Q1378,Q1382,Q1386,Q1390))</f>
        <v>4.875</v>
      </c>
      <c r="R1377" s="126"/>
      <c r="S1377" s="126"/>
      <c r="T1377" s="45" t="s">
        <v>62</v>
      </c>
      <c r="U1377" s="26"/>
      <c r="V1377" s="26"/>
      <c r="W1377" s="26"/>
      <c r="X1377" s="46">
        <f t="shared" ref="X1377:AA1377" si="866">L1377</f>
        <v>3.25</v>
      </c>
      <c r="Y1377" s="46">
        <f t="shared" si="866"/>
        <v>4.875</v>
      </c>
      <c r="Z1377" s="46">
        <f t="shared" si="866"/>
        <v>6.5</v>
      </c>
      <c r="AA1377" s="46">
        <f t="shared" si="866"/>
        <v>4.875</v>
      </c>
      <c r="AB1377" s="26"/>
      <c r="AC1377" s="46">
        <f>Q1377</f>
        <v>4.875</v>
      </c>
    </row>
    <row r="1378" ht="33.75" customHeight="1">
      <c r="A1378" s="54" t="s">
        <v>2322</v>
      </c>
      <c r="B1378" s="209" t="s">
        <v>2226</v>
      </c>
      <c r="C1378" s="209" t="s">
        <v>2320</v>
      </c>
      <c r="D1378" s="209" t="s">
        <v>2323</v>
      </c>
      <c r="E1378" s="209" t="s">
        <v>2324</v>
      </c>
      <c r="F1378" s="54" t="s">
        <v>2325</v>
      </c>
      <c r="G1378" s="54" t="s">
        <v>168</v>
      </c>
      <c r="H1378" s="54" t="s">
        <v>168</v>
      </c>
      <c r="I1378" s="54"/>
      <c r="J1378" s="54" t="s">
        <v>9</v>
      </c>
      <c r="K1378" s="119" t="s">
        <v>9</v>
      </c>
      <c r="L1378" s="202">
        <f>IF(COUNT(L1379:N1381)=0,"",SUM(L1379:L1381))</f>
        <v>0</v>
      </c>
      <c r="M1378" s="174">
        <f t="shared" si="834"/>
        <v>0</v>
      </c>
      <c r="N1378" s="202">
        <f>IF(COUNT(L1379:N1381)=0,"",SUM(N1379:N1381))</f>
        <v>0</v>
      </c>
      <c r="O1378" s="202">
        <f>IF(COUNT(O1379:O1381)=0,"",SUM(O1379:O1381))</f>
        <v>0</v>
      </c>
      <c r="P1378" s="210"/>
      <c r="Q1378" s="202">
        <f>IF(COUNT(Q1379:Q1381)=0,"",SUM(Q1379:Q1381))</f>
        <v>0</v>
      </c>
      <c r="R1378" s="163"/>
      <c r="S1378" s="163"/>
      <c r="T1378" s="54" t="s">
        <v>65</v>
      </c>
      <c r="U1378" s="179"/>
      <c r="V1378" s="179"/>
      <c r="W1378" s="179"/>
      <c r="X1378" s="105"/>
      <c r="Y1378" s="105"/>
      <c r="Z1378" s="105"/>
      <c r="AA1378" s="105"/>
      <c r="AB1378" s="179"/>
      <c r="AC1378" s="105"/>
    </row>
    <row r="1379" ht="33.75" customHeight="1">
      <c r="A1379" s="65" t="s">
        <v>2326</v>
      </c>
      <c r="B1379" s="215" t="s">
        <v>2226</v>
      </c>
      <c r="C1379" s="215" t="s">
        <v>2320</v>
      </c>
      <c r="D1379" s="215" t="s">
        <v>2323</v>
      </c>
      <c r="E1379" s="215" t="s">
        <v>2324</v>
      </c>
      <c r="F1379" s="65" t="s">
        <v>2325</v>
      </c>
      <c r="G1379" s="65" t="s">
        <v>168</v>
      </c>
      <c r="H1379" s="65" t="s">
        <v>168</v>
      </c>
      <c r="I1379" s="65"/>
      <c r="J1379" s="65" t="s">
        <v>9</v>
      </c>
      <c r="K1379" s="65" t="s">
        <v>9</v>
      </c>
      <c r="L1379" s="128">
        <v>0.0</v>
      </c>
      <c r="M1379" s="180">
        <f t="shared" si="834"/>
        <v>0</v>
      </c>
      <c r="N1379" s="128">
        <v>0.0</v>
      </c>
      <c r="O1379" s="129">
        <f t="shared" ref="O1379:O1381" si="867">IF(COUNT(L1379:N1379)=0,"",(L1379+4*M1379+N1379)/6)</f>
        <v>0</v>
      </c>
      <c r="P1379" s="159"/>
      <c r="Q1379" s="208">
        <f t="shared" ref="Q1379:Q1381" si="868">IF(O1379="","",IF(P1379="",O1379,O1379*(1+P1379)))</f>
        <v>0</v>
      </c>
      <c r="R1379" s="132"/>
      <c r="S1379" s="132"/>
      <c r="T1379" s="65" t="s">
        <v>31</v>
      </c>
      <c r="U1379" s="26"/>
      <c r="V1379" s="26"/>
      <c r="W1379" s="26"/>
      <c r="X1379" s="26"/>
      <c r="Y1379" s="26"/>
      <c r="Z1379" s="26"/>
      <c r="AA1379" s="26"/>
      <c r="AB1379" s="26"/>
      <c r="AC1379" s="26"/>
    </row>
    <row r="1380" ht="33.75" customHeight="1">
      <c r="A1380" s="65" t="s">
        <v>2327</v>
      </c>
      <c r="B1380" s="215" t="s">
        <v>2226</v>
      </c>
      <c r="C1380" s="215" t="s">
        <v>2320</v>
      </c>
      <c r="D1380" s="215" t="s">
        <v>2323</v>
      </c>
      <c r="E1380" s="215" t="s">
        <v>2324</v>
      </c>
      <c r="F1380" s="65" t="s">
        <v>2325</v>
      </c>
      <c r="G1380" s="65" t="s">
        <v>168</v>
      </c>
      <c r="H1380" s="65" t="s">
        <v>168</v>
      </c>
      <c r="I1380" s="65"/>
      <c r="J1380" s="65" t="s">
        <v>9</v>
      </c>
      <c r="K1380" s="65" t="s">
        <v>9</v>
      </c>
      <c r="L1380" s="128">
        <v>0.0</v>
      </c>
      <c r="M1380" s="180">
        <f t="shared" si="834"/>
        <v>0</v>
      </c>
      <c r="N1380" s="128">
        <v>0.0</v>
      </c>
      <c r="O1380" s="129">
        <f t="shared" si="867"/>
        <v>0</v>
      </c>
      <c r="P1380" s="159"/>
      <c r="Q1380" s="208">
        <f t="shared" si="868"/>
        <v>0</v>
      </c>
      <c r="R1380" s="132"/>
      <c r="S1380" s="132"/>
      <c r="T1380" s="65" t="s">
        <v>32</v>
      </c>
      <c r="U1380" s="26"/>
      <c r="V1380" s="26"/>
      <c r="W1380" s="26"/>
      <c r="X1380" s="26"/>
      <c r="Y1380" s="26"/>
      <c r="Z1380" s="26"/>
      <c r="AA1380" s="26"/>
      <c r="AB1380" s="26"/>
      <c r="AC1380" s="26"/>
    </row>
    <row r="1381" ht="33.75" customHeight="1">
      <c r="A1381" s="65" t="s">
        <v>2328</v>
      </c>
      <c r="B1381" s="215" t="s">
        <v>2226</v>
      </c>
      <c r="C1381" s="215" t="s">
        <v>2320</v>
      </c>
      <c r="D1381" s="215" t="s">
        <v>2323</v>
      </c>
      <c r="E1381" s="215" t="s">
        <v>2324</v>
      </c>
      <c r="F1381" s="65" t="s">
        <v>2325</v>
      </c>
      <c r="G1381" s="65" t="s">
        <v>168</v>
      </c>
      <c r="H1381" s="65" t="s">
        <v>168</v>
      </c>
      <c r="I1381" s="65"/>
      <c r="J1381" s="65" t="s">
        <v>9</v>
      </c>
      <c r="K1381" s="65" t="s">
        <v>9</v>
      </c>
      <c r="L1381" s="128">
        <v>0.0</v>
      </c>
      <c r="M1381" s="180">
        <f t="shared" si="834"/>
        <v>0</v>
      </c>
      <c r="N1381" s="128">
        <v>0.0</v>
      </c>
      <c r="O1381" s="129">
        <f t="shared" si="867"/>
        <v>0</v>
      </c>
      <c r="P1381" s="159"/>
      <c r="Q1381" s="208">
        <f t="shared" si="868"/>
        <v>0</v>
      </c>
      <c r="R1381" s="132"/>
      <c r="S1381" s="132"/>
      <c r="T1381" s="65" t="s">
        <v>70</v>
      </c>
      <c r="U1381" s="26"/>
      <c r="V1381" s="26"/>
      <c r="W1381" s="26"/>
      <c r="X1381" s="26"/>
      <c r="Y1381" s="26"/>
      <c r="Z1381" s="26"/>
      <c r="AA1381" s="26"/>
      <c r="AB1381" s="26"/>
      <c r="AC1381" s="26"/>
    </row>
    <row r="1382" ht="33.75" customHeight="1">
      <c r="A1382" s="54" t="s">
        <v>2329</v>
      </c>
      <c r="B1382" s="209" t="s">
        <v>2226</v>
      </c>
      <c r="C1382" s="209" t="s">
        <v>2320</v>
      </c>
      <c r="D1382" s="209" t="s">
        <v>2330</v>
      </c>
      <c r="E1382" s="209" t="s">
        <v>2331</v>
      </c>
      <c r="F1382" s="54" t="s">
        <v>2332</v>
      </c>
      <c r="G1382" s="54" t="s">
        <v>200</v>
      </c>
      <c r="H1382" s="54" t="s">
        <v>200</v>
      </c>
      <c r="I1382" s="54"/>
      <c r="J1382" s="54" t="s">
        <v>9</v>
      </c>
      <c r="K1382" s="54" t="s">
        <v>9</v>
      </c>
      <c r="L1382" s="202">
        <f>IF(COUNT(L1383:N1385)=0,"",SUM(L1383:L1385))</f>
        <v>2</v>
      </c>
      <c r="M1382" s="174">
        <f t="shared" si="834"/>
        <v>3</v>
      </c>
      <c r="N1382" s="202">
        <f>IF(COUNT(L1383:N1385)=0,"",SUM(N1383:N1385))</f>
        <v>4</v>
      </c>
      <c r="O1382" s="202">
        <f>IF(COUNT(O1383:O1385)=0,"",SUM(O1383:O1385))</f>
        <v>3</v>
      </c>
      <c r="P1382" s="210"/>
      <c r="Q1382" s="202">
        <f>IF(COUNT(Q1383:Q1385)=0,"",SUM(Q1383:Q1385))</f>
        <v>3</v>
      </c>
      <c r="R1382" s="163"/>
      <c r="S1382" s="163"/>
      <c r="T1382" s="54" t="s">
        <v>65</v>
      </c>
      <c r="U1382" s="26"/>
      <c r="V1382" s="26"/>
      <c r="W1382" s="26"/>
      <c r="X1382" s="105"/>
      <c r="Y1382" s="105"/>
      <c r="Z1382" s="105"/>
      <c r="AA1382" s="105"/>
      <c r="AB1382" s="105"/>
      <c r="AC1382" s="105"/>
    </row>
    <row r="1383" ht="33.75" customHeight="1">
      <c r="A1383" s="65" t="s">
        <v>2333</v>
      </c>
      <c r="B1383" s="215" t="s">
        <v>2226</v>
      </c>
      <c r="C1383" s="215" t="s">
        <v>2320</v>
      </c>
      <c r="D1383" s="215" t="s">
        <v>2330</v>
      </c>
      <c r="E1383" s="215" t="s">
        <v>2331</v>
      </c>
      <c r="F1383" s="65" t="s">
        <v>2332</v>
      </c>
      <c r="G1383" s="65" t="s">
        <v>200</v>
      </c>
      <c r="H1383" s="65" t="s">
        <v>200</v>
      </c>
      <c r="I1383" s="65"/>
      <c r="J1383" s="65" t="s">
        <v>9</v>
      </c>
      <c r="K1383" s="65" t="s">
        <v>9</v>
      </c>
      <c r="L1383" s="128">
        <v>0.0</v>
      </c>
      <c r="M1383" s="180">
        <f t="shared" si="834"/>
        <v>0</v>
      </c>
      <c r="N1383" s="128">
        <v>0.0</v>
      </c>
      <c r="O1383" s="129">
        <f t="shared" ref="O1383:O1385" si="869">IF(COUNT(L1383:N1383)=0,"",(L1383+4*M1383+N1383)/6)</f>
        <v>0</v>
      </c>
      <c r="P1383" s="159"/>
      <c r="Q1383" s="208">
        <f t="shared" ref="Q1383:Q1385" si="870">IF(O1383="","",IF(P1383="",O1383,O1383*(1+P1383)))</f>
        <v>0</v>
      </c>
      <c r="R1383" s="132"/>
      <c r="S1383" s="132"/>
      <c r="T1383" s="65" t="s">
        <v>31</v>
      </c>
      <c r="U1383" s="26"/>
      <c r="V1383" s="26"/>
      <c r="W1383" s="26"/>
      <c r="X1383" s="26"/>
      <c r="Y1383" s="26"/>
      <c r="Z1383" s="26"/>
      <c r="AA1383" s="26"/>
      <c r="AB1383" s="26"/>
      <c r="AC1383" s="26"/>
    </row>
    <row r="1384" ht="33.75" customHeight="1">
      <c r="A1384" s="65" t="s">
        <v>2334</v>
      </c>
      <c r="B1384" s="215" t="s">
        <v>2226</v>
      </c>
      <c r="C1384" s="215" t="s">
        <v>2320</v>
      </c>
      <c r="D1384" s="215" t="s">
        <v>2330</v>
      </c>
      <c r="E1384" s="215" t="s">
        <v>2331</v>
      </c>
      <c r="F1384" s="65" t="s">
        <v>2332</v>
      </c>
      <c r="G1384" s="65" t="s">
        <v>200</v>
      </c>
      <c r="H1384" s="65" t="s">
        <v>200</v>
      </c>
      <c r="I1384" s="65"/>
      <c r="J1384" s="65" t="s">
        <v>9</v>
      </c>
      <c r="K1384" s="65" t="s">
        <v>9</v>
      </c>
      <c r="L1384" s="128">
        <v>1.0</v>
      </c>
      <c r="M1384" s="180">
        <f t="shared" si="834"/>
        <v>1.5</v>
      </c>
      <c r="N1384" s="128">
        <v>2.0</v>
      </c>
      <c r="O1384" s="129">
        <f t="shared" si="869"/>
        <v>1.5</v>
      </c>
      <c r="P1384" s="159"/>
      <c r="Q1384" s="208">
        <f t="shared" si="870"/>
        <v>1.5</v>
      </c>
      <c r="R1384" s="132"/>
      <c r="S1384" s="132"/>
      <c r="T1384" s="65" t="s">
        <v>32</v>
      </c>
      <c r="U1384" s="26"/>
      <c r="V1384" s="26"/>
      <c r="W1384" s="26"/>
      <c r="X1384" s="26"/>
      <c r="Y1384" s="26"/>
      <c r="Z1384" s="26"/>
      <c r="AA1384" s="26"/>
      <c r="AB1384" s="26"/>
      <c r="AC1384" s="26"/>
    </row>
    <row r="1385" ht="33.75" customHeight="1">
      <c r="A1385" s="65" t="s">
        <v>2335</v>
      </c>
      <c r="B1385" s="215" t="s">
        <v>2226</v>
      </c>
      <c r="C1385" s="215" t="s">
        <v>2320</v>
      </c>
      <c r="D1385" s="215" t="s">
        <v>2330</v>
      </c>
      <c r="E1385" s="215" t="s">
        <v>2331</v>
      </c>
      <c r="F1385" s="65" t="s">
        <v>2332</v>
      </c>
      <c r="G1385" s="65" t="s">
        <v>200</v>
      </c>
      <c r="H1385" s="65" t="s">
        <v>200</v>
      </c>
      <c r="I1385" s="65"/>
      <c r="J1385" s="65" t="s">
        <v>9</v>
      </c>
      <c r="K1385" s="65" t="s">
        <v>9</v>
      </c>
      <c r="L1385" s="128">
        <v>1.0</v>
      </c>
      <c r="M1385" s="180">
        <f t="shared" si="834"/>
        <v>1.5</v>
      </c>
      <c r="N1385" s="128">
        <v>2.0</v>
      </c>
      <c r="O1385" s="129">
        <f t="shared" si="869"/>
        <v>1.5</v>
      </c>
      <c r="P1385" s="159"/>
      <c r="Q1385" s="208">
        <f t="shared" si="870"/>
        <v>1.5</v>
      </c>
      <c r="R1385" s="132"/>
      <c r="S1385" s="132"/>
      <c r="T1385" s="65" t="s">
        <v>70</v>
      </c>
      <c r="U1385" s="26"/>
      <c r="V1385" s="26"/>
      <c r="W1385" s="26"/>
      <c r="X1385" s="26"/>
      <c r="Y1385" s="26"/>
      <c r="Z1385" s="26"/>
      <c r="AA1385" s="26"/>
      <c r="AB1385" s="26"/>
      <c r="AC1385" s="26"/>
    </row>
    <row r="1386" ht="33.75" customHeight="1">
      <c r="A1386" s="54" t="s">
        <v>2336</v>
      </c>
      <c r="B1386" s="209" t="s">
        <v>2226</v>
      </c>
      <c r="C1386" s="209" t="s">
        <v>2320</v>
      </c>
      <c r="D1386" s="209" t="s">
        <v>2337</v>
      </c>
      <c r="E1386" s="209" t="s">
        <v>2338</v>
      </c>
      <c r="F1386" s="54" t="s">
        <v>2339</v>
      </c>
      <c r="G1386" s="54" t="s">
        <v>168</v>
      </c>
      <c r="H1386" s="54" t="s">
        <v>168</v>
      </c>
      <c r="I1386" s="54"/>
      <c r="J1386" s="54" t="s">
        <v>9</v>
      </c>
      <c r="K1386" s="54" t="s">
        <v>9</v>
      </c>
      <c r="L1386" s="202">
        <f>IF(COUNT(L1387:N1389)=0,"",SUM(L1387:L1389))</f>
        <v>0.5</v>
      </c>
      <c r="M1386" s="174">
        <f t="shared" si="834"/>
        <v>0.75</v>
      </c>
      <c r="N1386" s="202">
        <f>IF(COUNT(L1387:N1389)=0,"",SUM(N1387:N1389))</f>
        <v>1</v>
      </c>
      <c r="O1386" s="202">
        <f>IF(COUNT(O1387:O1389)=0,"",SUM(O1387:O1389))</f>
        <v>0.75</v>
      </c>
      <c r="P1386" s="210"/>
      <c r="Q1386" s="202">
        <f>IF(COUNT(Q1387:Q1389)=0,"",SUM(Q1387:Q1389))</f>
        <v>0.75</v>
      </c>
      <c r="R1386" s="163"/>
      <c r="S1386" s="163"/>
      <c r="T1386" s="54" t="s">
        <v>65</v>
      </c>
      <c r="U1386" s="26"/>
      <c r="V1386" s="26"/>
      <c r="W1386" s="26"/>
      <c r="X1386" s="105"/>
      <c r="Y1386" s="105"/>
      <c r="Z1386" s="105"/>
      <c r="AA1386" s="105"/>
      <c r="AB1386" s="105"/>
      <c r="AC1386" s="105"/>
    </row>
    <row r="1387" ht="33.75" customHeight="1">
      <c r="A1387" s="65" t="s">
        <v>2340</v>
      </c>
      <c r="B1387" s="215" t="s">
        <v>2226</v>
      </c>
      <c r="C1387" s="215" t="s">
        <v>2320</v>
      </c>
      <c r="D1387" s="215" t="s">
        <v>2337</v>
      </c>
      <c r="E1387" s="215" t="s">
        <v>2338</v>
      </c>
      <c r="F1387" s="65" t="s">
        <v>2339</v>
      </c>
      <c r="G1387" s="65" t="s">
        <v>168</v>
      </c>
      <c r="H1387" s="65" t="s">
        <v>168</v>
      </c>
      <c r="I1387" s="65"/>
      <c r="J1387" s="65" t="s">
        <v>9</v>
      </c>
      <c r="K1387" s="65" t="s">
        <v>9</v>
      </c>
      <c r="L1387" s="128">
        <v>0.0</v>
      </c>
      <c r="M1387" s="180">
        <f t="shared" si="834"/>
        <v>0</v>
      </c>
      <c r="N1387" s="128">
        <v>0.0</v>
      </c>
      <c r="O1387" s="129">
        <f t="shared" ref="O1387:O1389" si="871">IF(COUNT(L1387:N1387)=0,"",(L1387+4*M1387+N1387)/6)</f>
        <v>0</v>
      </c>
      <c r="P1387" s="159"/>
      <c r="Q1387" s="208">
        <f t="shared" ref="Q1387:Q1389" si="872">IF(O1387="","",IF(P1387="",O1387,O1387*(1+P1387)))</f>
        <v>0</v>
      </c>
      <c r="R1387" s="132"/>
      <c r="S1387" s="132"/>
      <c r="T1387" s="65" t="s">
        <v>31</v>
      </c>
      <c r="U1387" s="26"/>
      <c r="V1387" s="26"/>
      <c r="W1387" s="26"/>
      <c r="X1387" s="26"/>
      <c r="Y1387" s="26"/>
      <c r="Z1387" s="26"/>
      <c r="AA1387" s="26"/>
      <c r="AB1387" s="26"/>
      <c r="AC1387" s="26"/>
    </row>
    <row r="1388" ht="33.75" customHeight="1">
      <c r="A1388" s="65" t="s">
        <v>2341</v>
      </c>
      <c r="B1388" s="215" t="s">
        <v>2226</v>
      </c>
      <c r="C1388" s="215" t="s">
        <v>2320</v>
      </c>
      <c r="D1388" s="215" t="s">
        <v>2337</v>
      </c>
      <c r="E1388" s="215" t="s">
        <v>2338</v>
      </c>
      <c r="F1388" s="65" t="s">
        <v>2339</v>
      </c>
      <c r="G1388" s="65" t="s">
        <v>168</v>
      </c>
      <c r="H1388" s="65" t="s">
        <v>168</v>
      </c>
      <c r="I1388" s="65"/>
      <c r="J1388" s="65" t="s">
        <v>9</v>
      </c>
      <c r="K1388" s="65" t="s">
        <v>9</v>
      </c>
      <c r="L1388" s="128">
        <v>0.25</v>
      </c>
      <c r="M1388" s="180">
        <f t="shared" si="834"/>
        <v>0.375</v>
      </c>
      <c r="N1388" s="128">
        <v>0.5</v>
      </c>
      <c r="O1388" s="129">
        <f t="shared" si="871"/>
        <v>0.375</v>
      </c>
      <c r="P1388" s="159"/>
      <c r="Q1388" s="208">
        <f t="shared" si="872"/>
        <v>0.375</v>
      </c>
      <c r="R1388" s="132"/>
      <c r="S1388" s="132"/>
      <c r="T1388" s="65" t="s">
        <v>32</v>
      </c>
      <c r="U1388" s="26"/>
      <c r="V1388" s="26"/>
      <c r="W1388" s="26"/>
      <c r="X1388" s="26"/>
      <c r="Y1388" s="26"/>
      <c r="Z1388" s="26"/>
      <c r="AA1388" s="26"/>
      <c r="AB1388" s="26"/>
      <c r="AC1388" s="26"/>
    </row>
    <row r="1389" ht="33.75" customHeight="1">
      <c r="A1389" s="65" t="s">
        <v>2342</v>
      </c>
      <c r="B1389" s="215" t="s">
        <v>2226</v>
      </c>
      <c r="C1389" s="215" t="s">
        <v>2320</v>
      </c>
      <c r="D1389" s="215" t="s">
        <v>2337</v>
      </c>
      <c r="E1389" s="215" t="s">
        <v>2338</v>
      </c>
      <c r="F1389" s="65" t="s">
        <v>2339</v>
      </c>
      <c r="G1389" s="65" t="s">
        <v>168</v>
      </c>
      <c r="H1389" s="65" t="s">
        <v>168</v>
      </c>
      <c r="I1389" s="65"/>
      <c r="J1389" s="65" t="s">
        <v>9</v>
      </c>
      <c r="K1389" s="65" t="s">
        <v>9</v>
      </c>
      <c r="L1389" s="128">
        <v>0.25</v>
      </c>
      <c r="M1389" s="180">
        <f t="shared" si="834"/>
        <v>0.375</v>
      </c>
      <c r="N1389" s="128">
        <v>0.5</v>
      </c>
      <c r="O1389" s="129">
        <f t="shared" si="871"/>
        <v>0.375</v>
      </c>
      <c r="P1389" s="159"/>
      <c r="Q1389" s="208">
        <f t="shared" si="872"/>
        <v>0.375</v>
      </c>
      <c r="R1389" s="132"/>
      <c r="S1389" s="132"/>
      <c r="T1389" s="65" t="s">
        <v>70</v>
      </c>
      <c r="U1389" s="26"/>
      <c r="V1389" s="26"/>
      <c r="W1389" s="26"/>
      <c r="X1389" s="26"/>
      <c r="Y1389" s="26"/>
      <c r="Z1389" s="26"/>
      <c r="AA1389" s="26"/>
      <c r="AB1389" s="26"/>
      <c r="AC1389" s="26"/>
    </row>
    <row r="1390" ht="33.75" customHeight="1">
      <c r="A1390" s="54" t="s">
        <v>2343</v>
      </c>
      <c r="B1390" s="209" t="s">
        <v>2226</v>
      </c>
      <c r="C1390" s="209" t="s">
        <v>2320</v>
      </c>
      <c r="D1390" s="209" t="s">
        <v>2344</v>
      </c>
      <c r="E1390" s="209" t="s">
        <v>2345</v>
      </c>
      <c r="F1390" s="54" t="s">
        <v>2346</v>
      </c>
      <c r="G1390" s="54" t="s">
        <v>168</v>
      </c>
      <c r="H1390" s="54" t="s">
        <v>168</v>
      </c>
      <c r="I1390" s="54"/>
      <c r="J1390" s="54" t="s">
        <v>9</v>
      </c>
      <c r="K1390" s="54" t="s">
        <v>9</v>
      </c>
      <c r="L1390" s="202">
        <f>IF(COUNT(L1391:N1393)=0,"",SUM(L1391:L1393))</f>
        <v>0.75</v>
      </c>
      <c r="M1390" s="174">
        <f t="shared" si="834"/>
        <v>1.125</v>
      </c>
      <c r="N1390" s="202">
        <f>IF(COUNT(L1391:N1393)=0,"",SUM(N1391:N1393))</f>
        <v>1.5</v>
      </c>
      <c r="O1390" s="202">
        <f>IF(COUNT(O1391:O1393)=0,"",SUM(O1391:O1393))</f>
        <v>1.125</v>
      </c>
      <c r="P1390" s="210"/>
      <c r="Q1390" s="202">
        <f>IF(COUNT(Q1391:Q1393)=0,"",SUM(Q1391:Q1393))</f>
        <v>1.125</v>
      </c>
      <c r="R1390" s="163"/>
      <c r="S1390" s="163"/>
      <c r="T1390" s="54" t="s">
        <v>65</v>
      </c>
      <c r="U1390" s="26"/>
      <c r="V1390" s="26"/>
      <c r="W1390" s="26"/>
      <c r="X1390" s="105"/>
      <c r="Y1390" s="105"/>
      <c r="Z1390" s="105"/>
      <c r="AA1390" s="105"/>
      <c r="AB1390" s="105"/>
      <c r="AC1390" s="105"/>
    </row>
    <row r="1391" ht="33.75" customHeight="1">
      <c r="A1391" s="65" t="s">
        <v>2347</v>
      </c>
      <c r="B1391" s="215" t="s">
        <v>2226</v>
      </c>
      <c r="C1391" s="215" t="s">
        <v>2320</v>
      </c>
      <c r="D1391" s="215" t="s">
        <v>2344</v>
      </c>
      <c r="E1391" s="215" t="s">
        <v>2345</v>
      </c>
      <c r="F1391" s="65" t="s">
        <v>2346</v>
      </c>
      <c r="G1391" s="65" t="s">
        <v>168</v>
      </c>
      <c r="H1391" s="65" t="s">
        <v>168</v>
      </c>
      <c r="I1391" s="65"/>
      <c r="J1391" s="65" t="s">
        <v>9</v>
      </c>
      <c r="K1391" s="65" t="s">
        <v>9</v>
      </c>
      <c r="L1391" s="128">
        <v>0.0</v>
      </c>
      <c r="M1391" s="180">
        <f t="shared" si="834"/>
        <v>0</v>
      </c>
      <c r="N1391" s="128">
        <v>0.0</v>
      </c>
      <c r="O1391" s="129">
        <f t="shared" ref="O1391:O1393" si="873">IF(COUNT(L1391:N1391)=0,"",(L1391+4*M1391+N1391)/6)</f>
        <v>0</v>
      </c>
      <c r="P1391" s="159"/>
      <c r="Q1391" s="208">
        <f t="shared" ref="Q1391:Q1393" si="874">IF(O1391="","",IF(P1391="",O1391,O1391*(1+P1391)))</f>
        <v>0</v>
      </c>
      <c r="R1391" s="132"/>
      <c r="S1391" s="132"/>
      <c r="T1391" s="65" t="s">
        <v>31</v>
      </c>
      <c r="U1391" s="26"/>
      <c r="V1391" s="26"/>
      <c r="W1391" s="26"/>
      <c r="X1391" s="26"/>
      <c r="Y1391" s="26"/>
      <c r="Z1391" s="26"/>
      <c r="AA1391" s="26"/>
      <c r="AB1391" s="26"/>
      <c r="AC1391" s="26"/>
    </row>
    <row r="1392" ht="33.75" customHeight="1">
      <c r="A1392" s="65" t="s">
        <v>2348</v>
      </c>
      <c r="B1392" s="215" t="s">
        <v>2226</v>
      </c>
      <c r="C1392" s="215" t="s">
        <v>2320</v>
      </c>
      <c r="D1392" s="215" t="s">
        <v>2344</v>
      </c>
      <c r="E1392" s="215" t="s">
        <v>2345</v>
      </c>
      <c r="F1392" s="65" t="s">
        <v>2346</v>
      </c>
      <c r="G1392" s="65" t="s">
        <v>168</v>
      </c>
      <c r="H1392" s="65" t="s">
        <v>168</v>
      </c>
      <c r="I1392" s="65"/>
      <c r="J1392" s="65" t="s">
        <v>9</v>
      </c>
      <c r="K1392" s="65" t="s">
        <v>9</v>
      </c>
      <c r="L1392" s="128">
        <v>0.5</v>
      </c>
      <c r="M1392" s="180">
        <f t="shared" si="834"/>
        <v>0.75</v>
      </c>
      <c r="N1392" s="128">
        <v>1.0</v>
      </c>
      <c r="O1392" s="129">
        <f t="shared" si="873"/>
        <v>0.75</v>
      </c>
      <c r="P1392" s="159"/>
      <c r="Q1392" s="208">
        <f t="shared" si="874"/>
        <v>0.75</v>
      </c>
      <c r="R1392" s="132"/>
      <c r="S1392" s="132"/>
      <c r="T1392" s="65" t="s">
        <v>32</v>
      </c>
      <c r="U1392" s="26"/>
      <c r="V1392" s="26"/>
      <c r="W1392" s="26"/>
      <c r="X1392" s="26"/>
      <c r="Y1392" s="26"/>
      <c r="Z1392" s="26"/>
      <c r="AA1392" s="26"/>
      <c r="AB1392" s="26"/>
      <c r="AC1392" s="26"/>
    </row>
    <row r="1393" ht="33.75" customHeight="1">
      <c r="A1393" s="65" t="s">
        <v>2349</v>
      </c>
      <c r="B1393" s="215" t="s">
        <v>2226</v>
      </c>
      <c r="C1393" s="215" t="s">
        <v>2320</v>
      </c>
      <c r="D1393" s="215" t="s">
        <v>2344</v>
      </c>
      <c r="E1393" s="215" t="s">
        <v>2345</v>
      </c>
      <c r="F1393" s="65" t="s">
        <v>2346</v>
      </c>
      <c r="G1393" s="65" t="s">
        <v>168</v>
      </c>
      <c r="H1393" s="65" t="s">
        <v>168</v>
      </c>
      <c r="I1393" s="65"/>
      <c r="J1393" s="65" t="s">
        <v>9</v>
      </c>
      <c r="K1393" s="65" t="s">
        <v>9</v>
      </c>
      <c r="L1393" s="128">
        <v>0.25</v>
      </c>
      <c r="M1393" s="180">
        <f t="shared" si="834"/>
        <v>0.375</v>
      </c>
      <c r="N1393" s="128">
        <v>0.5</v>
      </c>
      <c r="O1393" s="129">
        <f t="shared" si="873"/>
        <v>0.375</v>
      </c>
      <c r="P1393" s="159"/>
      <c r="Q1393" s="208">
        <f t="shared" si="874"/>
        <v>0.375</v>
      </c>
      <c r="R1393" s="132"/>
      <c r="S1393" s="132"/>
      <c r="T1393" s="65" t="s">
        <v>70</v>
      </c>
      <c r="U1393" s="26"/>
      <c r="V1393" s="26"/>
      <c r="W1393" s="26"/>
      <c r="X1393" s="26"/>
      <c r="Y1393" s="26"/>
      <c r="Z1393" s="26"/>
      <c r="AA1393" s="26"/>
      <c r="AB1393" s="26"/>
      <c r="AC1393" s="26"/>
    </row>
    <row r="1394" ht="33.75" customHeight="1">
      <c r="A1394" s="45" t="s">
        <v>2350</v>
      </c>
      <c r="B1394" s="212" t="s">
        <v>2226</v>
      </c>
      <c r="C1394" s="212" t="s">
        <v>2351</v>
      </c>
      <c r="D1394" s="212" t="s">
        <v>2351</v>
      </c>
      <c r="E1394" s="212" t="s">
        <v>2352</v>
      </c>
      <c r="F1394" s="45"/>
      <c r="G1394" s="45"/>
      <c r="H1394" s="45"/>
      <c r="I1394" s="45"/>
      <c r="J1394" s="45"/>
      <c r="K1394" s="123"/>
      <c r="L1394" s="213">
        <f>IF(COUNT(L1395,L1399,L1403,L1407, L1411)=0,"",SUM(L1395,L1399,L1403,L1407, L1411))</f>
        <v>1</v>
      </c>
      <c r="M1394" s="213">
        <f t="shared" si="834"/>
        <v>1.5</v>
      </c>
      <c r="N1394" s="213">
        <f t="shared" ref="N1394:O1394" si="875">IF(COUNT(N1395,N1399,N1403,N1407, N1411)=0,"",SUM(N1395,N1399,N1403,N1407, N1411))</f>
        <v>2</v>
      </c>
      <c r="O1394" s="213">
        <f t="shared" si="875"/>
        <v>1.5</v>
      </c>
      <c r="P1394" s="214"/>
      <c r="Q1394" s="213">
        <f>IF(COUNT(Q1395,Q1399,Q1403,Q1407, Q1411)=0,"",SUM(Q1395,Q1399,Q1403,Q1407, Q1411))</f>
        <v>1.5</v>
      </c>
      <c r="R1394" s="126"/>
      <c r="S1394" s="126"/>
      <c r="T1394" s="45" t="s">
        <v>62</v>
      </c>
      <c r="U1394" s="26"/>
      <c r="V1394" s="26"/>
      <c r="W1394" s="26"/>
      <c r="X1394" s="46">
        <f t="shared" ref="X1394:AA1394" si="876">L1394</f>
        <v>1</v>
      </c>
      <c r="Y1394" s="46">
        <f t="shared" si="876"/>
        <v>1.5</v>
      </c>
      <c r="Z1394" s="46">
        <f t="shared" si="876"/>
        <v>2</v>
      </c>
      <c r="AA1394" s="46">
        <f t="shared" si="876"/>
        <v>1.5</v>
      </c>
      <c r="AB1394" s="26"/>
      <c r="AC1394" s="46">
        <f>Q1394</f>
        <v>1.5</v>
      </c>
    </row>
    <row r="1395" ht="33.75" customHeight="1">
      <c r="A1395" s="54" t="s">
        <v>2353</v>
      </c>
      <c r="B1395" s="209" t="s">
        <v>2226</v>
      </c>
      <c r="C1395" s="209" t="s">
        <v>2351</v>
      </c>
      <c r="D1395" s="209" t="s">
        <v>2354</v>
      </c>
      <c r="E1395" s="209" t="s">
        <v>2355</v>
      </c>
      <c r="F1395" s="54" t="s">
        <v>2260</v>
      </c>
      <c r="G1395" s="54" t="s">
        <v>168</v>
      </c>
      <c r="H1395" s="54" t="s">
        <v>168</v>
      </c>
      <c r="I1395" s="54"/>
      <c r="J1395" s="54" t="s">
        <v>9</v>
      </c>
      <c r="K1395" s="119" t="s">
        <v>9</v>
      </c>
      <c r="L1395" s="202">
        <f>IF(COUNT(L1396:N1398)=0,"",SUM(L1396:L1398))</f>
        <v>0</v>
      </c>
      <c r="M1395" s="174">
        <f t="shared" si="834"/>
        <v>0</v>
      </c>
      <c r="N1395" s="202">
        <f>IF(COUNT(L1396:N1398)=0,"",SUM(N1396:N1398))</f>
        <v>0</v>
      </c>
      <c r="O1395" s="202">
        <f>IF(COUNT(O1396:O1398)=0,"",SUM(O1396:O1398))</f>
        <v>0</v>
      </c>
      <c r="P1395" s="210"/>
      <c r="Q1395" s="202">
        <f>IF(COUNT(Q1396:Q1398)=0,"",SUM(Q1396:Q1398))</f>
        <v>0</v>
      </c>
      <c r="R1395" s="163"/>
      <c r="S1395" s="163"/>
      <c r="T1395" s="54" t="s">
        <v>65</v>
      </c>
      <c r="U1395" s="179"/>
      <c r="V1395" s="179"/>
      <c r="W1395" s="179"/>
      <c r="X1395" s="105"/>
      <c r="Y1395" s="105"/>
      <c r="Z1395" s="105"/>
      <c r="AA1395" s="105"/>
      <c r="AB1395" s="179"/>
      <c r="AC1395" s="105"/>
    </row>
    <row r="1396" ht="33.75" customHeight="1">
      <c r="A1396" s="65" t="s">
        <v>2356</v>
      </c>
      <c r="B1396" s="215" t="s">
        <v>2226</v>
      </c>
      <c r="C1396" s="215" t="s">
        <v>2351</v>
      </c>
      <c r="D1396" s="215" t="s">
        <v>2354</v>
      </c>
      <c r="E1396" s="215" t="s">
        <v>2355</v>
      </c>
      <c r="F1396" s="65" t="s">
        <v>2260</v>
      </c>
      <c r="G1396" s="65" t="s">
        <v>168</v>
      </c>
      <c r="H1396" s="65" t="s">
        <v>168</v>
      </c>
      <c r="I1396" s="65"/>
      <c r="J1396" s="65" t="s">
        <v>9</v>
      </c>
      <c r="K1396" s="65" t="s">
        <v>9</v>
      </c>
      <c r="L1396" s="128">
        <v>0.0</v>
      </c>
      <c r="M1396" s="180">
        <f t="shared" si="834"/>
        <v>0</v>
      </c>
      <c r="N1396" s="128">
        <v>0.0</v>
      </c>
      <c r="O1396" s="129">
        <f t="shared" ref="O1396:O1398" si="877">IF(COUNT(L1396:N1396)=0,"",(L1396+4*M1396+N1396)/6)</f>
        <v>0</v>
      </c>
      <c r="P1396" s="159"/>
      <c r="Q1396" s="208">
        <f t="shared" ref="Q1396:Q1398" si="878">IF(O1396="","",IF(P1396="",O1396,O1396*(1+P1396)))</f>
        <v>0</v>
      </c>
      <c r="R1396" s="132"/>
      <c r="S1396" s="132"/>
      <c r="T1396" s="65" t="s">
        <v>31</v>
      </c>
      <c r="U1396" s="26"/>
      <c r="V1396" s="26"/>
      <c r="W1396" s="26"/>
      <c r="X1396" s="26"/>
      <c r="Y1396" s="26"/>
      <c r="Z1396" s="26"/>
      <c r="AA1396" s="26"/>
      <c r="AB1396" s="26"/>
      <c r="AC1396" s="26"/>
    </row>
    <row r="1397" ht="33.75" customHeight="1">
      <c r="A1397" s="65" t="s">
        <v>2357</v>
      </c>
      <c r="B1397" s="215" t="s">
        <v>2226</v>
      </c>
      <c r="C1397" s="215" t="s">
        <v>2351</v>
      </c>
      <c r="D1397" s="215" t="s">
        <v>2354</v>
      </c>
      <c r="E1397" s="215" t="s">
        <v>2355</v>
      </c>
      <c r="F1397" s="65" t="s">
        <v>2260</v>
      </c>
      <c r="G1397" s="65" t="s">
        <v>168</v>
      </c>
      <c r="H1397" s="65" t="s">
        <v>168</v>
      </c>
      <c r="I1397" s="65"/>
      <c r="J1397" s="65" t="s">
        <v>9</v>
      </c>
      <c r="K1397" s="65" t="s">
        <v>9</v>
      </c>
      <c r="L1397" s="128">
        <v>0.0</v>
      </c>
      <c r="M1397" s="180">
        <f t="shared" si="834"/>
        <v>0</v>
      </c>
      <c r="N1397" s="128">
        <v>0.0</v>
      </c>
      <c r="O1397" s="129">
        <f t="shared" si="877"/>
        <v>0</v>
      </c>
      <c r="P1397" s="159"/>
      <c r="Q1397" s="208">
        <f t="shared" si="878"/>
        <v>0</v>
      </c>
      <c r="R1397" s="132"/>
      <c r="S1397" s="132"/>
      <c r="T1397" s="65" t="s">
        <v>32</v>
      </c>
      <c r="U1397" s="26"/>
      <c r="V1397" s="26"/>
      <c r="W1397" s="26"/>
      <c r="X1397" s="26"/>
      <c r="Y1397" s="26"/>
      <c r="Z1397" s="26"/>
      <c r="AA1397" s="26"/>
      <c r="AB1397" s="26"/>
      <c r="AC1397" s="26"/>
    </row>
    <row r="1398" ht="33.75" customHeight="1">
      <c r="A1398" s="65" t="s">
        <v>2358</v>
      </c>
      <c r="B1398" s="215" t="s">
        <v>2226</v>
      </c>
      <c r="C1398" s="215" t="s">
        <v>2351</v>
      </c>
      <c r="D1398" s="215" t="s">
        <v>2354</v>
      </c>
      <c r="E1398" s="215" t="s">
        <v>2355</v>
      </c>
      <c r="F1398" s="65" t="s">
        <v>2260</v>
      </c>
      <c r="G1398" s="65" t="s">
        <v>168</v>
      </c>
      <c r="H1398" s="65" t="s">
        <v>168</v>
      </c>
      <c r="I1398" s="65"/>
      <c r="J1398" s="65" t="s">
        <v>9</v>
      </c>
      <c r="K1398" s="65" t="s">
        <v>9</v>
      </c>
      <c r="L1398" s="128">
        <v>0.0</v>
      </c>
      <c r="M1398" s="180">
        <f t="shared" si="834"/>
        <v>0</v>
      </c>
      <c r="N1398" s="128">
        <v>0.0</v>
      </c>
      <c r="O1398" s="129">
        <f t="shared" si="877"/>
        <v>0</v>
      </c>
      <c r="P1398" s="159"/>
      <c r="Q1398" s="208">
        <f t="shared" si="878"/>
        <v>0</v>
      </c>
      <c r="R1398" s="132"/>
      <c r="S1398" s="132"/>
      <c r="T1398" s="65" t="s">
        <v>70</v>
      </c>
      <c r="U1398" s="26"/>
      <c r="V1398" s="26"/>
      <c r="W1398" s="26"/>
      <c r="X1398" s="26"/>
      <c r="Y1398" s="26"/>
      <c r="Z1398" s="26"/>
      <c r="AA1398" s="26"/>
      <c r="AB1398" s="26"/>
      <c r="AC1398" s="26"/>
    </row>
    <row r="1399" ht="33.75" customHeight="1">
      <c r="A1399" s="54" t="s">
        <v>2359</v>
      </c>
      <c r="B1399" s="209" t="s">
        <v>2226</v>
      </c>
      <c r="C1399" s="209" t="s">
        <v>2351</v>
      </c>
      <c r="D1399" s="209" t="s">
        <v>2360</v>
      </c>
      <c r="E1399" s="209" t="s">
        <v>2361</v>
      </c>
      <c r="F1399" s="54" t="s">
        <v>2362</v>
      </c>
      <c r="G1399" s="54" t="s">
        <v>168</v>
      </c>
      <c r="H1399" s="54" t="s">
        <v>168</v>
      </c>
      <c r="I1399" s="54"/>
      <c r="J1399" s="54" t="s">
        <v>9</v>
      </c>
      <c r="K1399" s="54" t="s">
        <v>9</v>
      </c>
      <c r="L1399" s="202">
        <f>IF(COUNT(L1400:N1402)=0,"",SUM(L1400:L1402))</f>
        <v>0.5</v>
      </c>
      <c r="M1399" s="174">
        <f t="shared" si="834"/>
        <v>0.75</v>
      </c>
      <c r="N1399" s="202">
        <f>IF(COUNT(L1400:N1402)=0,"",SUM(N1400:N1402))</f>
        <v>1</v>
      </c>
      <c r="O1399" s="202">
        <f>IF(COUNT(O1400:O1402)=0,"",SUM(O1400:O1402))</f>
        <v>0.75</v>
      </c>
      <c r="P1399" s="210"/>
      <c r="Q1399" s="202">
        <f>IF(COUNT(Q1400:Q1402)=0,"",SUM(Q1400:Q1402))</f>
        <v>0.75</v>
      </c>
      <c r="R1399" s="163"/>
      <c r="S1399" s="163"/>
      <c r="T1399" s="54" t="s">
        <v>65</v>
      </c>
      <c r="U1399" s="26"/>
      <c r="V1399" s="26"/>
      <c r="W1399" s="26"/>
      <c r="X1399" s="105"/>
      <c r="Y1399" s="105"/>
      <c r="Z1399" s="105"/>
      <c r="AA1399" s="105"/>
      <c r="AB1399" s="105"/>
      <c r="AC1399" s="105"/>
    </row>
    <row r="1400" ht="33.75" customHeight="1">
      <c r="A1400" s="65" t="s">
        <v>2363</v>
      </c>
      <c r="B1400" s="215" t="s">
        <v>2226</v>
      </c>
      <c r="C1400" s="215" t="s">
        <v>2351</v>
      </c>
      <c r="D1400" s="215" t="s">
        <v>2360</v>
      </c>
      <c r="E1400" s="215" t="s">
        <v>2361</v>
      </c>
      <c r="F1400" s="65" t="s">
        <v>2362</v>
      </c>
      <c r="G1400" s="65" t="s">
        <v>168</v>
      </c>
      <c r="H1400" s="65" t="s">
        <v>168</v>
      </c>
      <c r="I1400" s="65"/>
      <c r="J1400" s="65" t="s">
        <v>9</v>
      </c>
      <c r="K1400" s="65" t="s">
        <v>9</v>
      </c>
      <c r="L1400" s="128">
        <v>0.0</v>
      </c>
      <c r="M1400" s="180">
        <f t="shared" si="834"/>
        <v>0</v>
      </c>
      <c r="N1400" s="128">
        <v>0.0</v>
      </c>
      <c r="O1400" s="129">
        <f t="shared" ref="O1400:O1402" si="879">IF(COUNT(L1400:N1400)=0,"",(L1400+4*M1400+N1400)/6)</f>
        <v>0</v>
      </c>
      <c r="P1400" s="159"/>
      <c r="Q1400" s="208">
        <f t="shared" ref="Q1400:Q1402" si="880">IF(O1400="","",IF(P1400="",O1400,O1400*(1+P1400)))</f>
        <v>0</v>
      </c>
      <c r="R1400" s="132"/>
      <c r="S1400" s="132"/>
      <c r="T1400" s="65" t="s">
        <v>31</v>
      </c>
      <c r="U1400" s="26"/>
      <c r="V1400" s="26"/>
      <c r="W1400" s="26"/>
      <c r="X1400" s="26"/>
      <c r="Y1400" s="26"/>
      <c r="Z1400" s="26"/>
      <c r="AA1400" s="26"/>
      <c r="AB1400" s="26"/>
      <c r="AC1400" s="26"/>
    </row>
    <row r="1401" ht="33.75" customHeight="1">
      <c r="A1401" s="65" t="s">
        <v>2364</v>
      </c>
      <c r="B1401" s="215" t="s">
        <v>2226</v>
      </c>
      <c r="C1401" s="215" t="s">
        <v>2351</v>
      </c>
      <c r="D1401" s="215" t="s">
        <v>2360</v>
      </c>
      <c r="E1401" s="215" t="s">
        <v>2361</v>
      </c>
      <c r="F1401" s="65" t="s">
        <v>2362</v>
      </c>
      <c r="G1401" s="65" t="s">
        <v>168</v>
      </c>
      <c r="H1401" s="65" t="s">
        <v>168</v>
      </c>
      <c r="I1401" s="65"/>
      <c r="J1401" s="65" t="s">
        <v>9</v>
      </c>
      <c r="K1401" s="65" t="s">
        <v>9</v>
      </c>
      <c r="L1401" s="128">
        <v>0.5</v>
      </c>
      <c r="M1401" s="180">
        <f t="shared" si="834"/>
        <v>0.75</v>
      </c>
      <c r="N1401" s="128">
        <v>1.0</v>
      </c>
      <c r="O1401" s="129">
        <f t="shared" si="879"/>
        <v>0.75</v>
      </c>
      <c r="P1401" s="159"/>
      <c r="Q1401" s="208">
        <f t="shared" si="880"/>
        <v>0.75</v>
      </c>
      <c r="R1401" s="132"/>
      <c r="S1401" s="132"/>
      <c r="T1401" s="65" t="s">
        <v>32</v>
      </c>
      <c r="U1401" s="26"/>
      <c r="V1401" s="26"/>
      <c r="W1401" s="26"/>
      <c r="X1401" s="26"/>
      <c r="Y1401" s="26"/>
      <c r="Z1401" s="26"/>
      <c r="AA1401" s="26"/>
      <c r="AB1401" s="26"/>
      <c r="AC1401" s="26"/>
    </row>
    <row r="1402" ht="33.75" customHeight="1">
      <c r="A1402" s="65" t="s">
        <v>2365</v>
      </c>
      <c r="B1402" s="215" t="s">
        <v>2226</v>
      </c>
      <c r="C1402" s="215" t="s">
        <v>2351</v>
      </c>
      <c r="D1402" s="215" t="s">
        <v>2360</v>
      </c>
      <c r="E1402" s="215" t="s">
        <v>2361</v>
      </c>
      <c r="F1402" s="65" t="s">
        <v>2362</v>
      </c>
      <c r="G1402" s="65" t="s">
        <v>168</v>
      </c>
      <c r="H1402" s="65" t="s">
        <v>168</v>
      </c>
      <c r="I1402" s="65"/>
      <c r="J1402" s="65" t="s">
        <v>9</v>
      </c>
      <c r="K1402" s="65" t="s">
        <v>9</v>
      </c>
      <c r="L1402" s="128">
        <v>0.0</v>
      </c>
      <c r="M1402" s="180">
        <f t="shared" si="834"/>
        <v>0</v>
      </c>
      <c r="N1402" s="128">
        <v>0.0</v>
      </c>
      <c r="O1402" s="129">
        <f t="shared" si="879"/>
        <v>0</v>
      </c>
      <c r="P1402" s="159"/>
      <c r="Q1402" s="208">
        <f t="shared" si="880"/>
        <v>0</v>
      </c>
      <c r="R1402" s="132"/>
      <c r="S1402" s="132"/>
      <c r="T1402" s="65" t="s">
        <v>70</v>
      </c>
      <c r="U1402" s="26"/>
      <c r="V1402" s="26"/>
      <c r="W1402" s="26"/>
      <c r="X1402" s="26"/>
      <c r="Y1402" s="26"/>
      <c r="Z1402" s="26"/>
      <c r="AA1402" s="26"/>
      <c r="AB1402" s="26"/>
      <c r="AC1402" s="26"/>
    </row>
    <row r="1403" ht="33.75" customHeight="1">
      <c r="A1403" s="54" t="s">
        <v>2366</v>
      </c>
      <c r="B1403" s="209" t="s">
        <v>2226</v>
      </c>
      <c r="C1403" s="209" t="s">
        <v>2351</v>
      </c>
      <c r="D1403" s="209" t="s">
        <v>2367</v>
      </c>
      <c r="E1403" s="209" t="s">
        <v>2368</v>
      </c>
      <c r="F1403" s="54"/>
      <c r="G1403" s="54" t="s">
        <v>168</v>
      </c>
      <c r="H1403" s="54" t="s">
        <v>168</v>
      </c>
      <c r="I1403" s="54"/>
      <c r="J1403" s="54" t="s">
        <v>9</v>
      </c>
      <c r="K1403" s="54" t="s">
        <v>9</v>
      </c>
      <c r="L1403" s="202">
        <f>IF(COUNT(L1404:N1406)=0,"",SUM(L1404:L1406))</f>
        <v>0.5</v>
      </c>
      <c r="M1403" s="174">
        <f t="shared" si="834"/>
        <v>0.75</v>
      </c>
      <c r="N1403" s="202">
        <f>IF(COUNT(L1404:N1406)=0,"",SUM(N1404:N1406))</f>
        <v>1</v>
      </c>
      <c r="O1403" s="202">
        <f>IF(COUNT(O1404:O1406)=0,"",SUM(O1404:O1406))</f>
        <v>0.75</v>
      </c>
      <c r="P1403" s="210"/>
      <c r="Q1403" s="202">
        <f>IF(COUNT(Q1404:Q1406)=0,"",SUM(Q1404:Q1406))</f>
        <v>0.75</v>
      </c>
      <c r="R1403" s="163"/>
      <c r="S1403" s="163"/>
      <c r="T1403" s="54" t="s">
        <v>65</v>
      </c>
      <c r="U1403" s="26"/>
      <c r="V1403" s="26"/>
      <c r="W1403" s="26"/>
      <c r="X1403" s="105"/>
      <c r="Y1403" s="105"/>
      <c r="Z1403" s="105"/>
      <c r="AA1403" s="105"/>
      <c r="AB1403" s="105"/>
      <c r="AC1403" s="105"/>
    </row>
    <row r="1404" ht="33.75" customHeight="1">
      <c r="A1404" s="65" t="s">
        <v>2369</v>
      </c>
      <c r="B1404" s="215" t="s">
        <v>2226</v>
      </c>
      <c r="C1404" s="215" t="s">
        <v>2351</v>
      </c>
      <c r="D1404" s="215" t="s">
        <v>2367</v>
      </c>
      <c r="E1404" s="215" t="s">
        <v>2368</v>
      </c>
      <c r="F1404" s="65"/>
      <c r="G1404" s="65" t="s">
        <v>168</v>
      </c>
      <c r="H1404" s="65" t="s">
        <v>168</v>
      </c>
      <c r="I1404" s="65"/>
      <c r="J1404" s="65" t="s">
        <v>9</v>
      </c>
      <c r="K1404" s="65" t="s">
        <v>9</v>
      </c>
      <c r="L1404" s="128">
        <v>0.5</v>
      </c>
      <c r="M1404" s="180">
        <f t="shared" si="834"/>
        <v>0.75</v>
      </c>
      <c r="N1404" s="128">
        <v>1.0</v>
      </c>
      <c r="O1404" s="129">
        <f t="shared" ref="O1404:O1406" si="881">IF(COUNT(L1404:N1404)=0,"",(L1404+4*M1404+N1404)/6)</f>
        <v>0.75</v>
      </c>
      <c r="P1404" s="159"/>
      <c r="Q1404" s="208">
        <f t="shared" ref="Q1404:Q1406" si="882">IF(O1404="","",IF(P1404="",O1404,O1404*(1+P1404)))</f>
        <v>0.75</v>
      </c>
      <c r="R1404" s="132"/>
      <c r="S1404" s="132"/>
      <c r="T1404" s="65" t="s">
        <v>31</v>
      </c>
      <c r="U1404" s="26"/>
      <c r="V1404" s="26"/>
      <c r="W1404" s="26"/>
      <c r="X1404" s="26"/>
      <c r="Y1404" s="26"/>
      <c r="Z1404" s="26"/>
      <c r="AA1404" s="26"/>
      <c r="AB1404" s="26"/>
      <c r="AC1404" s="26"/>
    </row>
    <row r="1405" ht="33.75" customHeight="1">
      <c r="A1405" s="65" t="s">
        <v>2370</v>
      </c>
      <c r="B1405" s="215" t="s">
        <v>2226</v>
      </c>
      <c r="C1405" s="215" t="s">
        <v>2351</v>
      </c>
      <c r="D1405" s="215" t="s">
        <v>2367</v>
      </c>
      <c r="E1405" s="215" t="s">
        <v>2368</v>
      </c>
      <c r="F1405" s="65"/>
      <c r="G1405" s="65" t="s">
        <v>168</v>
      </c>
      <c r="H1405" s="65" t="s">
        <v>168</v>
      </c>
      <c r="I1405" s="65"/>
      <c r="J1405" s="65" t="s">
        <v>9</v>
      </c>
      <c r="K1405" s="65" t="s">
        <v>9</v>
      </c>
      <c r="L1405" s="128">
        <v>0.0</v>
      </c>
      <c r="M1405" s="180">
        <f t="shared" si="834"/>
        <v>0</v>
      </c>
      <c r="N1405" s="128">
        <v>0.0</v>
      </c>
      <c r="O1405" s="129">
        <f t="shared" si="881"/>
        <v>0</v>
      </c>
      <c r="P1405" s="159"/>
      <c r="Q1405" s="208">
        <f t="shared" si="882"/>
        <v>0</v>
      </c>
      <c r="R1405" s="132"/>
      <c r="S1405" s="132"/>
      <c r="T1405" s="65" t="s">
        <v>32</v>
      </c>
      <c r="U1405" s="26"/>
      <c r="V1405" s="26"/>
      <c r="W1405" s="26"/>
      <c r="X1405" s="26"/>
      <c r="Y1405" s="26"/>
      <c r="Z1405" s="26"/>
      <c r="AA1405" s="26"/>
      <c r="AB1405" s="26"/>
      <c r="AC1405" s="26"/>
    </row>
    <row r="1406" ht="33.75" customHeight="1">
      <c r="A1406" s="65" t="s">
        <v>2371</v>
      </c>
      <c r="B1406" s="215" t="s">
        <v>2226</v>
      </c>
      <c r="C1406" s="215" t="s">
        <v>2351</v>
      </c>
      <c r="D1406" s="215" t="s">
        <v>2367</v>
      </c>
      <c r="E1406" s="215" t="s">
        <v>2368</v>
      </c>
      <c r="F1406" s="65"/>
      <c r="G1406" s="65" t="s">
        <v>168</v>
      </c>
      <c r="H1406" s="65" t="s">
        <v>168</v>
      </c>
      <c r="I1406" s="65"/>
      <c r="J1406" s="65" t="s">
        <v>9</v>
      </c>
      <c r="K1406" s="65" t="s">
        <v>9</v>
      </c>
      <c r="L1406" s="128">
        <v>0.0</v>
      </c>
      <c r="M1406" s="180">
        <f t="shared" si="834"/>
        <v>0</v>
      </c>
      <c r="N1406" s="128">
        <v>0.0</v>
      </c>
      <c r="O1406" s="129">
        <f t="shared" si="881"/>
        <v>0</v>
      </c>
      <c r="P1406" s="159"/>
      <c r="Q1406" s="208">
        <f t="shared" si="882"/>
        <v>0</v>
      </c>
      <c r="R1406" s="132"/>
      <c r="S1406" s="132"/>
      <c r="T1406" s="65" t="s">
        <v>70</v>
      </c>
      <c r="U1406" s="26"/>
      <c r="V1406" s="26"/>
      <c r="W1406" s="26"/>
      <c r="X1406" s="26"/>
      <c r="Y1406" s="26"/>
      <c r="Z1406" s="26"/>
      <c r="AA1406" s="26"/>
      <c r="AB1406" s="26"/>
      <c r="AC1406" s="26"/>
    </row>
    <row r="1407" ht="33.75" customHeight="1">
      <c r="A1407" s="54" t="s">
        <v>2372</v>
      </c>
      <c r="B1407" s="209" t="s">
        <v>2226</v>
      </c>
      <c r="C1407" s="209" t="s">
        <v>2351</v>
      </c>
      <c r="D1407" s="209" t="s">
        <v>2373</v>
      </c>
      <c r="E1407" s="209" t="s">
        <v>2374</v>
      </c>
      <c r="F1407" s="54"/>
      <c r="G1407" s="54" t="s">
        <v>168</v>
      </c>
      <c r="H1407" s="54" t="s">
        <v>168</v>
      </c>
      <c r="I1407" s="54"/>
      <c r="J1407" s="54" t="s">
        <v>9</v>
      </c>
      <c r="K1407" s="54" t="s">
        <v>9</v>
      </c>
      <c r="L1407" s="202">
        <f>IF(COUNT(L1408:N1410)=0,"",SUM(L1408:L1410))</f>
        <v>0</v>
      </c>
      <c r="M1407" s="174">
        <f t="shared" si="834"/>
        <v>0</v>
      </c>
      <c r="N1407" s="202">
        <f>IF(COUNT(L1408:N1410)=0,"",SUM(N1408:N1410))</f>
        <v>0</v>
      </c>
      <c r="O1407" s="202">
        <f>IF(COUNT(O1408:O1410)=0,"",SUM(O1408:O1410))</f>
        <v>0</v>
      </c>
      <c r="P1407" s="210"/>
      <c r="Q1407" s="202">
        <f>IF(COUNT(Q1408:Q1410)=0,"",SUM(Q1408:Q1410))</f>
        <v>0</v>
      </c>
      <c r="R1407" s="163"/>
      <c r="S1407" s="163"/>
      <c r="T1407" s="54" t="s">
        <v>65</v>
      </c>
      <c r="U1407" s="26"/>
      <c r="V1407" s="26"/>
      <c r="W1407" s="26"/>
      <c r="X1407" s="105"/>
      <c r="Y1407" s="105"/>
      <c r="Z1407" s="105"/>
      <c r="AA1407" s="105"/>
      <c r="AB1407" s="105"/>
      <c r="AC1407" s="105"/>
    </row>
    <row r="1408" ht="33.75" customHeight="1">
      <c r="A1408" s="65" t="s">
        <v>2375</v>
      </c>
      <c r="B1408" s="215" t="s">
        <v>2226</v>
      </c>
      <c r="C1408" s="215" t="s">
        <v>2351</v>
      </c>
      <c r="D1408" s="215" t="s">
        <v>2373</v>
      </c>
      <c r="E1408" s="215" t="s">
        <v>2374</v>
      </c>
      <c r="F1408" s="65"/>
      <c r="G1408" s="65" t="s">
        <v>168</v>
      </c>
      <c r="H1408" s="65" t="s">
        <v>168</v>
      </c>
      <c r="I1408" s="65"/>
      <c r="J1408" s="65" t="s">
        <v>9</v>
      </c>
      <c r="K1408" s="65" t="s">
        <v>9</v>
      </c>
      <c r="L1408" s="128">
        <v>0.0</v>
      </c>
      <c r="M1408" s="180">
        <f t="shared" si="834"/>
        <v>0</v>
      </c>
      <c r="N1408" s="128">
        <v>0.0</v>
      </c>
      <c r="O1408" s="129">
        <f t="shared" ref="O1408:O1410" si="883">IF(COUNT(L1408:N1408)=0,"",(L1408+4*M1408+N1408)/6)</f>
        <v>0</v>
      </c>
      <c r="P1408" s="159"/>
      <c r="Q1408" s="208">
        <f t="shared" ref="Q1408:Q1410" si="884">IF(O1408="","",IF(P1408="",O1408,O1408*(1+P1408)))</f>
        <v>0</v>
      </c>
      <c r="R1408" s="132"/>
      <c r="S1408" s="132"/>
      <c r="T1408" s="65" t="s">
        <v>31</v>
      </c>
      <c r="U1408" s="26"/>
      <c r="V1408" s="26"/>
      <c r="W1408" s="26"/>
      <c r="X1408" s="26"/>
      <c r="Y1408" s="26"/>
      <c r="Z1408" s="26"/>
      <c r="AA1408" s="26"/>
      <c r="AB1408" s="26"/>
      <c r="AC1408" s="26"/>
    </row>
    <row r="1409" ht="33.75" customHeight="1">
      <c r="A1409" s="65" t="s">
        <v>2376</v>
      </c>
      <c r="B1409" s="215" t="s">
        <v>2226</v>
      </c>
      <c r="C1409" s="215" t="s">
        <v>2351</v>
      </c>
      <c r="D1409" s="215" t="s">
        <v>2373</v>
      </c>
      <c r="E1409" s="215" t="s">
        <v>2374</v>
      </c>
      <c r="F1409" s="65"/>
      <c r="G1409" s="65" t="s">
        <v>168</v>
      </c>
      <c r="H1409" s="65" t="s">
        <v>168</v>
      </c>
      <c r="I1409" s="65"/>
      <c r="J1409" s="65" t="s">
        <v>9</v>
      </c>
      <c r="K1409" s="65" t="s">
        <v>9</v>
      </c>
      <c r="L1409" s="128">
        <v>0.0</v>
      </c>
      <c r="M1409" s="180">
        <f t="shared" si="834"/>
        <v>0</v>
      </c>
      <c r="N1409" s="128">
        <v>0.0</v>
      </c>
      <c r="O1409" s="129">
        <f t="shared" si="883"/>
        <v>0</v>
      </c>
      <c r="P1409" s="159"/>
      <c r="Q1409" s="208">
        <f t="shared" si="884"/>
        <v>0</v>
      </c>
      <c r="R1409" s="132"/>
      <c r="S1409" s="132"/>
      <c r="T1409" s="65" t="s">
        <v>32</v>
      </c>
      <c r="U1409" s="26"/>
      <c r="V1409" s="26"/>
      <c r="W1409" s="26"/>
      <c r="X1409" s="26"/>
      <c r="Y1409" s="26"/>
      <c r="Z1409" s="26"/>
      <c r="AA1409" s="26"/>
      <c r="AB1409" s="26"/>
      <c r="AC1409" s="26"/>
    </row>
    <row r="1410" ht="33.75" customHeight="1">
      <c r="A1410" s="65" t="s">
        <v>2377</v>
      </c>
      <c r="B1410" s="215" t="s">
        <v>2226</v>
      </c>
      <c r="C1410" s="215" t="s">
        <v>2351</v>
      </c>
      <c r="D1410" s="215" t="s">
        <v>2373</v>
      </c>
      <c r="E1410" s="215" t="s">
        <v>2374</v>
      </c>
      <c r="F1410" s="65"/>
      <c r="G1410" s="65" t="s">
        <v>168</v>
      </c>
      <c r="H1410" s="65" t="s">
        <v>168</v>
      </c>
      <c r="I1410" s="65"/>
      <c r="J1410" s="65" t="s">
        <v>9</v>
      </c>
      <c r="K1410" s="65" t="s">
        <v>9</v>
      </c>
      <c r="L1410" s="128">
        <v>0.0</v>
      </c>
      <c r="M1410" s="180">
        <f t="shared" si="834"/>
        <v>0</v>
      </c>
      <c r="N1410" s="128">
        <v>0.0</v>
      </c>
      <c r="O1410" s="129">
        <f t="shared" si="883"/>
        <v>0</v>
      </c>
      <c r="P1410" s="159"/>
      <c r="Q1410" s="208">
        <f t="shared" si="884"/>
        <v>0</v>
      </c>
      <c r="R1410" s="132"/>
      <c r="S1410" s="132"/>
      <c r="T1410" s="65" t="s">
        <v>70</v>
      </c>
      <c r="U1410" s="26"/>
      <c r="V1410" s="26"/>
      <c r="W1410" s="26"/>
      <c r="X1410" s="26"/>
      <c r="Y1410" s="26"/>
      <c r="Z1410" s="26"/>
      <c r="AA1410" s="26"/>
      <c r="AB1410" s="26"/>
      <c r="AC1410" s="26"/>
    </row>
    <row r="1411" ht="33.75" customHeight="1">
      <c r="A1411" s="71" t="s">
        <v>2378</v>
      </c>
      <c r="B1411" s="209" t="s">
        <v>2226</v>
      </c>
      <c r="C1411" s="209" t="s">
        <v>2351</v>
      </c>
      <c r="D1411" s="219" t="s">
        <v>2379</v>
      </c>
      <c r="E1411" s="219" t="s">
        <v>2380</v>
      </c>
      <c r="F1411" s="54"/>
      <c r="G1411" s="71" t="s">
        <v>200</v>
      </c>
      <c r="H1411" s="71" t="s">
        <v>200</v>
      </c>
      <c r="I1411" s="54"/>
      <c r="J1411" s="54" t="s">
        <v>9</v>
      </c>
      <c r="K1411" s="54" t="s">
        <v>9</v>
      </c>
      <c r="L1411" s="202">
        <f>IF(COUNT(L1412:N1414)=0,"",SUM(L1412:L1414))</f>
        <v>0</v>
      </c>
      <c r="M1411" s="174">
        <f t="shared" si="834"/>
        <v>0</v>
      </c>
      <c r="N1411" s="202">
        <f>IF(COUNT(L1412:N1414)=0,"",SUM(N1412:N1414))</f>
        <v>0</v>
      </c>
      <c r="O1411" s="202">
        <f>IF(COUNT(O1412:O1414)=0,"",SUM(O1412:O1414))</f>
        <v>0</v>
      </c>
      <c r="P1411" s="210"/>
      <c r="Q1411" s="202">
        <f>IF(COUNT(Q1412:Q1414)=0,"",SUM(Q1412:Q1414))</f>
        <v>0</v>
      </c>
      <c r="R1411" s="163"/>
      <c r="S1411" s="163"/>
      <c r="T1411" s="54" t="s">
        <v>65</v>
      </c>
      <c r="U1411" s="26"/>
      <c r="V1411" s="26"/>
      <c r="W1411" s="26"/>
      <c r="X1411" s="105"/>
      <c r="Y1411" s="105"/>
      <c r="Z1411" s="105"/>
      <c r="AA1411" s="105"/>
      <c r="AB1411" s="105"/>
      <c r="AC1411" s="105"/>
    </row>
    <row r="1412" ht="33.75" customHeight="1">
      <c r="A1412" s="230" t="s">
        <v>2381</v>
      </c>
      <c r="B1412" s="215" t="s">
        <v>2226</v>
      </c>
      <c r="C1412" s="215" t="s">
        <v>2351</v>
      </c>
      <c r="D1412" s="69" t="str">
        <f t="shared" ref="D1412:E1412" si="885">D1411</f>
        <v>Pre-approved canned templates for all external marketing communications, with audit logging per post</v>
      </c>
      <c r="E1412" s="69" t="str">
        <f t="shared" si="885"/>
        <v>Workshop 21 April: marketing comms (social, email, ad copy) use pre-approved templates rather than freely-generated content. Content approval happens once at template level, not per-post; each deployed post is logged against the template it came from. Provides compliance defensibility at scale (MD 13.1.4).</v>
      </c>
      <c r="F1412" s="65"/>
      <c r="G1412" s="69" t="str">
        <f t="shared" ref="G1412:J1412" si="886">G1411</f>
        <v>L</v>
      </c>
      <c r="H1412" s="69" t="str">
        <f t="shared" si="886"/>
        <v>L</v>
      </c>
      <c r="I1412" s="69" t="str">
        <f t="shared" si="886"/>
        <v/>
      </c>
      <c r="J1412" s="69" t="str">
        <f t="shared" si="886"/>
        <v>MVP</v>
      </c>
      <c r="K1412" s="65" t="s">
        <v>9</v>
      </c>
      <c r="L1412" s="128">
        <v>0.0</v>
      </c>
      <c r="M1412" s="180">
        <f t="shared" si="834"/>
        <v>0</v>
      </c>
      <c r="N1412" s="128">
        <v>0.0</v>
      </c>
      <c r="O1412" s="129">
        <f t="shared" ref="O1412:O1414" si="889">IF(COUNT(L1412:N1412)=0,"",(L1412+4*M1412+N1412)/6)</f>
        <v>0</v>
      </c>
      <c r="P1412" s="159"/>
      <c r="Q1412" s="208">
        <f t="shared" ref="Q1412:Q1414" si="890">IF(O1412="","",IF(P1412="",O1412,O1412*(1+P1412)))</f>
        <v>0</v>
      </c>
      <c r="R1412" s="132"/>
      <c r="S1412" s="132"/>
      <c r="T1412" s="65" t="s">
        <v>31</v>
      </c>
      <c r="U1412" s="26"/>
      <c r="V1412" s="26"/>
      <c r="W1412" s="26"/>
      <c r="X1412" s="26"/>
      <c r="Y1412" s="26"/>
      <c r="Z1412" s="26"/>
      <c r="AA1412" s="26"/>
      <c r="AB1412" s="26"/>
      <c r="AC1412" s="26"/>
    </row>
    <row r="1413" ht="33.75" customHeight="1">
      <c r="A1413" s="231" t="s">
        <v>2382</v>
      </c>
      <c r="B1413" s="215" t="s">
        <v>2226</v>
      </c>
      <c r="C1413" s="215" t="s">
        <v>2351</v>
      </c>
      <c r="D1413" s="69" t="str">
        <f t="shared" ref="D1413:E1413" si="887">D1412</f>
        <v>Pre-approved canned templates for all external marketing communications, with audit logging per post</v>
      </c>
      <c r="E1413" s="69" t="str">
        <f t="shared" si="887"/>
        <v>Workshop 21 April: marketing comms (social, email, ad copy) use pre-approved templates rather than freely-generated content. Content approval happens once at template level, not per-post; each deployed post is logged against the template it came from. Provides compliance defensibility at scale (MD 13.1.4).</v>
      </c>
      <c r="F1413" s="65"/>
      <c r="G1413" s="69" t="str">
        <f t="shared" ref="G1413:J1413" si="888">G1412</f>
        <v>L</v>
      </c>
      <c r="H1413" s="69" t="str">
        <f t="shared" si="888"/>
        <v>L</v>
      </c>
      <c r="I1413" s="69" t="str">
        <f t="shared" si="888"/>
        <v/>
      </c>
      <c r="J1413" s="69" t="str">
        <f t="shared" si="888"/>
        <v>MVP</v>
      </c>
      <c r="K1413" s="65" t="s">
        <v>9</v>
      </c>
      <c r="L1413" s="128">
        <v>0.0</v>
      </c>
      <c r="M1413" s="180">
        <f t="shared" si="834"/>
        <v>0</v>
      </c>
      <c r="N1413" s="128">
        <v>0.0</v>
      </c>
      <c r="O1413" s="129">
        <f t="shared" si="889"/>
        <v>0</v>
      </c>
      <c r="P1413" s="159"/>
      <c r="Q1413" s="208">
        <f t="shared" si="890"/>
        <v>0</v>
      </c>
      <c r="R1413" s="132"/>
      <c r="S1413" s="132"/>
      <c r="T1413" s="65" t="s">
        <v>32</v>
      </c>
      <c r="U1413" s="26"/>
      <c r="V1413" s="26"/>
      <c r="W1413" s="26"/>
      <c r="X1413" s="26"/>
      <c r="Y1413" s="26"/>
      <c r="Z1413" s="26"/>
      <c r="AA1413" s="26"/>
      <c r="AB1413" s="26"/>
      <c r="AC1413" s="26"/>
    </row>
    <row r="1414" ht="33.75" customHeight="1">
      <c r="A1414" s="231" t="s">
        <v>2383</v>
      </c>
      <c r="B1414" s="215" t="s">
        <v>2226</v>
      </c>
      <c r="C1414" s="215" t="s">
        <v>2351</v>
      </c>
      <c r="D1414" s="69" t="str">
        <f t="shared" ref="D1414:E1414" si="891">D1413</f>
        <v>Pre-approved canned templates for all external marketing communications, with audit logging per post</v>
      </c>
      <c r="E1414" s="69" t="str">
        <f t="shared" si="891"/>
        <v>Workshop 21 April: marketing comms (social, email, ad copy) use pre-approved templates rather than freely-generated content. Content approval happens once at template level, not per-post; each deployed post is logged against the template it came from. Provides compliance defensibility at scale (MD 13.1.4).</v>
      </c>
      <c r="F1414" s="65"/>
      <c r="G1414" s="69" t="str">
        <f t="shared" ref="G1414:J1414" si="892">G1413</f>
        <v>L</v>
      </c>
      <c r="H1414" s="69" t="str">
        <f t="shared" si="892"/>
        <v>L</v>
      </c>
      <c r="I1414" s="69" t="str">
        <f t="shared" si="892"/>
        <v/>
      </c>
      <c r="J1414" s="69" t="str">
        <f t="shared" si="892"/>
        <v>MVP</v>
      </c>
      <c r="K1414" s="65" t="s">
        <v>9</v>
      </c>
      <c r="L1414" s="128">
        <v>0.0</v>
      </c>
      <c r="M1414" s="180">
        <f t="shared" si="834"/>
        <v>0</v>
      </c>
      <c r="N1414" s="128">
        <v>0.0</v>
      </c>
      <c r="O1414" s="129">
        <f t="shared" si="889"/>
        <v>0</v>
      </c>
      <c r="P1414" s="159"/>
      <c r="Q1414" s="208">
        <f t="shared" si="890"/>
        <v>0</v>
      </c>
      <c r="R1414" s="132"/>
      <c r="S1414" s="132"/>
      <c r="T1414" s="65" t="s">
        <v>70</v>
      </c>
      <c r="U1414" s="26"/>
      <c r="V1414" s="26"/>
      <c r="W1414" s="26"/>
      <c r="X1414" s="26"/>
      <c r="Y1414" s="26"/>
      <c r="Z1414" s="26"/>
      <c r="AA1414" s="26"/>
      <c r="AB1414" s="26"/>
      <c r="AC1414" s="26"/>
    </row>
    <row r="1415" ht="33.75" customHeight="1">
      <c r="A1415" s="45" t="s">
        <v>2384</v>
      </c>
      <c r="B1415" s="212" t="s">
        <v>2226</v>
      </c>
      <c r="C1415" s="212" t="s">
        <v>2385</v>
      </c>
      <c r="D1415" s="212" t="s">
        <v>2385</v>
      </c>
      <c r="E1415" s="212" t="s">
        <v>2386</v>
      </c>
      <c r="F1415" s="45"/>
      <c r="G1415" s="45"/>
      <c r="H1415" s="45"/>
      <c r="I1415" s="45"/>
      <c r="J1415" s="45"/>
      <c r="K1415" s="123"/>
      <c r="L1415" s="213">
        <f>IF(COUNT(L1416,L1420,L1424)=0,"",SUM(L1416,L1420,L1424))</f>
        <v>2.75</v>
      </c>
      <c r="M1415" s="213">
        <f t="shared" si="834"/>
        <v>4.125</v>
      </c>
      <c r="N1415" s="213">
        <f t="shared" ref="N1415:O1415" si="893">IF(COUNT(N1416,N1420,N1424)=0,"",SUM(N1416,N1420,N1424))</f>
        <v>5.5</v>
      </c>
      <c r="O1415" s="213">
        <f t="shared" si="893"/>
        <v>4.125</v>
      </c>
      <c r="P1415" s="214"/>
      <c r="Q1415" s="213">
        <f>IF(COUNT(Q1416,Q1420,Q1424)=0,"",SUM(Q1416,Q1420,Q1424))</f>
        <v>4.125</v>
      </c>
      <c r="R1415" s="126"/>
      <c r="S1415" s="126"/>
      <c r="T1415" s="45" t="s">
        <v>62</v>
      </c>
      <c r="U1415" s="26"/>
      <c r="V1415" s="26"/>
      <c r="W1415" s="26"/>
      <c r="X1415" s="46">
        <f t="shared" ref="X1415:AA1415" si="894">L1415</f>
        <v>2.75</v>
      </c>
      <c r="Y1415" s="46">
        <f t="shared" si="894"/>
        <v>4.125</v>
      </c>
      <c r="Z1415" s="46">
        <f t="shared" si="894"/>
        <v>5.5</v>
      </c>
      <c r="AA1415" s="46">
        <f t="shared" si="894"/>
        <v>4.125</v>
      </c>
      <c r="AB1415" s="26"/>
      <c r="AC1415" s="46">
        <f>Q1415</f>
        <v>4.125</v>
      </c>
    </row>
    <row r="1416" ht="33.75" customHeight="1">
      <c r="A1416" s="54" t="s">
        <v>2387</v>
      </c>
      <c r="B1416" s="209" t="s">
        <v>2226</v>
      </c>
      <c r="C1416" s="209" t="s">
        <v>2385</v>
      </c>
      <c r="D1416" s="209" t="s">
        <v>2388</v>
      </c>
      <c r="E1416" s="209" t="s">
        <v>2389</v>
      </c>
      <c r="F1416" s="54"/>
      <c r="G1416" s="54" t="s">
        <v>168</v>
      </c>
      <c r="H1416" s="54" t="s">
        <v>168</v>
      </c>
      <c r="I1416" s="54"/>
      <c r="J1416" s="54" t="s">
        <v>9</v>
      </c>
      <c r="K1416" s="119" t="s">
        <v>9</v>
      </c>
      <c r="L1416" s="202">
        <f>IF(COUNT(L1417:N1419)=0,"",SUM(L1417:L1419))</f>
        <v>1.25</v>
      </c>
      <c r="M1416" s="174">
        <f t="shared" si="834"/>
        <v>1.875</v>
      </c>
      <c r="N1416" s="202">
        <f>IF(COUNT(L1417:N1419)=0,"",SUM(N1417:N1419))</f>
        <v>2.5</v>
      </c>
      <c r="O1416" s="202">
        <f>IF(COUNT(O1417:O1419)=0,"",SUM(O1417:O1419))</f>
        <v>1.875</v>
      </c>
      <c r="P1416" s="210"/>
      <c r="Q1416" s="202">
        <f>IF(COUNT(Q1417:Q1419)=0,"",SUM(Q1417:Q1419))</f>
        <v>1.875</v>
      </c>
      <c r="R1416" s="163"/>
      <c r="S1416" s="163"/>
      <c r="T1416" s="54" t="s">
        <v>65</v>
      </c>
      <c r="U1416" s="179"/>
      <c r="V1416" s="179"/>
      <c r="W1416" s="179"/>
      <c r="X1416" s="105"/>
      <c r="Y1416" s="105"/>
      <c r="Z1416" s="105"/>
      <c r="AA1416" s="105"/>
      <c r="AB1416" s="179"/>
      <c r="AC1416" s="105"/>
    </row>
    <row r="1417" ht="33.75" customHeight="1">
      <c r="A1417" s="65" t="s">
        <v>2390</v>
      </c>
      <c r="B1417" s="215" t="s">
        <v>2226</v>
      </c>
      <c r="C1417" s="215" t="s">
        <v>2385</v>
      </c>
      <c r="D1417" s="215" t="s">
        <v>2388</v>
      </c>
      <c r="E1417" s="215" t="s">
        <v>2389</v>
      </c>
      <c r="F1417" s="65"/>
      <c r="G1417" s="65" t="s">
        <v>168</v>
      </c>
      <c r="H1417" s="65" t="s">
        <v>168</v>
      </c>
      <c r="I1417" s="65"/>
      <c r="J1417" s="65" t="s">
        <v>9</v>
      </c>
      <c r="K1417" s="65" t="s">
        <v>9</v>
      </c>
      <c r="L1417" s="128">
        <v>0.5</v>
      </c>
      <c r="M1417" s="180">
        <f t="shared" si="834"/>
        <v>0.75</v>
      </c>
      <c r="N1417" s="128">
        <v>1.0</v>
      </c>
      <c r="O1417" s="129">
        <f t="shared" ref="O1417:O1419" si="895">IF(COUNT(L1417:N1417)=0,"",(L1417+4*M1417+N1417)/6)</f>
        <v>0.75</v>
      </c>
      <c r="P1417" s="159"/>
      <c r="Q1417" s="208">
        <f t="shared" ref="Q1417:Q1419" si="896">IF(O1417="","",IF(P1417="",O1417,O1417*(1+P1417)))</f>
        <v>0.75</v>
      </c>
      <c r="R1417" s="132"/>
      <c r="S1417" s="132"/>
      <c r="T1417" s="65" t="s">
        <v>31</v>
      </c>
      <c r="U1417" s="26"/>
      <c r="V1417" s="26"/>
      <c r="W1417" s="26"/>
      <c r="X1417" s="26"/>
      <c r="Y1417" s="26"/>
      <c r="Z1417" s="26"/>
      <c r="AA1417" s="26"/>
      <c r="AB1417" s="26"/>
      <c r="AC1417" s="26"/>
    </row>
    <row r="1418" ht="33.75" customHeight="1">
      <c r="A1418" s="65" t="s">
        <v>2391</v>
      </c>
      <c r="B1418" s="215" t="s">
        <v>2226</v>
      </c>
      <c r="C1418" s="215" t="s">
        <v>2385</v>
      </c>
      <c r="D1418" s="215" t="s">
        <v>2388</v>
      </c>
      <c r="E1418" s="215" t="s">
        <v>2389</v>
      </c>
      <c r="F1418" s="65"/>
      <c r="G1418" s="65" t="s">
        <v>168</v>
      </c>
      <c r="H1418" s="65" t="s">
        <v>168</v>
      </c>
      <c r="I1418" s="65"/>
      <c r="J1418" s="65" t="s">
        <v>9</v>
      </c>
      <c r="K1418" s="65" t="s">
        <v>9</v>
      </c>
      <c r="L1418" s="128">
        <v>0.5</v>
      </c>
      <c r="M1418" s="180">
        <f t="shared" si="834"/>
        <v>0.75</v>
      </c>
      <c r="N1418" s="128">
        <v>1.0</v>
      </c>
      <c r="O1418" s="129">
        <f t="shared" si="895"/>
        <v>0.75</v>
      </c>
      <c r="P1418" s="159"/>
      <c r="Q1418" s="208">
        <f t="shared" si="896"/>
        <v>0.75</v>
      </c>
      <c r="R1418" s="132"/>
      <c r="S1418" s="132"/>
      <c r="T1418" s="65" t="s">
        <v>32</v>
      </c>
      <c r="U1418" s="26"/>
      <c r="V1418" s="26"/>
      <c r="W1418" s="26"/>
      <c r="X1418" s="26"/>
      <c r="Y1418" s="26"/>
      <c r="Z1418" s="26"/>
      <c r="AA1418" s="26"/>
      <c r="AB1418" s="26"/>
      <c r="AC1418" s="26"/>
    </row>
    <row r="1419" ht="33.75" customHeight="1">
      <c r="A1419" s="65" t="s">
        <v>2392</v>
      </c>
      <c r="B1419" s="215" t="s">
        <v>2226</v>
      </c>
      <c r="C1419" s="215" t="s">
        <v>2385</v>
      </c>
      <c r="D1419" s="215" t="s">
        <v>2388</v>
      </c>
      <c r="E1419" s="215" t="s">
        <v>2389</v>
      </c>
      <c r="F1419" s="65"/>
      <c r="G1419" s="65" t="s">
        <v>168</v>
      </c>
      <c r="H1419" s="65" t="s">
        <v>168</v>
      </c>
      <c r="I1419" s="65"/>
      <c r="J1419" s="65" t="s">
        <v>9</v>
      </c>
      <c r="K1419" s="65" t="s">
        <v>9</v>
      </c>
      <c r="L1419" s="128">
        <v>0.25</v>
      </c>
      <c r="M1419" s="180">
        <f t="shared" si="834"/>
        <v>0.375</v>
      </c>
      <c r="N1419" s="128">
        <v>0.5</v>
      </c>
      <c r="O1419" s="129">
        <f t="shared" si="895"/>
        <v>0.375</v>
      </c>
      <c r="P1419" s="159"/>
      <c r="Q1419" s="208">
        <f t="shared" si="896"/>
        <v>0.375</v>
      </c>
      <c r="R1419" s="132"/>
      <c r="S1419" s="132"/>
      <c r="T1419" s="65" t="s">
        <v>70</v>
      </c>
      <c r="U1419" s="26"/>
      <c r="V1419" s="26"/>
      <c r="W1419" s="26"/>
      <c r="X1419" s="26"/>
      <c r="Y1419" s="26"/>
      <c r="Z1419" s="26"/>
      <c r="AA1419" s="26"/>
      <c r="AB1419" s="26"/>
      <c r="AC1419" s="26"/>
    </row>
    <row r="1420" ht="33.75" customHeight="1">
      <c r="A1420" s="54" t="s">
        <v>2393</v>
      </c>
      <c r="B1420" s="209" t="s">
        <v>2226</v>
      </c>
      <c r="C1420" s="209" t="s">
        <v>2385</v>
      </c>
      <c r="D1420" s="209" t="s">
        <v>2394</v>
      </c>
      <c r="E1420" s="209" t="s">
        <v>2395</v>
      </c>
      <c r="F1420" s="54" t="s">
        <v>2387</v>
      </c>
      <c r="G1420" s="54" t="s">
        <v>168</v>
      </c>
      <c r="H1420" s="54" t="s">
        <v>168</v>
      </c>
      <c r="I1420" s="54"/>
      <c r="J1420" s="54" t="s">
        <v>9</v>
      </c>
      <c r="K1420" s="54" t="s">
        <v>9</v>
      </c>
      <c r="L1420" s="202">
        <f>IF(COUNT(L1421:N1423)=0,"",SUM(L1421:L1423))</f>
        <v>0.75</v>
      </c>
      <c r="M1420" s="174">
        <f t="shared" si="834"/>
        <v>1.125</v>
      </c>
      <c r="N1420" s="202">
        <f>IF(COUNT(L1421:N1423)=0,"",SUM(N1421:N1423))</f>
        <v>1.5</v>
      </c>
      <c r="O1420" s="202">
        <f>IF(COUNT(O1421:O1423)=0,"",SUM(O1421:O1423))</f>
        <v>1.125</v>
      </c>
      <c r="P1420" s="210"/>
      <c r="Q1420" s="202">
        <f>IF(COUNT(Q1421:Q1423)=0,"",SUM(Q1421:Q1423))</f>
        <v>1.125</v>
      </c>
      <c r="R1420" s="163"/>
      <c r="S1420" s="163"/>
      <c r="T1420" s="54" t="s">
        <v>65</v>
      </c>
      <c r="U1420" s="26"/>
      <c r="V1420" s="26"/>
      <c r="W1420" s="26"/>
      <c r="X1420" s="105"/>
      <c r="Y1420" s="105"/>
      <c r="Z1420" s="105"/>
      <c r="AA1420" s="105"/>
      <c r="AB1420" s="105"/>
      <c r="AC1420" s="105"/>
    </row>
    <row r="1421" ht="33.75" customHeight="1">
      <c r="A1421" s="65" t="s">
        <v>2396</v>
      </c>
      <c r="B1421" s="215" t="s">
        <v>2226</v>
      </c>
      <c r="C1421" s="215" t="s">
        <v>2385</v>
      </c>
      <c r="D1421" s="215" t="s">
        <v>2394</v>
      </c>
      <c r="E1421" s="215" t="s">
        <v>2395</v>
      </c>
      <c r="F1421" s="65" t="s">
        <v>2387</v>
      </c>
      <c r="G1421" s="65" t="s">
        <v>168</v>
      </c>
      <c r="H1421" s="65" t="s">
        <v>168</v>
      </c>
      <c r="I1421" s="65"/>
      <c r="J1421" s="65" t="s">
        <v>9</v>
      </c>
      <c r="K1421" s="65" t="s">
        <v>9</v>
      </c>
      <c r="L1421" s="128">
        <v>0.0</v>
      </c>
      <c r="M1421" s="180">
        <f t="shared" si="834"/>
        <v>0</v>
      </c>
      <c r="N1421" s="128">
        <v>0.0</v>
      </c>
      <c r="O1421" s="129">
        <f t="shared" ref="O1421:O1423" si="897">IF(COUNT(L1421:N1421)=0,"",(L1421+4*M1421+N1421)/6)</f>
        <v>0</v>
      </c>
      <c r="P1421" s="159"/>
      <c r="Q1421" s="208">
        <f t="shared" ref="Q1421:Q1423" si="898">IF(O1421="","",IF(P1421="",O1421,O1421*(1+P1421)))</f>
        <v>0</v>
      </c>
      <c r="R1421" s="132"/>
      <c r="S1421" s="132"/>
      <c r="T1421" s="65" t="s">
        <v>31</v>
      </c>
      <c r="U1421" s="26"/>
      <c r="V1421" s="26"/>
      <c r="W1421" s="26"/>
      <c r="X1421" s="26"/>
      <c r="Y1421" s="26"/>
      <c r="Z1421" s="26"/>
      <c r="AA1421" s="26"/>
      <c r="AB1421" s="26"/>
      <c r="AC1421" s="26"/>
    </row>
    <row r="1422" ht="33.75" customHeight="1">
      <c r="A1422" s="65" t="s">
        <v>2397</v>
      </c>
      <c r="B1422" s="215" t="s">
        <v>2226</v>
      </c>
      <c r="C1422" s="215" t="s">
        <v>2385</v>
      </c>
      <c r="D1422" s="215" t="s">
        <v>2394</v>
      </c>
      <c r="E1422" s="215" t="s">
        <v>2395</v>
      </c>
      <c r="F1422" s="65" t="s">
        <v>2387</v>
      </c>
      <c r="G1422" s="65" t="s">
        <v>168</v>
      </c>
      <c r="H1422" s="65" t="s">
        <v>168</v>
      </c>
      <c r="I1422" s="65"/>
      <c r="J1422" s="65" t="s">
        <v>9</v>
      </c>
      <c r="K1422" s="65" t="s">
        <v>9</v>
      </c>
      <c r="L1422" s="128">
        <v>0.5</v>
      </c>
      <c r="M1422" s="180">
        <f t="shared" si="834"/>
        <v>0.75</v>
      </c>
      <c r="N1422" s="128">
        <v>1.0</v>
      </c>
      <c r="O1422" s="129">
        <f t="shared" si="897"/>
        <v>0.75</v>
      </c>
      <c r="P1422" s="159"/>
      <c r="Q1422" s="208">
        <f t="shared" si="898"/>
        <v>0.75</v>
      </c>
      <c r="R1422" s="132"/>
      <c r="S1422" s="132"/>
      <c r="T1422" s="65" t="s">
        <v>32</v>
      </c>
      <c r="U1422" s="26"/>
      <c r="V1422" s="26"/>
      <c r="W1422" s="26"/>
      <c r="X1422" s="26"/>
      <c r="Y1422" s="26"/>
      <c r="Z1422" s="26"/>
      <c r="AA1422" s="26"/>
      <c r="AB1422" s="26"/>
      <c r="AC1422" s="26"/>
    </row>
    <row r="1423" ht="33.75" customHeight="1">
      <c r="A1423" s="65" t="s">
        <v>2398</v>
      </c>
      <c r="B1423" s="215" t="s">
        <v>2226</v>
      </c>
      <c r="C1423" s="215" t="s">
        <v>2385</v>
      </c>
      <c r="D1423" s="215" t="s">
        <v>2394</v>
      </c>
      <c r="E1423" s="215" t="s">
        <v>2395</v>
      </c>
      <c r="F1423" s="65" t="s">
        <v>2387</v>
      </c>
      <c r="G1423" s="65" t="s">
        <v>168</v>
      </c>
      <c r="H1423" s="65" t="s">
        <v>168</v>
      </c>
      <c r="I1423" s="65"/>
      <c r="J1423" s="65" t="s">
        <v>9</v>
      </c>
      <c r="K1423" s="65" t="s">
        <v>9</v>
      </c>
      <c r="L1423" s="128">
        <v>0.25</v>
      </c>
      <c r="M1423" s="180">
        <f t="shared" si="834"/>
        <v>0.375</v>
      </c>
      <c r="N1423" s="128">
        <v>0.5</v>
      </c>
      <c r="O1423" s="129">
        <f t="shared" si="897"/>
        <v>0.375</v>
      </c>
      <c r="P1423" s="159"/>
      <c r="Q1423" s="208">
        <f t="shared" si="898"/>
        <v>0.375</v>
      </c>
      <c r="R1423" s="132"/>
      <c r="S1423" s="132"/>
      <c r="T1423" s="65" t="s">
        <v>70</v>
      </c>
      <c r="U1423" s="26"/>
      <c r="V1423" s="26"/>
      <c r="W1423" s="26"/>
      <c r="X1423" s="26"/>
      <c r="Y1423" s="26"/>
      <c r="Z1423" s="26"/>
      <c r="AA1423" s="26"/>
      <c r="AB1423" s="26"/>
      <c r="AC1423" s="26"/>
    </row>
    <row r="1424" ht="33.75" customHeight="1">
      <c r="A1424" s="54" t="s">
        <v>2399</v>
      </c>
      <c r="B1424" s="209" t="s">
        <v>2226</v>
      </c>
      <c r="C1424" s="209" t="s">
        <v>2385</v>
      </c>
      <c r="D1424" s="209" t="s">
        <v>2400</v>
      </c>
      <c r="E1424" s="209" t="s">
        <v>2401</v>
      </c>
      <c r="F1424" s="54" t="s">
        <v>2402</v>
      </c>
      <c r="G1424" s="54" t="s">
        <v>168</v>
      </c>
      <c r="H1424" s="54" t="s">
        <v>168</v>
      </c>
      <c r="I1424" s="54"/>
      <c r="J1424" s="54" t="s">
        <v>9</v>
      </c>
      <c r="K1424" s="54" t="s">
        <v>9</v>
      </c>
      <c r="L1424" s="202">
        <f>IF(COUNT(L1425:N1427)=0,"",SUM(L1425:L1427))</f>
        <v>0.75</v>
      </c>
      <c r="M1424" s="174">
        <f t="shared" si="834"/>
        <v>1.125</v>
      </c>
      <c r="N1424" s="202">
        <f>IF(COUNT(L1425:N1427)=0,"",SUM(N1425:N1427))</f>
        <v>1.5</v>
      </c>
      <c r="O1424" s="202">
        <f>IF(COUNT(O1425:O1427)=0,"",SUM(O1425:O1427))</f>
        <v>1.125</v>
      </c>
      <c r="P1424" s="210"/>
      <c r="Q1424" s="202">
        <f>IF(COUNT(Q1425:Q1427)=0,"",SUM(Q1425:Q1427))</f>
        <v>1.125</v>
      </c>
      <c r="R1424" s="163"/>
      <c r="S1424" s="163"/>
      <c r="T1424" s="54" t="s">
        <v>65</v>
      </c>
      <c r="U1424" s="26"/>
      <c r="V1424" s="26"/>
      <c r="W1424" s="26"/>
      <c r="X1424" s="105"/>
      <c r="Y1424" s="105"/>
      <c r="Z1424" s="105"/>
      <c r="AA1424" s="105"/>
      <c r="AB1424" s="105"/>
      <c r="AC1424" s="105"/>
    </row>
    <row r="1425" ht="33.75" customHeight="1">
      <c r="A1425" s="65" t="s">
        <v>2403</v>
      </c>
      <c r="B1425" s="215" t="s">
        <v>2226</v>
      </c>
      <c r="C1425" s="215" t="s">
        <v>2385</v>
      </c>
      <c r="D1425" s="215" t="s">
        <v>2400</v>
      </c>
      <c r="E1425" s="215" t="s">
        <v>2401</v>
      </c>
      <c r="F1425" s="65" t="s">
        <v>2402</v>
      </c>
      <c r="G1425" s="65" t="s">
        <v>168</v>
      </c>
      <c r="H1425" s="65" t="s">
        <v>168</v>
      </c>
      <c r="I1425" s="65"/>
      <c r="J1425" s="65" t="s">
        <v>9</v>
      </c>
      <c r="K1425" s="65" t="s">
        <v>9</v>
      </c>
      <c r="L1425" s="128">
        <v>0.0</v>
      </c>
      <c r="M1425" s="180">
        <f t="shared" si="834"/>
        <v>0</v>
      </c>
      <c r="N1425" s="128">
        <v>0.0</v>
      </c>
      <c r="O1425" s="129">
        <f t="shared" ref="O1425:O1427" si="899">IF(COUNT(L1425:N1425)=0,"",(L1425+4*M1425+N1425)/6)</f>
        <v>0</v>
      </c>
      <c r="P1425" s="159"/>
      <c r="Q1425" s="208">
        <f t="shared" ref="Q1425:Q1427" si="900">IF(O1425="","",IF(P1425="",O1425,O1425*(1+P1425)))</f>
        <v>0</v>
      </c>
      <c r="R1425" s="132"/>
      <c r="S1425" s="132"/>
      <c r="T1425" s="65" t="s">
        <v>31</v>
      </c>
      <c r="U1425" s="26"/>
      <c r="V1425" s="26"/>
      <c r="W1425" s="26"/>
      <c r="X1425" s="26"/>
      <c r="Y1425" s="26"/>
      <c r="Z1425" s="26"/>
      <c r="AA1425" s="26"/>
      <c r="AB1425" s="26"/>
      <c r="AC1425" s="26"/>
    </row>
    <row r="1426" ht="33.75" customHeight="1">
      <c r="A1426" s="65" t="s">
        <v>2404</v>
      </c>
      <c r="B1426" s="215" t="s">
        <v>2226</v>
      </c>
      <c r="C1426" s="215" t="s">
        <v>2385</v>
      </c>
      <c r="D1426" s="215" t="s">
        <v>2400</v>
      </c>
      <c r="E1426" s="215" t="s">
        <v>2401</v>
      </c>
      <c r="F1426" s="65" t="s">
        <v>2402</v>
      </c>
      <c r="G1426" s="65" t="s">
        <v>168</v>
      </c>
      <c r="H1426" s="65" t="s">
        <v>168</v>
      </c>
      <c r="I1426" s="65"/>
      <c r="J1426" s="65" t="s">
        <v>9</v>
      </c>
      <c r="K1426" s="65" t="s">
        <v>9</v>
      </c>
      <c r="L1426" s="128">
        <v>0.5</v>
      </c>
      <c r="M1426" s="180">
        <f t="shared" si="834"/>
        <v>0.75</v>
      </c>
      <c r="N1426" s="128">
        <v>1.0</v>
      </c>
      <c r="O1426" s="129">
        <f t="shared" si="899"/>
        <v>0.75</v>
      </c>
      <c r="P1426" s="159"/>
      <c r="Q1426" s="208">
        <f t="shared" si="900"/>
        <v>0.75</v>
      </c>
      <c r="R1426" s="132"/>
      <c r="S1426" s="132"/>
      <c r="T1426" s="65" t="s">
        <v>32</v>
      </c>
      <c r="U1426" s="26"/>
      <c r="V1426" s="26"/>
      <c r="W1426" s="26"/>
      <c r="X1426" s="26"/>
      <c r="Y1426" s="26"/>
      <c r="Z1426" s="26"/>
      <c r="AA1426" s="26"/>
      <c r="AB1426" s="26"/>
      <c r="AC1426" s="26"/>
    </row>
    <row r="1427" ht="33.75" customHeight="1">
      <c r="A1427" s="65" t="s">
        <v>2405</v>
      </c>
      <c r="B1427" s="215" t="s">
        <v>2226</v>
      </c>
      <c r="C1427" s="215" t="s">
        <v>2385</v>
      </c>
      <c r="D1427" s="215" t="s">
        <v>2400</v>
      </c>
      <c r="E1427" s="215" t="s">
        <v>2401</v>
      </c>
      <c r="F1427" s="65" t="s">
        <v>2402</v>
      </c>
      <c r="G1427" s="65" t="s">
        <v>168</v>
      </c>
      <c r="H1427" s="65" t="s">
        <v>168</v>
      </c>
      <c r="I1427" s="65"/>
      <c r="J1427" s="65" t="s">
        <v>9</v>
      </c>
      <c r="K1427" s="65" t="s">
        <v>9</v>
      </c>
      <c r="L1427" s="128">
        <v>0.25</v>
      </c>
      <c r="M1427" s="180">
        <f t="shared" si="834"/>
        <v>0.375</v>
      </c>
      <c r="N1427" s="128">
        <v>0.5</v>
      </c>
      <c r="O1427" s="129">
        <f t="shared" si="899"/>
        <v>0.375</v>
      </c>
      <c r="P1427" s="159"/>
      <c r="Q1427" s="208">
        <f t="shared" si="900"/>
        <v>0.375</v>
      </c>
      <c r="R1427" s="132"/>
      <c r="S1427" s="132"/>
      <c r="T1427" s="65" t="s">
        <v>70</v>
      </c>
      <c r="U1427" s="26"/>
      <c r="V1427" s="26"/>
      <c r="W1427" s="26"/>
      <c r="X1427" s="26"/>
      <c r="Y1427" s="26"/>
      <c r="Z1427" s="26"/>
      <c r="AA1427" s="26"/>
      <c r="AB1427" s="26"/>
      <c r="AC1427" s="26"/>
    </row>
    <row r="1428" ht="33.75" customHeight="1">
      <c r="A1428" s="45" t="s">
        <v>2406</v>
      </c>
      <c r="B1428" s="212" t="s">
        <v>2226</v>
      </c>
      <c r="C1428" s="212" t="s">
        <v>2407</v>
      </c>
      <c r="D1428" s="212" t="s">
        <v>2407</v>
      </c>
      <c r="E1428" s="212" t="s">
        <v>2408</v>
      </c>
      <c r="F1428" s="45"/>
      <c r="G1428" s="45"/>
      <c r="H1428" s="45"/>
      <c r="I1428" s="45"/>
      <c r="J1428" s="45"/>
      <c r="K1428" s="123"/>
      <c r="L1428" s="213">
        <f>IF(COUNT(L1429,L1433,L1437)=0,"",SUM(L1429,L1433,L1437))</f>
        <v>0.75</v>
      </c>
      <c r="M1428" s="213">
        <f t="shared" si="834"/>
        <v>1.125</v>
      </c>
      <c r="N1428" s="213">
        <f t="shared" ref="N1428:O1428" si="901">IF(COUNT(N1429,N1433,N1437)=0,"",SUM(N1429,N1433,N1437))</f>
        <v>1.5</v>
      </c>
      <c r="O1428" s="213">
        <f t="shared" si="901"/>
        <v>1.125</v>
      </c>
      <c r="P1428" s="214"/>
      <c r="Q1428" s="213">
        <f>IF(COUNT(Q1429,Q1433,Q1437)=0,"",SUM(Q1429,Q1433,Q1437))</f>
        <v>1.125</v>
      </c>
      <c r="R1428" s="126"/>
      <c r="S1428" s="126"/>
      <c r="T1428" s="45" t="s">
        <v>62</v>
      </c>
      <c r="U1428" s="26"/>
      <c r="V1428" s="26"/>
      <c r="W1428" s="26"/>
      <c r="X1428" s="46">
        <f t="shared" ref="X1428:AA1428" si="902">L1428</f>
        <v>0.75</v>
      </c>
      <c r="Y1428" s="46">
        <f t="shared" si="902"/>
        <v>1.125</v>
      </c>
      <c r="Z1428" s="46">
        <f t="shared" si="902"/>
        <v>1.5</v>
      </c>
      <c r="AA1428" s="46">
        <f t="shared" si="902"/>
        <v>1.125</v>
      </c>
      <c r="AB1428" s="26"/>
      <c r="AC1428" s="46">
        <f>Q1428</f>
        <v>1.125</v>
      </c>
    </row>
    <row r="1429" ht="33.75" customHeight="1">
      <c r="A1429" s="98" t="s">
        <v>2409</v>
      </c>
      <c r="B1429" s="99" t="s">
        <v>2226</v>
      </c>
      <c r="C1429" s="99" t="s">
        <v>2407</v>
      </c>
      <c r="D1429" s="99" t="s">
        <v>2410</v>
      </c>
      <c r="E1429" s="99" t="s">
        <v>2411</v>
      </c>
      <c r="F1429" s="98"/>
      <c r="G1429" s="98" t="s">
        <v>154</v>
      </c>
      <c r="H1429" s="98" t="s">
        <v>154</v>
      </c>
      <c r="I1429" s="98"/>
      <c r="J1429" s="98" t="s">
        <v>12</v>
      </c>
      <c r="K1429" s="100" t="s">
        <v>12</v>
      </c>
      <c r="L1429" s="101">
        <f>IF(COUNT(L1430:N1432)=0,"",SUM(L1430:L1432))</f>
        <v>0</v>
      </c>
      <c r="M1429" s="102">
        <f t="shared" si="834"/>
        <v>0</v>
      </c>
      <c r="N1429" s="101">
        <f>IF(COUNT(L1430:N1432)=0,"",SUM(N1430:N1432))</f>
        <v>0</v>
      </c>
      <c r="O1429" s="101">
        <f>IF(COUNT(O1430:O1432)=0,"",SUM(O1430:O1432))</f>
        <v>0</v>
      </c>
      <c r="P1429" s="103"/>
      <c r="Q1429" s="101">
        <f>IF(COUNT(Q1430:Q1432)=0,"",SUM(Q1430:Q1432))</f>
        <v>0</v>
      </c>
      <c r="R1429" s="104"/>
      <c r="S1429" s="104"/>
      <c r="T1429" s="98" t="s">
        <v>65</v>
      </c>
      <c r="U1429" s="26"/>
      <c r="V1429" s="26"/>
      <c r="W1429" s="26"/>
      <c r="X1429" s="105"/>
      <c r="Y1429" s="105"/>
      <c r="Z1429" s="105"/>
      <c r="AA1429" s="105"/>
      <c r="AB1429" s="105"/>
      <c r="AC1429" s="105"/>
    </row>
    <row r="1430" ht="33.75" customHeight="1">
      <c r="A1430" s="106" t="s">
        <v>2412</v>
      </c>
      <c r="B1430" s="107" t="s">
        <v>2226</v>
      </c>
      <c r="C1430" s="107" t="s">
        <v>2407</v>
      </c>
      <c r="D1430" s="107" t="s">
        <v>2410</v>
      </c>
      <c r="E1430" s="107" t="s">
        <v>2411</v>
      </c>
      <c r="F1430" s="106"/>
      <c r="G1430" s="106" t="s">
        <v>154</v>
      </c>
      <c r="H1430" s="106" t="s">
        <v>154</v>
      </c>
      <c r="I1430" s="106"/>
      <c r="J1430" s="106" t="s">
        <v>12</v>
      </c>
      <c r="K1430" s="108" t="s">
        <v>12</v>
      </c>
      <c r="L1430" s="109"/>
      <c r="M1430" s="109">
        <f t="shared" si="834"/>
        <v>0</v>
      </c>
      <c r="N1430" s="109"/>
      <c r="O1430" s="109">
        <f t="shared" ref="O1430:O1432" si="903">IF(COUNT(L1430:N1430)=0,"",(L1430+4*M1430+N1430)/6)</f>
        <v>0</v>
      </c>
      <c r="P1430" s="110"/>
      <c r="Q1430" s="109">
        <f t="shared" ref="Q1430:Q1432" si="904">IF(O1430="","",IF(P1430="",O1430,O1430*(1+P1430)))</f>
        <v>0</v>
      </c>
      <c r="R1430" s="111"/>
      <c r="S1430" s="111"/>
      <c r="T1430" s="106" t="s">
        <v>31</v>
      </c>
      <c r="U1430" s="26"/>
      <c r="V1430" s="26"/>
      <c r="W1430" s="26"/>
      <c r="X1430" s="26"/>
      <c r="Y1430" s="26"/>
      <c r="Z1430" s="26"/>
      <c r="AA1430" s="26"/>
      <c r="AB1430" s="26"/>
      <c r="AC1430" s="26"/>
    </row>
    <row r="1431" ht="33.75" customHeight="1">
      <c r="A1431" s="106" t="s">
        <v>2413</v>
      </c>
      <c r="B1431" s="107" t="s">
        <v>2226</v>
      </c>
      <c r="C1431" s="107" t="s">
        <v>2407</v>
      </c>
      <c r="D1431" s="107" t="s">
        <v>2410</v>
      </c>
      <c r="E1431" s="107" t="s">
        <v>2411</v>
      </c>
      <c r="F1431" s="106"/>
      <c r="G1431" s="106" t="s">
        <v>154</v>
      </c>
      <c r="H1431" s="106" t="s">
        <v>154</v>
      </c>
      <c r="I1431" s="106"/>
      <c r="J1431" s="106" t="s">
        <v>12</v>
      </c>
      <c r="K1431" s="108" t="s">
        <v>12</v>
      </c>
      <c r="L1431" s="109"/>
      <c r="M1431" s="109">
        <f t="shared" si="834"/>
        <v>0</v>
      </c>
      <c r="N1431" s="109"/>
      <c r="O1431" s="109">
        <f t="shared" si="903"/>
        <v>0</v>
      </c>
      <c r="P1431" s="110"/>
      <c r="Q1431" s="109">
        <f t="shared" si="904"/>
        <v>0</v>
      </c>
      <c r="R1431" s="111"/>
      <c r="S1431" s="111"/>
      <c r="T1431" s="106" t="s">
        <v>32</v>
      </c>
      <c r="U1431" s="26"/>
      <c r="V1431" s="26"/>
      <c r="W1431" s="26"/>
      <c r="X1431" s="26"/>
      <c r="Y1431" s="26"/>
      <c r="Z1431" s="26"/>
      <c r="AA1431" s="26"/>
      <c r="AB1431" s="26"/>
      <c r="AC1431" s="26"/>
    </row>
    <row r="1432" ht="33.75" customHeight="1">
      <c r="A1432" s="106" t="s">
        <v>2414</v>
      </c>
      <c r="B1432" s="107" t="s">
        <v>2226</v>
      </c>
      <c r="C1432" s="107" t="s">
        <v>2407</v>
      </c>
      <c r="D1432" s="107" t="s">
        <v>2410</v>
      </c>
      <c r="E1432" s="107" t="s">
        <v>2411</v>
      </c>
      <c r="F1432" s="106"/>
      <c r="G1432" s="106" t="s">
        <v>154</v>
      </c>
      <c r="H1432" s="106" t="s">
        <v>154</v>
      </c>
      <c r="I1432" s="106"/>
      <c r="J1432" s="106" t="s">
        <v>12</v>
      </c>
      <c r="K1432" s="108" t="s">
        <v>12</v>
      </c>
      <c r="L1432" s="109"/>
      <c r="M1432" s="109">
        <f t="shared" si="834"/>
        <v>0</v>
      </c>
      <c r="N1432" s="109"/>
      <c r="O1432" s="109">
        <f t="shared" si="903"/>
        <v>0</v>
      </c>
      <c r="P1432" s="110"/>
      <c r="Q1432" s="109">
        <f t="shared" si="904"/>
        <v>0</v>
      </c>
      <c r="R1432" s="111"/>
      <c r="S1432" s="111"/>
      <c r="T1432" s="106" t="s">
        <v>70</v>
      </c>
      <c r="U1432" s="26"/>
      <c r="V1432" s="26"/>
      <c r="W1432" s="26"/>
      <c r="X1432" s="26"/>
      <c r="Y1432" s="26"/>
      <c r="Z1432" s="26"/>
      <c r="AA1432" s="26"/>
      <c r="AB1432" s="26"/>
      <c r="AC1432" s="26"/>
    </row>
    <row r="1433" ht="33.75" customHeight="1">
      <c r="A1433" s="98" t="s">
        <v>2415</v>
      </c>
      <c r="B1433" s="99" t="s">
        <v>2226</v>
      </c>
      <c r="C1433" s="99" t="s">
        <v>2407</v>
      </c>
      <c r="D1433" s="99" t="s">
        <v>2416</v>
      </c>
      <c r="E1433" s="99" t="s">
        <v>2417</v>
      </c>
      <c r="F1433" s="98" t="s">
        <v>2229</v>
      </c>
      <c r="G1433" s="98" t="s">
        <v>168</v>
      </c>
      <c r="H1433" s="98" t="s">
        <v>168</v>
      </c>
      <c r="I1433" s="98"/>
      <c r="J1433" s="98" t="s">
        <v>12</v>
      </c>
      <c r="K1433" s="100" t="s">
        <v>12</v>
      </c>
      <c r="L1433" s="101">
        <f>IF(COUNT(L1434:N1436)=0,"",SUM(L1434:L1436))</f>
        <v>0</v>
      </c>
      <c r="M1433" s="102">
        <f t="shared" si="834"/>
        <v>0</v>
      </c>
      <c r="N1433" s="101">
        <f>IF(COUNT(L1434:N1436)=0,"",SUM(N1434:N1436))</f>
        <v>0</v>
      </c>
      <c r="O1433" s="101">
        <f>IF(COUNT(O1434:O1436)=0,"",SUM(O1434:O1436))</f>
        <v>0</v>
      </c>
      <c r="P1433" s="103"/>
      <c r="Q1433" s="101">
        <f>IF(COUNT(Q1434:Q1436)=0,"",SUM(Q1434:Q1436))</f>
        <v>0</v>
      </c>
      <c r="R1433" s="104"/>
      <c r="S1433" s="104"/>
      <c r="T1433" s="98" t="s">
        <v>65</v>
      </c>
      <c r="U1433" s="26"/>
      <c r="V1433" s="26"/>
      <c r="W1433" s="26"/>
      <c r="X1433" s="105"/>
      <c r="Y1433" s="105"/>
      <c r="Z1433" s="105"/>
      <c r="AA1433" s="105"/>
      <c r="AB1433" s="105"/>
      <c r="AC1433" s="105"/>
    </row>
    <row r="1434" ht="33.75" customHeight="1">
      <c r="A1434" s="106" t="s">
        <v>2418</v>
      </c>
      <c r="B1434" s="107" t="s">
        <v>2226</v>
      </c>
      <c r="C1434" s="107" t="s">
        <v>2407</v>
      </c>
      <c r="D1434" s="107" t="s">
        <v>2416</v>
      </c>
      <c r="E1434" s="107" t="s">
        <v>2417</v>
      </c>
      <c r="F1434" s="106" t="s">
        <v>2229</v>
      </c>
      <c r="G1434" s="106" t="s">
        <v>168</v>
      </c>
      <c r="H1434" s="106" t="s">
        <v>168</v>
      </c>
      <c r="I1434" s="106"/>
      <c r="J1434" s="106" t="s">
        <v>12</v>
      </c>
      <c r="K1434" s="108" t="s">
        <v>12</v>
      </c>
      <c r="L1434" s="109"/>
      <c r="M1434" s="109">
        <f t="shared" si="834"/>
        <v>0</v>
      </c>
      <c r="N1434" s="109"/>
      <c r="O1434" s="109">
        <f t="shared" ref="O1434:O1436" si="905">IF(COUNT(L1434:N1434)=0,"",(L1434+4*M1434+N1434)/6)</f>
        <v>0</v>
      </c>
      <c r="P1434" s="110"/>
      <c r="Q1434" s="109">
        <f t="shared" ref="Q1434:Q1436" si="906">IF(O1434="","",IF(P1434="",O1434,O1434*(1+P1434)))</f>
        <v>0</v>
      </c>
      <c r="R1434" s="111"/>
      <c r="S1434" s="111"/>
      <c r="T1434" s="106" t="s">
        <v>31</v>
      </c>
      <c r="U1434" s="26"/>
      <c r="V1434" s="26"/>
      <c r="W1434" s="26"/>
      <c r="X1434" s="26"/>
      <c r="Y1434" s="26"/>
      <c r="Z1434" s="26"/>
      <c r="AA1434" s="26"/>
      <c r="AB1434" s="26"/>
      <c r="AC1434" s="26"/>
    </row>
    <row r="1435" ht="33.75" customHeight="1">
      <c r="A1435" s="106" t="s">
        <v>2419</v>
      </c>
      <c r="B1435" s="107" t="s">
        <v>2226</v>
      </c>
      <c r="C1435" s="107" t="s">
        <v>2407</v>
      </c>
      <c r="D1435" s="107" t="s">
        <v>2416</v>
      </c>
      <c r="E1435" s="107" t="s">
        <v>2417</v>
      </c>
      <c r="F1435" s="106" t="s">
        <v>2229</v>
      </c>
      <c r="G1435" s="106" t="s">
        <v>168</v>
      </c>
      <c r="H1435" s="106" t="s">
        <v>168</v>
      </c>
      <c r="I1435" s="106"/>
      <c r="J1435" s="106" t="s">
        <v>12</v>
      </c>
      <c r="K1435" s="108" t="s">
        <v>12</v>
      </c>
      <c r="L1435" s="109"/>
      <c r="M1435" s="109">
        <f t="shared" si="834"/>
        <v>0</v>
      </c>
      <c r="N1435" s="109"/>
      <c r="O1435" s="109">
        <f t="shared" si="905"/>
        <v>0</v>
      </c>
      <c r="P1435" s="110"/>
      <c r="Q1435" s="109">
        <f t="shared" si="906"/>
        <v>0</v>
      </c>
      <c r="R1435" s="111"/>
      <c r="S1435" s="111"/>
      <c r="T1435" s="106" t="s">
        <v>32</v>
      </c>
      <c r="U1435" s="26"/>
      <c r="V1435" s="26"/>
      <c r="W1435" s="26"/>
      <c r="X1435" s="26"/>
      <c r="Y1435" s="26"/>
      <c r="Z1435" s="26"/>
      <c r="AA1435" s="26"/>
      <c r="AB1435" s="26"/>
      <c r="AC1435" s="26"/>
    </row>
    <row r="1436" ht="33.75" customHeight="1">
      <c r="A1436" s="106" t="s">
        <v>2420</v>
      </c>
      <c r="B1436" s="107" t="s">
        <v>2226</v>
      </c>
      <c r="C1436" s="107" t="s">
        <v>2407</v>
      </c>
      <c r="D1436" s="107" t="s">
        <v>2416</v>
      </c>
      <c r="E1436" s="107" t="s">
        <v>2417</v>
      </c>
      <c r="F1436" s="106" t="s">
        <v>2229</v>
      </c>
      <c r="G1436" s="106" t="s">
        <v>168</v>
      </c>
      <c r="H1436" s="106" t="s">
        <v>168</v>
      </c>
      <c r="I1436" s="106"/>
      <c r="J1436" s="106" t="s">
        <v>12</v>
      </c>
      <c r="K1436" s="108" t="s">
        <v>12</v>
      </c>
      <c r="L1436" s="109"/>
      <c r="M1436" s="109">
        <f t="shared" si="834"/>
        <v>0</v>
      </c>
      <c r="N1436" s="109"/>
      <c r="O1436" s="109">
        <f t="shared" si="905"/>
        <v>0</v>
      </c>
      <c r="P1436" s="110"/>
      <c r="Q1436" s="109">
        <f t="shared" si="906"/>
        <v>0</v>
      </c>
      <c r="R1436" s="111"/>
      <c r="S1436" s="111"/>
      <c r="T1436" s="106" t="s">
        <v>70</v>
      </c>
      <c r="U1436" s="26"/>
      <c r="V1436" s="26"/>
      <c r="W1436" s="26"/>
      <c r="X1436" s="26"/>
      <c r="Y1436" s="26"/>
      <c r="Z1436" s="26"/>
      <c r="AA1436" s="26"/>
      <c r="AB1436" s="26"/>
      <c r="AC1436" s="26"/>
    </row>
    <row r="1437" ht="33.75" customHeight="1">
      <c r="A1437" s="54" t="s">
        <v>2421</v>
      </c>
      <c r="B1437" s="209" t="s">
        <v>2226</v>
      </c>
      <c r="C1437" s="209" t="s">
        <v>2407</v>
      </c>
      <c r="D1437" s="209" t="s">
        <v>2422</v>
      </c>
      <c r="E1437" s="209" t="s">
        <v>2423</v>
      </c>
      <c r="F1437" s="54" t="s">
        <v>2424</v>
      </c>
      <c r="G1437" s="54" t="s">
        <v>168</v>
      </c>
      <c r="H1437" s="54" t="s">
        <v>168</v>
      </c>
      <c r="I1437" s="54"/>
      <c r="J1437" s="54" t="s">
        <v>9</v>
      </c>
      <c r="K1437" s="54" t="s">
        <v>9</v>
      </c>
      <c r="L1437" s="202">
        <f>IF(COUNT(L1438:N1440)=0,"",SUM(L1438:L1440))</f>
        <v>0.75</v>
      </c>
      <c r="M1437" s="174">
        <f t="shared" si="834"/>
        <v>1.125</v>
      </c>
      <c r="N1437" s="202">
        <f>IF(COUNT(L1438:N1440)=0,"",SUM(N1438:N1440))</f>
        <v>1.5</v>
      </c>
      <c r="O1437" s="202">
        <f>IF(COUNT(O1438:O1440)=0,"",SUM(O1438:O1440))</f>
        <v>1.125</v>
      </c>
      <c r="P1437" s="210"/>
      <c r="Q1437" s="202">
        <f>IF(COUNT(Q1438:Q1440)=0,"",SUM(Q1438:Q1440))</f>
        <v>1.125</v>
      </c>
      <c r="R1437" s="163"/>
      <c r="S1437" s="163"/>
      <c r="T1437" s="54" t="s">
        <v>65</v>
      </c>
      <c r="U1437" s="26"/>
      <c r="V1437" s="26"/>
      <c r="W1437" s="26"/>
      <c r="X1437" s="105"/>
      <c r="Y1437" s="105"/>
      <c r="Z1437" s="105"/>
      <c r="AA1437" s="105"/>
      <c r="AB1437" s="105"/>
      <c r="AC1437" s="105"/>
    </row>
    <row r="1438" ht="33.75" customHeight="1">
      <c r="A1438" s="217" t="s">
        <v>2425</v>
      </c>
      <c r="B1438" s="215" t="s">
        <v>2226</v>
      </c>
      <c r="C1438" s="215" t="s">
        <v>2407</v>
      </c>
      <c r="D1438" s="215" t="s">
        <v>2422</v>
      </c>
      <c r="E1438" s="215" t="s">
        <v>2423</v>
      </c>
      <c r="F1438" s="65" t="s">
        <v>2424</v>
      </c>
      <c r="G1438" s="65" t="s">
        <v>168</v>
      </c>
      <c r="H1438" s="65" t="s">
        <v>168</v>
      </c>
      <c r="I1438" s="65"/>
      <c r="J1438" s="65" t="s">
        <v>9</v>
      </c>
      <c r="K1438" s="65" t="s">
        <v>9</v>
      </c>
      <c r="L1438" s="128">
        <v>0.25</v>
      </c>
      <c r="M1438" s="180">
        <f t="shared" si="834"/>
        <v>0.375</v>
      </c>
      <c r="N1438" s="128">
        <v>0.5</v>
      </c>
      <c r="O1438" s="129">
        <f t="shared" ref="O1438:O1440" si="907">IF(COUNT(L1438:N1438)=0,"",(L1438+4*M1438+N1438)/6)</f>
        <v>0.375</v>
      </c>
      <c r="P1438" s="159"/>
      <c r="Q1438" s="208">
        <f t="shared" ref="Q1438:Q1440" si="908">IF(O1438="","",IF(P1438="",O1438,O1438*(1+P1438)))</f>
        <v>0.375</v>
      </c>
      <c r="R1438" s="132"/>
      <c r="S1438" s="132"/>
      <c r="T1438" s="65" t="s">
        <v>31</v>
      </c>
      <c r="U1438" s="26"/>
      <c r="V1438" s="26"/>
      <c r="W1438" s="26"/>
      <c r="X1438" s="26"/>
      <c r="Y1438" s="26"/>
      <c r="Z1438" s="26"/>
      <c r="AA1438" s="26"/>
      <c r="AB1438" s="26"/>
      <c r="AC1438" s="26"/>
    </row>
    <row r="1439" ht="33.75" customHeight="1">
      <c r="A1439" s="217" t="s">
        <v>2426</v>
      </c>
      <c r="B1439" s="215" t="s">
        <v>2226</v>
      </c>
      <c r="C1439" s="215" t="s">
        <v>2407</v>
      </c>
      <c r="D1439" s="215" t="s">
        <v>2422</v>
      </c>
      <c r="E1439" s="215" t="s">
        <v>2423</v>
      </c>
      <c r="F1439" s="65" t="s">
        <v>2424</v>
      </c>
      <c r="G1439" s="65" t="s">
        <v>168</v>
      </c>
      <c r="H1439" s="65" t="s">
        <v>168</v>
      </c>
      <c r="I1439" s="65"/>
      <c r="J1439" s="65" t="s">
        <v>9</v>
      </c>
      <c r="K1439" s="65" t="s">
        <v>9</v>
      </c>
      <c r="L1439" s="128">
        <v>0.25</v>
      </c>
      <c r="M1439" s="180">
        <f t="shared" si="834"/>
        <v>0.375</v>
      </c>
      <c r="N1439" s="128">
        <v>0.5</v>
      </c>
      <c r="O1439" s="129">
        <f t="shared" si="907"/>
        <v>0.375</v>
      </c>
      <c r="P1439" s="159"/>
      <c r="Q1439" s="208">
        <f t="shared" si="908"/>
        <v>0.375</v>
      </c>
      <c r="R1439" s="132"/>
      <c r="S1439" s="132"/>
      <c r="T1439" s="65" t="s">
        <v>32</v>
      </c>
      <c r="U1439" s="26"/>
      <c r="V1439" s="26"/>
      <c r="W1439" s="26"/>
      <c r="X1439" s="26"/>
      <c r="Y1439" s="26"/>
      <c r="Z1439" s="26"/>
      <c r="AA1439" s="26"/>
      <c r="AB1439" s="26"/>
      <c r="AC1439" s="26"/>
    </row>
    <row r="1440" ht="33.75" customHeight="1">
      <c r="A1440" s="217" t="s">
        <v>2427</v>
      </c>
      <c r="B1440" s="215" t="s">
        <v>2226</v>
      </c>
      <c r="C1440" s="215" t="s">
        <v>2407</v>
      </c>
      <c r="D1440" s="215" t="s">
        <v>2422</v>
      </c>
      <c r="E1440" s="215" t="s">
        <v>2423</v>
      </c>
      <c r="F1440" s="65" t="s">
        <v>2424</v>
      </c>
      <c r="G1440" s="65" t="s">
        <v>168</v>
      </c>
      <c r="H1440" s="65" t="s">
        <v>168</v>
      </c>
      <c r="I1440" s="65"/>
      <c r="J1440" s="65" t="s">
        <v>9</v>
      </c>
      <c r="K1440" s="65" t="s">
        <v>9</v>
      </c>
      <c r="L1440" s="128">
        <v>0.25</v>
      </c>
      <c r="M1440" s="180">
        <f t="shared" si="834"/>
        <v>0.375</v>
      </c>
      <c r="N1440" s="128">
        <v>0.5</v>
      </c>
      <c r="O1440" s="129">
        <f t="shared" si="907"/>
        <v>0.375</v>
      </c>
      <c r="P1440" s="159"/>
      <c r="Q1440" s="208">
        <f t="shared" si="908"/>
        <v>0.375</v>
      </c>
      <c r="R1440" s="132"/>
      <c r="S1440" s="132"/>
      <c r="T1440" s="65" t="s">
        <v>70</v>
      </c>
      <c r="U1440" s="26"/>
      <c r="V1440" s="26"/>
      <c r="W1440" s="26"/>
      <c r="X1440" s="26"/>
      <c r="Y1440" s="26"/>
      <c r="Z1440" s="26"/>
      <c r="AA1440" s="26"/>
      <c r="AB1440" s="26"/>
      <c r="AC1440" s="26"/>
    </row>
    <row r="1441" ht="33.75" customHeight="1">
      <c r="A1441" s="27" t="s">
        <v>277</v>
      </c>
      <c r="B1441" s="28"/>
      <c r="C1441" s="28"/>
      <c r="D1441" s="28"/>
      <c r="E1441" s="29"/>
      <c r="F1441" s="30"/>
      <c r="G1441" s="30"/>
      <c r="H1441" s="30"/>
      <c r="I1441" s="30"/>
      <c r="J1441" s="30"/>
      <c r="K1441" s="31"/>
      <c r="L1441" s="32">
        <f t="shared" ref="L1441:O1441" si="909">SUM(X1442:X1589)</f>
        <v>27.5</v>
      </c>
      <c r="M1441" s="32">
        <f t="shared" si="909"/>
        <v>57.5</v>
      </c>
      <c r="N1441" s="32">
        <f t="shared" si="909"/>
        <v>87.5</v>
      </c>
      <c r="O1441" s="32">
        <f t="shared" si="909"/>
        <v>57.5</v>
      </c>
      <c r="P1441" s="32"/>
      <c r="Q1441" s="32">
        <f>SUM(AC1442:AC1589)</f>
        <v>63.23125</v>
      </c>
      <c r="R1441" s="34"/>
      <c r="S1441" s="34"/>
      <c r="T1441" s="35" t="s">
        <v>59</v>
      </c>
      <c r="U1441" s="26"/>
      <c r="V1441" s="26"/>
      <c r="W1441" s="26"/>
      <c r="X1441" s="26"/>
      <c r="Y1441" s="26"/>
      <c r="Z1441" s="26"/>
      <c r="AA1441" s="26"/>
      <c r="AB1441" s="26"/>
      <c r="AC1441" s="26"/>
    </row>
    <row r="1442" ht="33.75" customHeight="1">
      <c r="A1442" s="112" t="s">
        <v>2428</v>
      </c>
      <c r="B1442" s="38" t="s">
        <v>2429</v>
      </c>
      <c r="C1442" s="38" t="s">
        <v>2430</v>
      </c>
      <c r="D1442" s="38" t="s">
        <v>2430</v>
      </c>
      <c r="E1442" s="113" t="s">
        <v>2431</v>
      </c>
      <c r="F1442" s="114"/>
      <c r="G1442" s="114"/>
      <c r="H1442" s="45"/>
      <c r="I1442" s="45"/>
      <c r="J1442" s="114"/>
      <c r="K1442" s="115"/>
      <c r="L1442" s="42">
        <f>IF(COUNT(L1443,L1447,L1451,L1455,L1459)=0,"",SUM(L1443,L1447,L1451,L1455,L1459))</f>
        <v>4</v>
      </c>
      <c r="M1442" s="42">
        <f t="shared" ref="M1442:M1589" si="912">(N1442+L1442)/2</f>
        <v>8.25</v>
      </c>
      <c r="N1442" s="42">
        <f t="shared" ref="N1442:O1442" si="910">IF(COUNT(N1443,N1447,N1451,N1455,N1459)=0,"",SUM(N1443,N1447,N1451,N1455,N1459))</f>
        <v>12.5</v>
      </c>
      <c r="O1442" s="42">
        <f t="shared" si="910"/>
        <v>8.25</v>
      </c>
      <c r="P1442" s="43"/>
      <c r="Q1442" s="42">
        <f>IF(COUNT(Q1443,Q1447,Q1451,Q1455,Q1459)=0,"",SUM(Q1443,Q1447,Q1451,Q1455,Q1459))</f>
        <v>9.1</v>
      </c>
      <c r="R1442" s="44"/>
      <c r="S1442" s="44"/>
      <c r="T1442" s="45" t="s">
        <v>62</v>
      </c>
      <c r="U1442" s="26"/>
      <c r="V1442" s="26"/>
      <c r="W1442" s="26"/>
      <c r="X1442" s="46">
        <f t="shared" ref="X1442:AA1442" si="911">L1442</f>
        <v>4</v>
      </c>
      <c r="Y1442" s="46">
        <f t="shared" si="911"/>
        <v>8.25</v>
      </c>
      <c r="Z1442" s="46">
        <f t="shared" si="911"/>
        <v>12.5</v>
      </c>
      <c r="AA1442" s="46">
        <f t="shared" si="911"/>
        <v>8.25</v>
      </c>
      <c r="AB1442" s="26"/>
      <c r="AC1442" s="46">
        <f>Q1442</f>
        <v>9.1</v>
      </c>
    </row>
    <row r="1443" ht="33.75" customHeight="1">
      <c r="A1443" s="116" t="s">
        <v>2432</v>
      </c>
      <c r="B1443" s="77" t="s">
        <v>2429</v>
      </c>
      <c r="C1443" s="77" t="s">
        <v>2430</v>
      </c>
      <c r="D1443" s="77" t="s">
        <v>2433</v>
      </c>
      <c r="E1443" s="117" t="s">
        <v>2434</v>
      </c>
      <c r="F1443" s="118" t="s">
        <v>2435</v>
      </c>
      <c r="G1443" s="118" t="s">
        <v>168</v>
      </c>
      <c r="H1443" s="119" t="s">
        <v>168</v>
      </c>
      <c r="I1443" s="54"/>
      <c r="J1443" s="118" t="s">
        <v>9</v>
      </c>
      <c r="K1443" s="120" t="s">
        <v>9</v>
      </c>
      <c r="L1443" s="202">
        <f>IF(COUNT(L1444:N1446)=0,"",SUM(L1444:L1446))</f>
        <v>0.25</v>
      </c>
      <c r="M1443" s="174">
        <f t="shared" si="912"/>
        <v>0.625</v>
      </c>
      <c r="N1443" s="202">
        <f>IF(COUNT(L1444:N1446)=0,"",SUM(N1444:N1446))</f>
        <v>1</v>
      </c>
      <c r="O1443" s="202">
        <f>IF(COUNT(O1444:O1446)=0,"",SUM(O1444:O1446))</f>
        <v>0.625</v>
      </c>
      <c r="P1443" s="210"/>
      <c r="Q1443" s="202">
        <f>IF(COUNT(Q1444:Q1446)=0,"",SUM(Q1444:Q1446))</f>
        <v>0.65625</v>
      </c>
      <c r="R1443" s="163"/>
      <c r="S1443" s="163"/>
      <c r="T1443" s="54" t="s">
        <v>65</v>
      </c>
      <c r="U1443" s="26"/>
      <c r="V1443" s="26"/>
      <c r="W1443" s="26"/>
      <c r="X1443" s="46"/>
      <c r="Y1443" s="46"/>
      <c r="Z1443" s="46"/>
      <c r="AA1443" s="46"/>
      <c r="AB1443" s="232"/>
      <c r="AC1443" s="46"/>
    </row>
    <row r="1444" ht="33.75" customHeight="1">
      <c r="A1444" s="65" t="s">
        <v>2436</v>
      </c>
      <c r="B1444" s="215" t="s">
        <v>2429</v>
      </c>
      <c r="C1444" s="215" t="s">
        <v>2430</v>
      </c>
      <c r="D1444" s="215" t="s">
        <v>2433</v>
      </c>
      <c r="E1444" s="215" t="s">
        <v>2434</v>
      </c>
      <c r="F1444" s="65" t="s">
        <v>2435</v>
      </c>
      <c r="G1444" s="65" t="s">
        <v>168</v>
      </c>
      <c r="H1444" s="65" t="s">
        <v>168</v>
      </c>
      <c r="I1444" s="65"/>
      <c r="J1444" s="65" t="s">
        <v>9</v>
      </c>
      <c r="K1444" s="65" t="s">
        <v>9</v>
      </c>
      <c r="L1444" s="128">
        <v>0.0</v>
      </c>
      <c r="M1444" s="180">
        <f t="shared" si="912"/>
        <v>0</v>
      </c>
      <c r="N1444" s="128">
        <v>0.0</v>
      </c>
      <c r="O1444" s="129">
        <f t="shared" ref="O1444:O1446" si="913">IF(COUNT(L1444:N1444)=0,"",(L1444+4*M1444+N1444)/6)</f>
        <v>0</v>
      </c>
      <c r="P1444" s="159">
        <v>0.0</v>
      </c>
      <c r="Q1444" s="208">
        <f t="shared" ref="Q1444:Q1446" si="914">IF(O1444="","",IF(P1444="",O1444,O1444*(1+P1444)))</f>
        <v>0</v>
      </c>
      <c r="R1444" s="132">
        <v>5.0</v>
      </c>
      <c r="S1444" s="132">
        <v>1.0</v>
      </c>
      <c r="T1444" s="65" t="s">
        <v>31</v>
      </c>
      <c r="U1444" s="26"/>
      <c r="V1444" s="26"/>
      <c r="W1444" s="26"/>
      <c r="X1444" s="26"/>
      <c r="Y1444" s="26"/>
      <c r="Z1444" s="26"/>
      <c r="AA1444" s="26"/>
      <c r="AB1444" s="26"/>
      <c r="AC1444" s="26"/>
    </row>
    <row r="1445" ht="33.75" customHeight="1">
      <c r="A1445" s="233" t="s">
        <v>2437</v>
      </c>
      <c r="B1445" s="215" t="s">
        <v>2429</v>
      </c>
      <c r="C1445" s="215" t="s">
        <v>2430</v>
      </c>
      <c r="D1445" s="215" t="s">
        <v>2433</v>
      </c>
      <c r="E1445" s="215" t="s">
        <v>2434</v>
      </c>
      <c r="F1445" s="65" t="s">
        <v>2435</v>
      </c>
      <c r="G1445" s="65" t="s">
        <v>168</v>
      </c>
      <c r="H1445" s="65" t="s">
        <v>168</v>
      </c>
      <c r="I1445" s="65"/>
      <c r="J1445" s="65" t="s">
        <v>9</v>
      </c>
      <c r="K1445" s="65" t="s">
        <v>9</v>
      </c>
      <c r="L1445" s="128">
        <v>0.25</v>
      </c>
      <c r="M1445" s="180">
        <f t="shared" si="912"/>
        <v>0.625</v>
      </c>
      <c r="N1445" s="128">
        <v>1.0</v>
      </c>
      <c r="O1445" s="129">
        <f t="shared" si="913"/>
        <v>0.625</v>
      </c>
      <c r="P1445" s="159">
        <v>0.05</v>
      </c>
      <c r="Q1445" s="208">
        <f t="shared" si="914"/>
        <v>0.65625</v>
      </c>
      <c r="R1445" s="132">
        <v>5.0</v>
      </c>
      <c r="S1445" s="132">
        <v>1.0</v>
      </c>
      <c r="T1445" s="65" t="s">
        <v>32</v>
      </c>
      <c r="U1445" s="26"/>
      <c r="V1445" s="26"/>
      <c r="W1445" s="26"/>
      <c r="X1445" s="26"/>
      <c r="Y1445" s="26"/>
      <c r="Z1445" s="26"/>
      <c r="AA1445" s="26"/>
      <c r="AB1445" s="26"/>
      <c r="AC1445" s="26"/>
    </row>
    <row r="1446" ht="33.75" customHeight="1">
      <c r="A1446" s="65" t="s">
        <v>2438</v>
      </c>
      <c r="B1446" s="215" t="s">
        <v>2429</v>
      </c>
      <c r="C1446" s="215" t="s">
        <v>2430</v>
      </c>
      <c r="D1446" s="215" t="s">
        <v>2433</v>
      </c>
      <c r="E1446" s="215" t="s">
        <v>2434</v>
      </c>
      <c r="F1446" s="65" t="s">
        <v>2435</v>
      </c>
      <c r="G1446" s="65" t="s">
        <v>168</v>
      </c>
      <c r="H1446" s="65" t="s">
        <v>168</v>
      </c>
      <c r="I1446" s="65"/>
      <c r="J1446" s="65" t="s">
        <v>9</v>
      </c>
      <c r="K1446" s="65" t="s">
        <v>9</v>
      </c>
      <c r="L1446" s="128">
        <v>0.0</v>
      </c>
      <c r="M1446" s="180">
        <f t="shared" si="912"/>
        <v>0</v>
      </c>
      <c r="N1446" s="128">
        <v>0.0</v>
      </c>
      <c r="O1446" s="129">
        <f t="shared" si="913"/>
        <v>0</v>
      </c>
      <c r="P1446" s="159">
        <v>0.0</v>
      </c>
      <c r="Q1446" s="208">
        <f t="shared" si="914"/>
        <v>0</v>
      </c>
      <c r="R1446" s="132">
        <v>5.0</v>
      </c>
      <c r="S1446" s="132">
        <v>1.0</v>
      </c>
      <c r="T1446" s="65" t="s">
        <v>70</v>
      </c>
      <c r="U1446" s="26"/>
      <c r="V1446" s="26"/>
      <c r="W1446" s="26"/>
      <c r="X1446" s="26"/>
      <c r="Y1446" s="26"/>
      <c r="Z1446" s="26"/>
      <c r="AA1446" s="26"/>
      <c r="AB1446" s="26"/>
      <c r="AC1446" s="26"/>
    </row>
    <row r="1447" ht="33.75" customHeight="1">
      <c r="A1447" s="54" t="s">
        <v>2439</v>
      </c>
      <c r="B1447" s="209" t="s">
        <v>2429</v>
      </c>
      <c r="C1447" s="209" t="s">
        <v>2430</v>
      </c>
      <c r="D1447" s="209" t="s">
        <v>2440</v>
      </c>
      <c r="E1447" s="209" t="s">
        <v>2441</v>
      </c>
      <c r="F1447" s="54" t="s">
        <v>2432</v>
      </c>
      <c r="G1447" s="54" t="s">
        <v>168</v>
      </c>
      <c r="H1447" s="54" t="s">
        <v>168</v>
      </c>
      <c r="I1447" s="54"/>
      <c r="J1447" s="54" t="s">
        <v>9</v>
      </c>
      <c r="K1447" s="54" t="s">
        <v>9</v>
      </c>
      <c r="L1447" s="202">
        <f>IF(COUNT(L1448:N1450)=0,"",SUM(L1448:L1450))</f>
        <v>1.75</v>
      </c>
      <c r="M1447" s="174">
        <f t="shared" si="912"/>
        <v>3.625</v>
      </c>
      <c r="N1447" s="202">
        <f>IF(COUNT(L1448:N1450)=0,"",SUM(N1448:N1450))</f>
        <v>5.5</v>
      </c>
      <c r="O1447" s="202">
        <f>IF(COUNT(O1448:O1450)=0,"",SUM(O1448:O1450))</f>
        <v>3.625</v>
      </c>
      <c r="P1447" s="210"/>
      <c r="Q1447" s="202">
        <f>IF(COUNT(Q1448:Q1450)=0,"",SUM(Q1448:Q1450))</f>
        <v>3.9875</v>
      </c>
      <c r="R1447" s="163"/>
      <c r="S1447" s="163"/>
      <c r="T1447" s="54" t="s">
        <v>65</v>
      </c>
      <c r="U1447" s="26"/>
      <c r="V1447" s="26"/>
      <c r="W1447" s="26"/>
      <c r="X1447" s="105"/>
      <c r="Y1447" s="105"/>
      <c r="Z1447" s="105"/>
      <c r="AA1447" s="105"/>
      <c r="AB1447" s="105"/>
      <c r="AC1447" s="105"/>
    </row>
    <row r="1448" ht="33.75" customHeight="1">
      <c r="A1448" s="65" t="s">
        <v>2442</v>
      </c>
      <c r="B1448" s="215" t="s">
        <v>2429</v>
      </c>
      <c r="C1448" s="215" t="s">
        <v>2430</v>
      </c>
      <c r="D1448" s="215" t="s">
        <v>2440</v>
      </c>
      <c r="E1448" s="215" t="s">
        <v>2441</v>
      </c>
      <c r="F1448" s="65" t="s">
        <v>2432</v>
      </c>
      <c r="G1448" s="65" t="s">
        <v>168</v>
      </c>
      <c r="H1448" s="65" t="s">
        <v>168</v>
      </c>
      <c r="I1448" s="65"/>
      <c r="J1448" s="65" t="s">
        <v>9</v>
      </c>
      <c r="K1448" s="65" t="s">
        <v>9</v>
      </c>
      <c r="L1448" s="128">
        <v>0.75</v>
      </c>
      <c r="M1448" s="180">
        <f t="shared" si="912"/>
        <v>1.625</v>
      </c>
      <c r="N1448" s="128">
        <v>2.5</v>
      </c>
      <c r="O1448" s="129">
        <f t="shared" ref="O1448:O1450" si="915">IF(COUNT(L1448:N1448)=0,"",(L1448+4*M1448+N1448)/6)</f>
        <v>1.625</v>
      </c>
      <c r="P1448" s="159">
        <v>0.1</v>
      </c>
      <c r="Q1448" s="208">
        <f t="shared" ref="Q1448:Q1450" si="916">IF(O1448="","",IF(P1448="",O1448,O1448*(1+P1448)))</f>
        <v>1.7875</v>
      </c>
      <c r="R1448" s="132">
        <v>4.0</v>
      </c>
      <c r="S1448" s="132">
        <v>2.0</v>
      </c>
      <c r="T1448" s="65" t="s">
        <v>31</v>
      </c>
      <c r="U1448" s="26"/>
      <c r="V1448" s="26"/>
      <c r="W1448" s="26"/>
      <c r="X1448" s="26"/>
      <c r="Y1448" s="26"/>
      <c r="Z1448" s="26"/>
      <c r="AA1448" s="26"/>
      <c r="AB1448" s="26"/>
      <c r="AC1448" s="26"/>
    </row>
    <row r="1449" ht="33.75" customHeight="1">
      <c r="A1449" s="65" t="s">
        <v>2443</v>
      </c>
      <c r="B1449" s="215" t="s">
        <v>2429</v>
      </c>
      <c r="C1449" s="215" t="s">
        <v>2430</v>
      </c>
      <c r="D1449" s="215" t="s">
        <v>2440</v>
      </c>
      <c r="E1449" s="215" t="s">
        <v>2441</v>
      </c>
      <c r="F1449" s="65" t="s">
        <v>2432</v>
      </c>
      <c r="G1449" s="65" t="s">
        <v>168</v>
      </c>
      <c r="H1449" s="65" t="s">
        <v>168</v>
      </c>
      <c r="I1449" s="65"/>
      <c r="J1449" s="65" t="s">
        <v>9</v>
      </c>
      <c r="K1449" s="65" t="s">
        <v>9</v>
      </c>
      <c r="L1449" s="128">
        <v>0.5</v>
      </c>
      <c r="M1449" s="180">
        <f t="shared" si="912"/>
        <v>1</v>
      </c>
      <c r="N1449" s="128">
        <v>1.5</v>
      </c>
      <c r="O1449" s="129">
        <f t="shared" si="915"/>
        <v>1</v>
      </c>
      <c r="P1449" s="159">
        <v>0.1</v>
      </c>
      <c r="Q1449" s="208">
        <f t="shared" si="916"/>
        <v>1.1</v>
      </c>
      <c r="R1449" s="132">
        <v>4.0</v>
      </c>
      <c r="S1449" s="132">
        <v>2.0</v>
      </c>
      <c r="T1449" s="65" t="s">
        <v>32</v>
      </c>
      <c r="U1449" s="26"/>
      <c r="V1449" s="26"/>
      <c r="W1449" s="26"/>
      <c r="X1449" s="26"/>
      <c r="Y1449" s="26"/>
      <c r="Z1449" s="26"/>
      <c r="AA1449" s="26"/>
      <c r="AB1449" s="26"/>
      <c r="AC1449" s="26"/>
    </row>
    <row r="1450" ht="33.75" customHeight="1">
      <c r="A1450" s="65" t="s">
        <v>2444</v>
      </c>
      <c r="B1450" s="215" t="s">
        <v>2429</v>
      </c>
      <c r="C1450" s="215" t="s">
        <v>2430</v>
      </c>
      <c r="D1450" s="215" t="s">
        <v>2440</v>
      </c>
      <c r="E1450" s="215" t="s">
        <v>2441</v>
      </c>
      <c r="F1450" s="65" t="s">
        <v>2432</v>
      </c>
      <c r="G1450" s="65" t="s">
        <v>168</v>
      </c>
      <c r="H1450" s="65" t="s">
        <v>168</v>
      </c>
      <c r="I1450" s="65"/>
      <c r="J1450" s="65" t="s">
        <v>9</v>
      </c>
      <c r="K1450" s="65" t="s">
        <v>9</v>
      </c>
      <c r="L1450" s="128">
        <v>0.5</v>
      </c>
      <c r="M1450" s="180">
        <f t="shared" si="912"/>
        <v>1</v>
      </c>
      <c r="N1450" s="128">
        <v>1.5</v>
      </c>
      <c r="O1450" s="129">
        <f t="shared" si="915"/>
        <v>1</v>
      </c>
      <c r="P1450" s="159">
        <v>0.1</v>
      </c>
      <c r="Q1450" s="208">
        <f t="shared" si="916"/>
        <v>1.1</v>
      </c>
      <c r="R1450" s="132">
        <v>4.0</v>
      </c>
      <c r="S1450" s="132">
        <v>2.0</v>
      </c>
      <c r="T1450" s="65" t="s">
        <v>70</v>
      </c>
      <c r="U1450" s="26"/>
      <c r="V1450" s="26"/>
      <c r="W1450" s="26"/>
      <c r="X1450" s="26"/>
      <c r="Y1450" s="26"/>
      <c r="Z1450" s="26"/>
      <c r="AA1450" s="26"/>
      <c r="AB1450" s="26"/>
      <c r="AC1450" s="26"/>
    </row>
    <row r="1451" ht="33.75" customHeight="1">
      <c r="A1451" s="54" t="s">
        <v>2445</v>
      </c>
      <c r="B1451" s="209" t="s">
        <v>2429</v>
      </c>
      <c r="C1451" s="209" t="s">
        <v>2430</v>
      </c>
      <c r="D1451" s="209" t="s">
        <v>2446</v>
      </c>
      <c r="E1451" s="209" t="s">
        <v>2447</v>
      </c>
      <c r="F1451" s="54" t="s">
        <v>2439</v>
      </c>
      <c r="G1451" s="54" t="s">
        <v>168</v>
      </c>
      <c r="H1451" s="54" t="s">
        <v>168</v>
      </c>
      <c r="I1451" s="54"/>
      <c r="J1451" s="54" t="s">
        <v>9</v>
      </c>
      <c r="K1451" s="54" t="s">
        <v>9</v>
      </c>
      <c r="L1451" s="202">
        <f>IF(COUNT(L1452:N1454)=0,"",SUM(L1452:L1454))</f>
        <v>0.5</v>
      </c>
      <c r="M1451" s="174">
        <f t="shared" si="912"/>
        <v>1</v>
      </c>
      <c r="N1451" s="202">
        <f>IF(COUNT(L1452:N1454)=0,"",SUM(N1452:N1454))</f>
        <v>1.5</v>
      </c>
      <c r="O1451" s="202">
        <f>IF(COUNT(O1452:O1454)=0,"",SUM(O1452:O1454))</f>
        <v>1</v>
      </c>
      <c r="P1451" s="210"/>
      <c r="Q1451" s="202">
        <f>IF(COUNT(Q1452:Q1454)=0,"",SUM(Q1452:Q1454))</f>
        <v>1.1</v>
      </c>
      <c r="R1451" s="163"/>
      <c r="S1451" s="163"/>
      <c r="T1451" s="54" t="s">
        <v>65</v>
      </c>
      <c r="U1451" s="26"/>
      <c r="V1451" s="26"/>
      <c r="W1451" s="26"/>
      <c r="X1451" s="105"/>
      <c r="Y1451" s="105"/>
      <c r="Z1451" s="105"/>
      <c r="AA1451" s="105"/>
      <c r="AB1451" s="105"/>
      <c r="AC1451" s="105"/>
    </row>
    <row r="1452" ht="33.75" customHeight="1">
      <c r="A1452" s="65" t="s">
        <v>2448</v>
      </c>
      <c r="B1452" s="215" t="s">
        <v>2429</v>
      </c>
      <c r="C1452" s="215" t="s">
        <v>2430</v>
      </c>
      <c r="D1452" s="215" t="s">
        <v>2446</v>
      </c>
      <c r="E1452" s="215" t="s">
        <v>2447</v>
      </c>
      <c r="F1452" s="65" t="s">
        <v>2439</v>
      </c>
      <c r="G1452" s="65" t="s">
        <v>168</v>
      </c>
      <c r="H1452" s="65" t="s">
        <v>168</v>
      </c>
      <c r="I1452" s="65"/>
      <c r="J1452" s="65" t="s">
        <v>9</v>
      </c>
      <c r="K1452" s="65" t="s">
        <v>9</v>
      </c>
      <c r="L1452" s="128">
        <v>0.0</v>
      </c>
      <c r="M1452" s="180">
        <f t="shared" si="912"/>
        <v>0</v>
      </c>
      <c r="N1452" s="128">
        <v>0.0</v>
      </c>
      <c r="O1452" s="129">
        <f t="shared" ref="O1452:O1454" si="917">IF(COUNT(L1452:N1452)=0,"",(L1452+4*M1452+N1452)/6)</f>
        <v>0</v>
      </c>
      <c r="P1452" s="159">
        <v>0.0</v>
      </c>
      <c r="Q1452" s="208">
        <f t="shared" ref="Q1452:Q1454" si="918">IF(O1452="","",IF(P1452="",O1452,O1452*(1+P1452)))</f>
        <v>0</v>
      </c>
      <c r="R1452" s="132">
        <v>5.0</v>
      </c>
      <c r="S1452" s="132">
        <v>1.0</v>
      </c>
      <c r="T1452" s="65" t="s">
        <v>31</v>
      </c>
      <c r="U1452" s="26"/>
      <c r="V1452" s="26"/>
      <c r="W1452" s="26"/>
      <c r="X1452" s="26"/>
      <c r="Y1452" s="26"/>
      <c r="Z1452" s="26"/>
      <c r="AA1452" s="26"/>
      <c r="AB1452" s="26"/>
      <c r="AC1452" s="26"/>
    </row>
    <row r="1453" ht="33.75" customHeight="1">
      <c r="A1453" s="65" t="s">
        <v>2449</v>
      </c>
      <c r="B1453" s="215" t="s">
        <v>2429</v>
      </c>
      <c r="C1453" s="215" t="s">
        <v>2430</v>
      </c>
      <c r="D1453" s="215" t="s">
        <v>2446</v>
      </c>
      <c r="E1453" s="215" t="s">
        <v>2447</v>
      </c>
      <c r="F1453" s="65" t="s">
        <v>2439</v>
      </c>
      <c r="G1453" s="65" t="s">
        <v>168</v>
      </c>
      <c r="H1453" s="65" t="s">
        <v>168</v>
      </c>
      <c r="I1453" s="65"/>
      <c r="J1453" s="65" t="s">
        <v>9</v>
      </c>
      <c r="K1453" s="65" t="s">
        <v>9</v>
      </c>
      <c r="L1453" s="128">
        <v>0.5</v>
      </c>
      <c r="M1453" s="180">
        <f t="shared" si="912"/>
        <v>1</v>
      </c>
      <c r="N1453" s="128">
        <v>1.5</v>
      </c>
      <c r="O1453" s="129">
        <f t="shared" si="917"/>
        <v>1</v>
      </c>
      <c r="P1453" s="159">
        <v>0.1</v>
      </c>
      <c r="Q1453" s="208">
        <f t="shared" si="918"/>
        <v>1.1</v>
      </c>
      <c r="R1453" s="132">
        <v>4.0</v>
      </c>
      <c r="S1453" s="132">
        <v>2.0</v>
      </c>
      <c r="T1453" s="65" t="s">
        <v>32</v>
      </c>
      <c r="U1453" s="26"/>
      <c r="V1453" s="26"/>
      <c r="W1453" s="26"/>
      <c r="X1453" s="26"/>
      <c r="Y1453" s="26"/>
      <c r="Z1453" s="26"/>
      <c r="AA1453" s="26"/>
      <c r="AB1453" s="26"/>
      <c r="AC1453" s="26"/>
    </row>
    <row r="1454" ht="33.75" customHeight="1">
      <c r="A1454" s="65" t="s">
        <v>2450</v>
      </c>
      <c r="B1454" s="215" t="s">
        <v>2429</v>
      </c>
      <c r="C1454" s="215" t="s">
        <v>2430</v>
      </c>
      <c r="D1454" s="215" t="s">
        <v>2446</v>
      </c>
      <c r="E1454" s="215" t="s">
        <v>2447</v>
      </c>
      <c r="F1454" s="65" t="s">
        <v>2439</v>
      </c>
      <c r="G1454" s="65" t="s">
        <v>168</v>
      </c>
      <c r="H1454" s="65" t="s">
        <v>168</v>
      </c>
      <c r="I1454" s="65"/>
      <c r="J1454" s="65" t="s">
        <v>9</v>
      </c>
      <c r="K1454" s="65" t="s">
        <v>9</v>
      </c>
      <c r="L1454" s="128">
        <v>0.0</v>
      </c>
      <c r="M1454" s="180">
        <f t="shared" si="912"/>
        <v>0</v>
      </c>
      <c r="N1454" s="128">
        <v>0.0</v>
      </c>
      <c r="O1454" s="129">
        <f t="shared" si="917"/>
        <v>0</v>
      </c>
      <c r="P1454" s="159">
        <v>0.0</v>
      </c>
      <c r="Q1454" s="208">
        <f t="shared" si="918"/>
        <v>0</v>
      </c>
      <c r="R1454" s="132">
        <v>5.0</v>
      </c>
      <c r="S1454" s="132">
        <v>1.0</v>
      </c>
      <c r="T1454" s="65" t="s">
        <v>70</v>
      </c>
      <c r="U1454" s="26"/>
      <c r="V1454" s="26"/>
      <c r="W1454" s="26"/>
      <c r="X1454" s="26"/>
      <c r="Y1454" s="26"/>
      <c r="Z1454" s="26"/>
      <c r="AA1454" s="26"/>
      <c r="AB1454" s="26"/>
      <c r="AC1454" s="26"/>
    </row>
    <row r="1455" ht="33.75" customHeight="1">
      <c r="A1455" s="54" t="s">
        <v>2451</v>
      </c>
      <c r="B1455" s="209" t="s">
        <v>2429</v>
      </c>
      <c r="C1455" s="209" t="s">
        <v>2430</v>
      </c>
      <c r="D1455" s="209" t="s">
        <v>2452</v>
      </c>
      <c r="E1455" s="209" t="s">
        <v>2453</v>
      </c>
      <c r="F1455" s="54" t="s">
        <v>2439</v>
      </c>
      <c r="G1455" s="54" t="s">
        <v>168</v>
      </c>
      <c r="H1455" s="54" t="s">
        <v>168</v>
      </c>
      <c r="I1455" s="54"/>
      <c r="J1455" s="54" t="s">
        <v>9</v>
      </c>
      <c r="K1455" s="54" t="s">
        <v>9</v>
      </c>
      <c r="L1455" s="202">
        <f>IF(COUNT(L1456:N1458)=0,"",SUM(L1456:L1458))</f>
        <v>1.5</v>
      </c>
      <c r="M1455" s="174">
        <f t="shared" si="912"/>
        <v>3</v>
      </c>
      <c r="N1455" s="202">
        <f>IF(COUNT(L1456:N1458)=0,"",SUM(N1456:N1458))</f>
        <v>4.5</v>
      </c>
      <c r="O1455" s="202">
        <f>IF(COUNT(O1456:O1458)=0,"",SUM(O1456:O1458))</f>
        <v>3</v>
      </c>
      <c r="P1455" s="210"/>
      <c r="Q1455" s="202">
        <f>IF(COUNT(Q1456:Q1458)=0,"",SUM(Q1456:Q1458))</f>
        <v>3.35625</v>
      </c>
      <c r="R1455" s="163"/>
      <c r="S1455" s="163"/>
      <c r="T1455" s="54" t="s">
        <v>65</v>
      </c>
      <c r="U1455" s="26"/>
      <c r="V1455" s="26"/>
      <c r="W1455" s="26"/>
      <c r="X1455" s="105"/>
      <c r="Y1455" s="105"/>
      <c r="Z1455" s="105"/>
      <c r="AA1455" s="105"/>
      <c r="AB1455" s="105"/>
      <c r="AC1455" s="105"/>
    </row>
    <row r="1456" ht="33.75" customHeight="1">
      <c r="A1456" s="65" t="s">
        <v>2454</v>
      </c>
      <c r="B1456" s="215" t="s">
        <v>2429</v>
      </c>
      <c r="C1456" s="215" t="s">
        <v>2430</v>
      </c>
      <c r="D1456" s="215" t="s">
        <v>2452</v>
      </c>
      <c r="E1456" s="215" t="s">
        <v>2453</v>
      </c>
      <c r="F1456" s="65" t="s">
        <v>2439</v>
      </c>
      <c r="G1456" s="65" t="s">
        <v>168</v>
      </c>
      <c r="H1456" s="65" t="s">
        <v>168</v>
      </c>
      <c r="I1456" s="65"/>
      <c r="J1456" s="65" t="s">
        <v>9</v>
      </c>
      <c r="K1456" s="65" t="s">
        <v>9</v>
      </c>
      <c r="L1456" s="128">
        <v>0.25</v>
      </c>
      <c r="M1456" s="180">
        <f t="shared" si="912"/>
        <v>0.625</v>
      </c>
      <c r="N1456" s="128">
        <v>1.0</v>
      </c>
      <c r="O1456" s="129">
        <f t="shared" ref="O1456:O1458" si="919">IF(COUNT(L1456:N1456)=0,"",(L1456+4*M1456+N1456)/6)</f>
        <v>0.625</v>
      </c>
      <c r="P1456" s="159">
        <v>0.05</v>
      </c>
      <c r="Q1456" s="208">
        <f t="shared" ref="Q1456:Q1458" si="920">IF(O1456="","",IF(P1456="",O1456,O1456*(1+P1456)))</f>
        <v>0.65625</v>
      </c>
      <c r="R1456" s="132">
        <v>5.0</v>
      </c>
      <c r="S1456" s="132">
        <v>1.0</v>
      </c>
      <c r="T1456" s="65" t="s">
        <v>31</v>
      </c>
      <c r="U1456" s="26"/>
      <c r="V1456" s="26"/>
      <c r="W1456" s="26"/>
      <c r="X1456" s="26"/>
      <c r="Y1456" s="26"/>
      <c r="Z1456" s="26"/>
      <c r="AA1456" s="26"/>
      <c r="AB1456" s="26"/>
      <c r="AC1456" s="26"/>
    </row>
    <row r="1457" ht="33.75" customHeight="1">
      <c r="A1457" s="65" t="s">
        <v>2455</v>
      </c>
      <c r="B1457" s="215" t="s">
        <v>2429</v>
      </c>
      <c r="C1457" s="215" t="s">
        <v>2430</v>
      </c>
      <c r="D1457" s="215" t="s">
        <v>2452</v>
      </c>
      <c r="E1457" s="215" t="s">
        <v>2453</v>
      </c>
      <c r="F1457" s="65" t="s">
        <v>2439</v>
      </c>
      <c r="G1457" s="65" t="s">
        <v>168</v>
      </c>
      <c r="H1457" s="65" t="s">
        <v>168</v>
      </c>
      <c r="I1457" s="65"/>
      <c r="J1457" s="65" t="s">
        <v>9</v>
      </c>
      <c r="K1457" s="65" t="s">
        <v>9</v>
      </c>
      <c r="L1457" s="128">
        <v>1.0</v>
      </c>
      <c r="M1457" s="180">
        <f t="shared" si="912"/>
        <v>1.75</v>
      </c>
      <c r="N1457" s="128">
        <v>2.5</v>
      </c>
      <c r="O1457" s="129">
        <f t="shared" si="919"/>
        <v>1.75</v>
      </c>
      <c r="P1457" s="159">
        <v>0.15</v>
      </c>
      <c r="Q1457" s="208">
        <f t="shared" si="920"/>
        <v>2.0125</v>
      </c>
      <c r="R1457" s="132">
        <v>4.0</v>
      </c>
      <c r="S1457" s="132">
        <v>2.0</v>
      </c>
      <c r="T1457" s="65" t="s">
        <v>32</v>
      </c>
      <c r="U1457" s="26"/>
      <c r="V1457" s="26"/>
      <c r="W1457" s="26"/>
      <c r="X1457" s="26"/>
      <c r="Y1457" s="26"/>
      <c r="Z1457" s="26"/>
      <c r="AA1457" s="26"/>
      <c r="AB1457" s="26"/>
      <c r="AC1457" s="26"/>
    </row>
    <row r="1458" ht="33.75" customHeight="1">
      <c r="A1458" s="65" t="s">
        <v>2456</v>
      </c>
      <c r="B1458" s="215" t="s">
        <v>2429</v>
      </c>
      <c r="C1458" s="215" t="s">
        <v>2430</v>
      </c>
      <c r="D1458" s="215" t="s">
        <v>2452</v>
      </c>
      <c r="E1458" s="215" t="s">
        <v>2453</v>
      </c>
      <c r="F1458" s="65" t="s">
        <v>2439</v>
      </c>
      <c r="G1458" s="65" t="s">
        <v>168</v>
      </c>
      <c r="H1458" s="65" t="s">
        <v>168</v>
      </c>
      <c r="I1458" s="65"/>
      <c r="J1458" s="65" t="s">
        <v>9</v>
      </c>
      <c r="K1458" s="65" t="s">
        <v>9</v>
      </c>
      <c r="L1458" s="128">
        <v>0.25</v>
      </c>
      <c r="M1458" s="180">
        <f t="shared" si="912"/>
        <v>0.625</v>
      </c>
      <c r="N1458" s="128">
        <v>1.0</v>
      </c>
      <c r="O1458" s="129">
        <f t="shared" si="919"/>
        <v>0.625</v>
      </c>
      <c r="P1458" s="159">
        <v>0.1</v>
      </c>
      <c r="Q1458" s="208">
        <f t="shared" si="920"/>
        <v>0.6875</v>
      </c>
      <c r="R1458" s="132">
        <v>4.0</v>
      </c>
      <c r="S1458" s="132">
        <v>2.0</v>
      </c>
      <c r="T1458" s="65" t="s">
        <v>70</v>
      </c>
      <c r="U1458" s="26"/>
      <c r="V1458" s="26"/>
      <c r="W1458" s="26"/>
      <c r="X1458" s="26"/>
      <c r="Y1458" s="26"/>
      <c r="Z1458" s="26"/>
      <c r="AA1458" s="26"/>
      <c r="AB1458" s="26"/>
      <c r="AC1458" s="26"/>
    </row>
    <row r="1459" ht="33.75" customHeight="1">
      <c r="A1459" s="98" t="s">
        <v>2457</v>
      </c>
      <c r="B1459" s="99" t="s">
        <v>2429</v>
      </c>
      <c r="C1459" s="99" t="s">
        <v>2430</v>
      </c>
      <c r="D1459" s="99" t="s">
        <v>2458</v>
      </c>
      <c r="E1459" s="99" t="s">
        <v>2459</v>
      </c>
      <c r="F1459" s="98" t="s">
        <v>2432</v>
      </c>
      <c r="G1459" s="98" t="s">
        <v>200</v>
      </c>
      <c r="H1459" s="98" t="s">
        <v>200</v>
      </c>
      <c r="I1459" s="98"/>
      <c r="J1459" s="98" t="s">
        <v>12</v>
      </c>
      <c r="K1459" s="100" t="s">
        <v>12</v>
      </c>
      <c r="L1459" s="101">
        <f>IF(COUNT(L1460:N1462)=0,"",SUM(L1460:L1462))</f>
        <v>0</v>
      </c>
      <c r="M1459" s="102">
        <f t="shared" si="912"/>
        <v>0</v>
      </c>
      <c r="N1459" s="101">
        <f>IF(COUNT(L1460:N1462)=0,"",SUM(N1460:N1462))</f>
        <v>0</v>
      </c>
      <c r="O1459" s="101">
        <f>IF(COUNT(O1460:O1462)=0,"",SUM(O1460:O1462))</f>
        <v>0</v>
      </c>
      <c r="P1459" s="103"/>
      <c r="Q1459" s="101">
        <f>IF(COUNT(Q1460:Q1462)=0,"",SUM(Q1460:Q1462))</f>
        <v>0</v>
      </c>
      <c r="R1459" s="104"/>
      <c r="S1459" s="104"/>
      <c r="T1459" s="98" t="s">
        <v>65</v>
      </c>
      <c r="U1459" s="26"/>
      <c r="V1459" s="26"/>
      <c r="W1459" s="26"/>
      <c r="X1459" s="105"/>
      <c r="Y1459" s="105"/>
      <c r="Z1459" s="105"/>
      <c r="AA1459" s="105"/>
      <c r="AB1459" s="105"/>
      <c r="AC1459" s="105"/>
    </row>
    <row r="1460" ht="33.75" customHeight="1">
      <c r="A1460" s="106" t="s">
        <v>2460</v>
      </c>
      <c r="B1460" s="107" t="s">
        <v>2429</v>
      </c>
      <c r="C1460" s="107" t="s">
        <v>2430</v>
      </c>
      <c r="D1460" s="107" t="s">
        <v>2458</v>
      </c>
      <c r="E1460" s="107" t="s">
        <v>2459</v>
      </c>
      <c r="F1460" s="106" t="s">
        <v>2432</v>
      </c>
      <c r="G1460" s="106" t="s">
        <v>200</v>
      </c>
      <c r="H1460" s="106" t="s">
        <v>200</v>
      </c>
      <c r="I1460" s="106"/>
      <c r="J1460" s="106" t="s">
        <v>12</v>
      </c>
      <c r="K1460" s="108" t="s">
        <v>12</v>
      </c>
      <c r="L1460" s="109"/>
      <c r="M1460" s="109">
        <f t="shared" si="912"/>
        <v>0</v>
      </c>
      <c r="N1460" s="109"/>
      <c r="O1460" s="109">
        <f t="shared" ref="O1460:O1462" si="921">IF(COUNT(L1460:N1460)=0,"",(L1460+4*M1460+N1460)/6)</f>
        <v>0</v>
      </c>
      <c r="P1460" s="110"/>
      <c r="Q1460" s="109">
        <f t="shared" ref="Q1460:Q1462" si="922">IF(O1460="","",IF(P1460="",O1460,O1460*(1+P1460)))</f>
        <v>0</v>
      </c>
      <c r="R1460" s="111"/>
      <c r="S1460" s="111"/>
      <c r="T1460" s="106" t="s">
        <v>31</v>
      </c>
      <c r="U1460" s="26"/>
      <c r="V1460" s="26"/>
      <c r="W1460" s="26"/>
      <c r="X1460" s="26"/>
      <c r="Y1460" s="26"/>
      <c r="Z1460" s="26"/>
      <c r="AA1460" s="26"/>
      <c r="AB1460" s="26"/>
      <c r="AC1460" s="26"/>
    </row>
    <row r="1461" ht="33.75" customHeight="1">
      <c r="A1461" s="106" t="s">
        <v>2461</v>
      </c>
      <c r="B1461" s="107" t="s">
        <v>2429</v>
      </c>
      <c r="C1461" s="107" t="s">
        <v>2430</v>
      </c>
      <c r="D1461" s="107" t="s">
        <v>2458</v>
      </c>
      <c r="E1461" s="107" t="s">
        <v>2459</v>
      </c>
      <c r="F1461" s="106" t="s">
        <v>2432</v>
      </c>
      <c r="G1461" s="106" t="s">
        <v>200</v>
      </c>
      <c r="H1461" s="106" t="s">
        <v>200</v>
      </c>
      <c r="I1461" s="106"/>
      <c r="J1461" s="106" t="s">
        <v>12</v>
      </c>
      <c r="K1461" s="108" t="s">
        <v>12</v>
      </c>
      <c r="L1461" s="109"/>
      <c r="M1461" s="109">
        <f t="shared" si="912"/>
        <v>0</v>
      </c>
      <c r="N1461" s="109"/>
      <c r="O1461" s="109">
        <f t="shared" si="921"/>
        <v>0</v>
      </c>
      <c r="P1461" s="110"/>
      <c r="Q1461" s="109">
        <f t="shared" si="922"/>
        <v>0</v>
      </c>
      <c r="R1461" s="111"/>
      <c r="S1461" s="111"/>
      <c r="T1461" s="106" t="s">
        <v>32</v>
      </c>
      <c r="U1461" s="26"/>
      <c r="V1461" s="26"/>
      <c r="W1461" s="26"/>
      <c r="X1461" s="26"/>
      <c r="Y1461" s="26"/>
      <c r="Z1461" s="26"/>
      <c r="AA1461" s="26"/>
      <c r="AB1461" s="26"/>
      <c r="AC1461" s="26"/>
    </row>
    <row r="1462" ht="33.75" customHeight="1">
      <c r="A1462" s="106" t="s">
        <v>2462</v>
      </c>
      <c r="B1462" s="107" t="s">
        <v>2429</v>
      </c>
      <c r="C1462" s="107" t="s">
        <v>2430</v>
      </c>
      <c r="D1462" s="107" t="s">
        <v>2458</v>
      </c>
      <c r="E1462" s="107" t="s">
        <v>2459</v>
      </c>
      <c r="F1462" s="106" t="s">
        <v>2432</v>
      </c>
      <c r="G1462" s="106" t="s">
        <v>200</v>
      </c>
      <c r="H1462" s="106" t="s">
        <v>200</v>
      </c>
      <c r="I1462" s="106"/>
      <c r="J1462" s="106" t="s">
        <v>12</v>
      </c>
      <c r="K1462" s="108" t="s">
        <v>12</v>
      </c>
      <c r="L1462" s="109"/>
      <c r="M1462" s="109">
        <f t="shared" si="912"/>
        <v>0</v>
      </c>
      <c r="N1462" s="109"/>
      <c r="O1462" s="109">
        <f t="shared" si="921"/>
        <v>0</v>
      </c>
      <c r="P1462" s="110"/>
      <c r="Q1462" s="109">
        <f t="shared" si="922"/>
        <v>0</v>
      </c>
      <c r="R1462" s="111"/>
      <c r="S1462" s="111"/>
      <c r="T1462" s="106" t="s">
        <v>70</v>
      </c>
      <c r="U1462" s="26"/>
      <c r="V1462" s="26"/>
      <c r="W1462" s="26"/>
      <c r="X1462" s="26"/>
      <c r="Y1462" s="26"/>
      <c r="Z1462" s="26"/>
      <c r="AA1462" s="26"/>
      <c r="AB1462" s="26"/>
      <c r="AC1462" s="26"/>
    </row>
    <row r="1463" ht="33.75" customHeight="1">
      <c r="A1463" s="112" t="s">
        <v>2463</v>
      </c>
      <c r="B1463" s="38" t="s">
        <v>2429</v>
      </c>
      <c r="C1463" s="38" t="s">
        <v>2464</v>
      </c>
      <c r="D1463" s="38" t="s">
        <v>2464</v>
      </c>
      <c r="E1463" s="113" t="s">
        <v>2465</v>
      </c>
      <c r="F1463" s="114"/>
      <c r="G1463" s="114"/>
      <c r="H1463" s="45"/>
      <c r="I1463" s="45"/>
      <c r="J1463" s="114"/>
      <c r="K1463" s="115"/>
      <c r="L1463" s="42">
        <f>IF(COUNT(L1464,L1468,L1472,L1476)=0,"",SUM(L1464,L1468,L1472,L1476))</f>
        <v>3.25</v>
      </c>
      <c r="M1463" s="42">
        <f t="shared" si="912"/>
        <v>6.375</v>
      </c>
      <c r="N1463" s="42">
        <f t="shared" ref="N1463:O1463" si="923">IF(COUNT(N1464,N1468,N1472,N1476)=0,"",SUM(N1464,N1468,N1472,N1476))</f>
        <v>9.5</v>
      </c>
      <c r="O1463" s="42">
        <f t="shared" si="923"/>
        <v>6.375</v>
      </c>
      <c r="P1463" s="43"/>
      <c r="Q1463" s="42">
        <f>IF(COUNT(Q1464,Q1468,Q1472,Q1476)=0,"",SUM(Q1464,Q1468,Q1472,Q1476))</f>
        <v>7.1</v>
      </c>
      <c r="R1463" s="44"/>
      <c r="S1463" s="44"/>
      <c r="T1463" s="45" t="s">
        <v>62</v>
      </c>
      <c r="U1463" s="26"/>
      <c r="V1463" s="26"/>
      <c r="W1463" s="26"/>
      <c r="X1463" s="46">
        <f t="shared" ref="X1463:AA1463" si="924">L1463</f>
        <v>3.25</v>
      </c>
      <c r="Y1463" s="46">
        <f t="shared" si="924"/>
        <v>6.375</v>
      </c>
      <c r="Z1463" s="46">
        <f t="shared" si="924"/>
        <v>9.5</v>
      </c>
      <c r="AA1463" s="46">
        <f t="shared" si="924"/>
        <v>6.375</v>
      </c>
      <c r="AB1463" s="26"/>
      <c r="AC1463" s="46">
        <f>Q1463</f>
        <v>7.1</v>
      </c>
    </row>
    <row r="1464" ht="33.75" customHeight="1">
      <c r="A1464" s="116" t="s">
        <v>2466</v>
      </c>
      <c r="B1464" s="77" t="s">
        <v>2429</v>
      </c>
      <c r="C1464" s="77" t="s">
        <v>2464</v>
      </c>
      <c r="D1464" s="77" t="s">
        <v>2467</v>
      </c>
      <c r="E1464" s="117" t="s">
        <v>2468</v>
      </c>
      <c r="F1464" s="118" t="s">
        <v>2469</v>
      </c>
      <c r="G1464" s="118" t="s">
        <v>168</v>
      </c>
      <c r="H1464" s="119" t="s">
        <v>168</v>
      </c>
      <c r="I1464" s="54"/>
      <c r="J1464" s="118" t="s">
        <v>9</v>
      </c>
      <c r="K1464" s="120" t="s">
        <v>9</v>
      </c>
      <c r="L1464" s="202">
        <f>IF(COUNT(L1465:N1467)=0,"",SUM(L1465:L1467))</f>
        <v>2</v>
      </c>
      <c r="M1464" s="174">
        <f t="shared" si="912"/>
        <v>3.75</v>
      </c>
      <c r="N1464" s="202">
        <f>IF(COUNT(L1465:N1467)=0,"",SUM(N1465:N1467))</f>
        <v>5.5</v>
      </c>
      <c r="O1464" s="202">
        <f>IF(COUNT(O1465:O1467)=0,"",SUM(O1465:O1467))</f>
        <v>3.75</v>
      </c>
      <c r="P1464" s="210"/>
      <c r="Q1464" s="202">
        <f>IF(COUNT(Q1465:Q1467)=0,"",SUM(Q1465:Q1467))</f>
        <v>4.2125</v>
      </c>
      <c r="R1464" s="163"/>
      <c r="S1464" s="163"/>
      <c r="T1464" s="54" t="s">
        <v>65</v>
      </c>
      <c r="U1464" s="26"/>
      <c r="V1464" s="26"/>
      <c r="W1464" s="26"/>
      <c r="X1464" s="46"/>
      <c r="Y1464" s="46"/>
      <c r="Z1464" s="46"/>
      <c r="AA1464" s="46"/>
      <c r="AB1464" s="232"/>
      <c r="AC1464" s="46"/>
    </row>
    <row r="1465" ht="33.75" customHeight="1">
      <c r="A1465" s="65" t="s">
        <v>2470</v>
      </c>
      <c r="B1465" s="215" t="s">
        <v>2429</v>
      </c>
      <c r="C1465" s="215" t="s">
        <v>2464</v>
      </c>
      <c r="D1465" s="215" t="s">
        <v>2467</v>
      </c>
      <c r="E1465" s="215" t="s">
        <v>2468</v>
      </c>
      <c r="F1465" s="65" t="s">
        <v>2469</v>
      </c>
      <c r="G1465" s="65" t="s">
        <v>168</v>
      </c>
      <c r="H1465" s="65" t="s">
        <v>168</v>
      </c>
      <c r="I1465" s="65"/>
      <c r="J1465" s="65" t="s">
        <v>9</v>
      </c>
      <c r="K1465" s="65" t="s">
        <v>9</v>
      </c>
      <c r="L1465" s="128">
        <v>0.5</v>
      </c>
      <c r="M1465" s="180">
        <f t="shared" si="912"/>
        <v>1</v>
      </c>
      <c r="N1465" s="128">
        <v>1.5</v>
      </c>
      <c r="O1465" s="129">
        <f t="shared" ref="O1465:O1467" si="925">IF(COUNT(L1465:N1465)=0,"",(L1465+4*M1465+N1465)/6)</f>
        <v>1</v>
      </c>
      <c r="P1465" s="159">
        <v>0.1</v>
      </c>
      <c r="Q1465" s="208">
        <f t="shared" ref="Q1465:Q1467" si="926">IF(O1465="","",IF(P1465="",O1465,O1465*(1+P1465)))</f>
        <v>1.1</v>
      </c>
      <c r="R1465" s="132">
        <v>4.0</v>
      </c>
      <c r="S1465" s="132">
        <v>2.0</v>
      </c>
      <c r="T1465" s="65" t="s">
        <v>31</v>
      </c>
      <c r="U1465" s="26"/>
      <c r="V1465" s="26"/>
      <c r="W1465" s="26"/>
      <c r="X1465" s="26"/>
      <c r="Y1465" s="26"/>
      <c r="Z1465" s="26"/>
      <c r="AA1465" s="26"/>
      <c r="AB1465" s="26"/>
      <c r="AC1465" s="26"/>
    </row>
    <row r="1466" ht="33.75" customHeight="1">
      <c r="A1466" s="65" t="s">
        <v>2471</v>
      </c>
      <c r="B1466" s="215" t="s">
        <v>2429</v>
      </c>
      <c r="C1466" s="215" t="s">
        <v>2464</v>
      </c>
      <c r="D1466" s="215" t="s">
        <v>2467</v>
      </c>
      <c r="E1466" s="215" t="s">
        <v>2468</v>
      </c>
      <c r="F1466" s="65" t="s">
        <v>2469</v>
      </c>
      <c r="G1466" s="65" t="s">
        <v>168</v>
      </c>
      <c r="H1466" s="65" t="s">
        <v>168</v>
      </c>
      <c r="I1466" s="65"/>
      <c r="J1466" s="65" t="s">
        <v>9</v>
      </c>
      <c r="K1466" s="65" t="s">
        <v>9</v>
      </c>
      <c r="L1466" s="128">
        <v>1.0</v>
      </c>
      <c r="M1466" s="180">
        <f t="shared" si="912"/>
        <v>1.75</v>
      </c>
      <c r="N1466" s="128">
        <v>2.5</v>
      </c>
      <c r="O1466" s="129">
        <f t="shared" si="925"/>
        <v>1.75</v>
      </c>
      <c r="P1466" s="159">
        <v>0.15</v>
      </c>
      <c r="Q1466" s="208">
        <f t="shared" si="926"/>
        <v>2.0125</v>
      </c>
      <c r="R1466" s="132">
        <v>4.0</v>
      </c>
      <c r="S1466" s="132">
        <v>2.0</v>
      </c>
      <c r="T1466" s="65" t="s">
        <v>32</v>
      </c>
      <c r="U1466" s="26"/>
      <c r="V1466" s="26"/>
      <c r="W1466" s="26"/>
      <c r="X1466" s="26"/>
      <c r="Y1466" s="26"/>
      <c r="Z1466" s="26"/>
      <c r="AA1466" s="26"/>
      <c r="AB1466" s="26"/>
      <c r="AC1466" s="26"/>
    </row>
    <row r="1467" ht="33.75" customHeight="1">
      <c r="A1467" s="65" t="s">
        <v>2472</v>
      </c>
      <c r="B1467" s="215" t="s">
        <v>2429</v>
      </c>
      <c r="C1467" s="215" t="s">
        <v>2464</v>
      </c>
      <c r="D1467" s="215" t="s">
        <v>2467</v>
      </c>
      <c r="E1467" s="215" t="s">
        <v>2468</v>
      </c>
      <c r="F1467" s="65" t="s">
        <v>2469</v>
      </c>
      <c r="G1467" s="65" t="s">
        <v>168</v>
      </c>
      <c r="H1467" s="65" t="s">
        <v>168</v>
      </c>
      <c r="I1467" s="65"/>
      <c r="J1467" s="65" t="s">
        <v>9</v>
      </c>
      <c r="K1467" s="65" t="s">
        <v>9</v>
      </c>
      <c r="L1467" s="128">
        <v>0.5</v>
      </c>
      <c r="M1467" s="180">
        <f t="shared" si="912"/>
        <v>1</v>
      </c>
      <c r="N1467" s="128">
        <v>1.5</v>
      </c>
      <c r="O1467" s="129">
        <f t="shared" si="925"/>
        <v>1</v>
      </c>
      <c r="P1467" s="159">
        <v>0.1</v>
      </c>
      <c r="Q1467" s="208">
        <f t="shared" si="926"/>
        <v>1.1</v>
      </c>
      <c r="R1467" s="132">
        <v>4.0</v>
      </c>
      <c r="S1467" s="132">
        <v>2.0</v>
      </c>
      <c r="T1467" s="65" t="s">
        <v>70</v>
      </c>
      <c r="U1467" s="26"/>
      <c r="V1467" s="26"/>
      <c r="W1467" s="26"/>
      <c r="X1467" s="26"/>
      <c r="Y1467" s="26"/>
      <c r="Z1467" s="26"/>
      <c r="AA1467" s="26"/>
      <c r="AB1467" s="26"/>
      <c r="AC1467" s="26"/>
    </row>
    <row r="1468" ht="33.75" customHeight="1">
      <c r="A1468" s="54" t="s">
        <v>2473</v>
      </c>
      <c r="B1468" s="209" t="s">
        <v>2429</v>
      </c>
      <c r="C1468" s="209" t="s">
        <v>2464</v>
      </c>
      <c r="D1468" s="209" t="s">
        <v>2474</v>
      </c>
      <c r="E1468" s="209" t="s">
        <v>2475</v>
      </c>
      <c r="F1468" s="54" t="s">
        <v>2466</v>
      </c>
      <c r="G1468" s="54" t="s">
        <v>154</v>
      </c>
      <c r="H1468" s="54" t="s">
        <v>154</v>
      </c>
      <c r="I1468" s="54"/>
      <c r="J1468" s="54" t="s">
        <v>9</v>
      </c>
      <c r="K1468" s="54" t="s">
        <v>9</v>
      </c>
      <c r="L1468" s="202">
        <f>IF(COUNT(L1469:N1471)=0,"",SUM(L1469:L1471))</f>
        <v>0.5</v>
      </c>
      <c r="M1468" s="174">
        <f t="shared" si="912"/>
        <v>1</v>
      </c>
      <c r="N1468" s="202">
        <f>IF(COUNT(L1469:N1471)=0,"",SUM(N1469:N1471))</f>
        <v>1.5</v>
      </c>
      <c r="O1468" s="202">
        <f>IF(COUNT(O1469:O1471)=0,"",SUM(O1469:O1471))</f>
        <v>1</v>
      </c>
      <c r="P1468" s="210"/>
      <c r="Q1468" s="202">
        <f>IF(COUNT(Q1469:Q1471)=0,"",SUM(Q1469:Q1471))</f>
        <v>1.1</v>
      </c>
      <c r="R1468" s="163"/>
      <c r="S1468" s="163"/>
      <c r="T1468" s="54" t="s">
        <v>65</v>
      </c>
      <c r="U1468" s="26"/>
      <c r="V1468" s="26"/>
      <c r="W1468" s="26"/>
      <c r="X1468" s="105"/>
      <c r="Y1468" s="105"/>
      <c r="Z1468" s="105"/>
      <c r="AA1468" s="105"/>
      <c r="AB1468" s="105"/>
      <c r="AC1468" s="105"/>
    </row>
    <row r="1469" ht="33.75" customHeight="1">
      <c r="A1469" s="65" t="s">
        <v>2476</v>
      </c>
      <c r="B1469" s="215" t="s">
        <v>2429</v>
      </c>
      <c r="C1469" s="215" t="s">
        <v>2464</v>
      </c>
      <c r="D1469" s="215" t="s">
        <v>2474</v>
      </c>
      <c r="E1469" s="215" t="s">
        <v>2475</v>
      </c>
      <c r="F1469" s="65" t="s">
        <v>2466</v>
      </c>
      <c r="G1469" s="65" t="s">
        <v>154</v>
      </c>
      <c r="H1469" s="65" t="s">
        <v>154</v>
      </c>
      <c r="I1469" s="65"/>
      <c r="J1469" s="65" t="s">
        <v>9</v>
      </c>
      <c r="K1469" s="65" t="s">
        <v>9</v>
      </c>
      <c r="L1469" s="128">
        <v>0.0</v>
      </c>
      <c r="M1469" s="180">
        <f t="shared" si="912"/>
        <v>0</v>
      </c>
      <c r="N1469" s="128">
        <v>0.0</v>
      </c>
      <c r="O1469" s="129">
        <f t="shared" ref="O1469:O1471" si="927">IF(COUNT(L1469:N1469)=0,"",(L1469+4*M1469+N1469)/6)</f>
        <v>0</v>
      </c>
      <c r="P1469" s="159">
        <v>0.0</v>
      </c>
      <c r="Q1469" s="208">
        <f t="shared" ref="Q1469:Q1471" si="928">IF(O1469="","",IF(P1469="",O1469,O1469*(1+P1469)))</f>
        <v>0</v>
      </c>
      <c r="R1469" s="132">
        <v>5.0</v>
      </c>
      <c r="S1469" s="132">
        <v>1.0</v>
      </c>
      <c r="T1469" s="65" t="s">
        <v>31</v>
      </c>
      <c r="U1469" s="26"/>
      <c r="V1469" s="26"/>
      <c r="W1469" s="26"/>
      <c r="X1469" s="26"/>
      <c r="Y1469" s="26"/>
      <c r="Z1469" s="26"/>
      <c r="AA1469" s="26"/>
      <c r="AB1469" s="26"/>
      <c r="AC1469" s="26"/>
    </row>
    <row r="1470" ht="33.75" customHeight="1">
      <c r="A1470" s="65" t="s">
        <v>2477</v>
      </c>
      <c r="B1470" s="215" t="s">
        <v>2429</v>
      </c>
      <c r="C1470" s="215" t="s">
        <v>2464</v>
      </c>
      <c r="D1470" s="215" t="s">
        <v>2474</v>
      </c>
      <c r="E1470" s="215" t="s">
        <v>2475</v>
      </c>
      <c r="F1470" s="65" t="s">
        <v>2466</v>
      </c>
      <c r="G1470" s="65" t="s">
        <v>154</v>
      </c>
      <c r="H1470" s="65" t="s">
        <v>154</v>
      </c>
      <c r="I1470" s="65"/>
      <c r="J1470" s="65" t="s">
        <v>9</v>
      </c>
      <c r="K1470" s="65" t="s">
        <v>9</v>
      </c>
      <c r="L1470" s="128">
        <v>0.5</v>
      </c>
      <c r="M1470" s="180">
        <f t="shared" si="912"/>
        <v>1</v>
      </c>
      <c r="N1470" s="128">
        <v>1.5</v>
      </c>
      <c r="O1470" s="129">
        <f t="shared" si="927"/>
        <v>1</v>
      </c>
      <c r="P1470" s="159">
        <v>0.1</v>
      </c>
      <c r="Q1470" s="208">
        <f t="shared" si="928"/>
        <v>1.1</v>
      </c>
      <c r="R1470" s="132">
        <v>4.0</v>
      </c>
      <c r="S1470" s="132">
        <v>2.0</v>
      </c>
      <c r="T1470" s="65" t="s">
        <v>32</v>
      </c>
      <c r="U1470" s="26"/>
      <c r="V1470" s="26"/>
      <c r="W1470" s="26"/>
      <c r="X1470" s="26"/>
      <c r="Y1470" s="26"/>
      <c r="Z1470" s="26"/>
      <c r="AA1470" s="26"/>
      <c r="AB1470" s="26"/>
      <c r="AC1470" s="26"/>
    </row>
    <row r="1471" ht="33.75" customHeight="1">
      <c r="A1471" s="65" t="s">
        <v>2478</v>
      </c>
      <c r="B1471" s="215" t="s">
        <v>2429</v>
      </c>
      <c r="C1471" s="215" t="s">
        <v>2464</v>
      </c>
      <c r="D1471" s="215" t="s">
        <v>2474</v>
      </c>
      <c r="E1471" s="215" t="s">
        <v>2475</v>
      </c>
      <c r="F1471" s="65" t="s">
        <v>2466</v>
      </c>
      <c r="G1471" s="65" t="s">
        <v>154</v>
      </c>
      <c r="H1471" s="65" t="s">
        <v>154</v>
      </c>
      <c r="I1471" s="65"/>
      <c r="J1471" s="65" t="s">
        <v>9</v>
      </c>
      <c r="K1471" s="65" t="s">
        <v>9</v>
      </c>
      <c r="L1471" s="128">
        <v>0.0</v>
      </c>
      <c r="M1471" s="180">
        <f t="shared" si="912"/>
        <v>0</v>
      </c>
      <c r="N1471" s="128">
        <v>0.0</v>
      </c>
      <c r="O1471" s="129">
        <f t="shared" si="927"/>
        <v>0</v>
      </c>
      <c r="P1471" s="159">
        <v>0.0</v>
      </c>
      <c r="Q1471" s="208">
        <f t="shared" si="928"/>
        <v>0</v>
      </c>
      <c r="R1471" s="132">
        <v>5.0</v>
      </c>
      <c r="S1471" s="132">
        <v>1.0</v>
      </c>
      <c r="T1471" s="65" t="s">
        <v>70</v>
      </c>
      <c r="U1471" s="26"/>
      <c r="V1471" s="26"/>
      <c r="W1471" s="26"/>
      <c r="X1471" s="26"/>
      <c r="Y1471" s="26"/>
      <c r="Z1471" s="26"/>
      <c r="AA1471" s="26"/>
      <c r="AB1471" s="26"/>
      <c r="AC1471" s="26"/>
    </row>
    <row r="1472" ht="33.75" customHeight="1">
      <c r="A1472" s="54" t="s">
        <v>2479</v>
      </c>
      <c r="B1472" s="209" t="s">
        <v>2429</v>
      </c>
      <c r="C1472" s="209" t="s">
        <v>2464</v>
      </c>
      <c r="D1472" s="209" t="s">
        <v>2480</v>
      </c>
      <c r="E1472" s="209" t="s">
        <v>2481</v>
      </c>
      <c r="F1472" s="54" t="s">
        <v>2466</v>
      </c>
      <c r="G1472" s="54" t="s">
        <v>168</v>
      </c>
      <c r="H1472" s="54" t="s">
        <v>168</v>
      </c>
      <c r="I1472" s="54"/>
      <c r="J1472" s="54" t="s">
        <v>9</v>
      </c>
      <c r="K1472" s="54" t="s">
        <v>9</v>
      </c>
      <c r="L1472" s="202">
        <f>IF(COUNT(L1473:N1475)=0,"",SUM(L1473:L1475))</f>
        <v>0.75</v>
      </c>
      <c r="M1472" s="174">
        <f t="shared" si="912"/>
        <v>1.625</v>
      </c>
      <c r="N1472" s="202">
        <f>IF(COUNT(L1473:N1475)=0,"",SUM(N1473:N1475))</f>
        <v>2.5</v>
      </c>
      <c r="O1472" s="202">
        <f>IF(COUNT(O1473:O1475)=0,"",SUM(O1473:O1475))</f>
        <v>1.625</v>
      </c>
      <c r="P1472" s="210"/>
      <c r="Q1472" s="202">
        <f>IF(COUNT(Q1473:Q1475)=0,"",SUM(Q1473:Q1475))</f>
        <v>1.7875</v>
      </c>
      <c r="R1472" s="163"/>
      <c r="S1472" s="163"/>
      <c r="T1472" s="54" t="s">
        <v>65</v>
      </c>
      <c r="U1472" s="26"/>
      <c r="V1472" s="26"/>
      <c r="W1472" s="26"/>
      <c r="X1472" s="105"/>
      <c r="Y1472" s="105"/>
      <c r="Z1472" s="105"/>
      <c r="AA1472" s="105"/>
      <c r="AB1472" s="105"/>
      <c r="AC1472" s="105"/>
    </row>
    <row r="1473" ht="33.75" customHeight="1">
      <c r="A1473" s="65" t="s">
        <v>2482</v>
      </c>
      <c r="B1473" s="215" t="s">
        <v>2429</v>
      </c>
      <c r="C1473" s="215" t="s">
        <v>2464</v>
      </c>
      <c r="D1473" s="215" t="s">
        <v>2480</v>
      </c>
      <c r="E1473" s="215" t="s">
        <v>2481</v>
      </c>
      <c r="F1473" s="65" t="s">
        <v>2466</v>
      </c>
      <c r="G1473" s="65" t="s">
        <v>168</v>
      </c>
      <c r="H1473" s="65" t="s">
        <v>168</v>
      </c>
      <c r="I1473" s="65"/>
      <c r="J1473" s="65" t="s">
        <v>9</v>
      </c>
      <c r="K1473" s="65" t="s">
        <v>9</v>
      </c>
      <c r="L1473" s="128">
        <v>0.0</v>
      </c>
      <c r="M1473" s="180">
        <f t="shared" si="912"/>
        <v>0</v>
      </c>
      <c r="N1473" s="128">
        <v>0.0</v>
      </c>
      <c r="O1473" s="129">
        <f t="shared" ref="O1473:O1475" si="929">IF(COUNT(L1473:N1473)=0,"",(L1473+4*M1473+N1473)/6)</f>
        <v>0</v>
      </c>
      <c r="P1473" s="159">
        <v>0.0</v>
      </c>
      <c r="Q1473" s="208">
        <f t="shared" ref="Q1473:Q1475" si="930">IF(O1473="","",IF(P1473="",O1473,O1473*(1+P1473)))</f>
        <v>0</v>
      </c>
      <c r="R1473" s="132">
        <v>5.0</v>
      </c>
      <c r="S1473" s="132">
        <v>1.0</v>
      </c>
      <c r="T1473" s="65" t="s">
        <v>31</v>
      </c>
      <c r="U1473" s="26"/>
      <c r="V1473" s="26"/>
      <c r="W1473" s="26"/>
      <c r="X1473" s="26"/>
      <c r="Y1473" s="26"/>
      <c r="Z1473" s="26"/>
      <c r="AA1473" s="26"/>
      <c r="AB1473" s="26"/>
      <c r="AC1473" s="26"/>
    </row>
    <row r="1474" ht="33.75" customHeight="1">
      <c r="A1474" s="65" t="s">
        <v>2483</v>
      </c>
      <c r="B1474" s="215" t="s">
        <v>2429</v>
      </c>
      <c r="C1474" s="215" t="s">
        <v>2464</v>
      </c>
      <c r="D1474" s="215" t="s">
        <v>2480</v>
      </c>
      <c r="E1474" s="215" t="s">
        <v>2481</v>
      </c>
      <c r="F1474" s="65" t="s">
        <v>2466</v>
      </c>
      <c r="G1474" s="65" t="s">
        <v>168</v>
      </c>
      <c r="H1474" s="65" t="s">
        <v>168</v>
      </c>
      <c r="I1474" s="65"/>
      <c r="J1474" s="65" t="s">
        <v>9</v>
      </c>
      <c r="K1474" s="65" t="s">
        <v>9</v>
      </c>
      <c r="L1474" s="128">
        <v>0.75</v>
      </c>
      <c r="M1474" s="180">
        <f t="shared" si="912"/>
        <v>1.625</v>
      </c>
      <c r="N1474" s="128">
        <v>2.5</v>
      </c>
      <c r="O1474" s="129">
        <f t="shared" si="929"/>
        <v>1.625</v>
      </c>
      <c r="P1474" s="159">
        <v>0.1</v>
      </c>
      <c r="Q1474" s="208">
        <f t="shared" si="930"/>
        <v>1.7875</v>
      </c>
      <c r="R1474" s="132">
        <v>4.0</v>
      </c>
      <c r="S1474" s="132">
        <v>2.0</v>
      </c>
      <c r="T1474" s="65" t="s">
        <v>32</v>
      </c>
      <c r="U1474" s="26"/>
      <c r="V1474" s="26"/>
      <c r="W1474" s="26"/>
      <c r="X1474" s="26"/>
      <c r="Y1474" s="26"/>
      <c r="Z1474" s="26"/>
      <c r="AA1474" s="26"/>
      <c r="AB1474" s="26"/>
      <c r="AC1474" s="26"/>
    </row>
    <row r="1475" ht="33.75" customHeight="1">
      <c r="A1475" s="65" t="s">
        <v>2484</v>
      </c>
      <c r="B1475" s="215" t="s">
        <v>2429</v>
      </c>
      <c r="C1475" s="215" t="s">
        <v>2464</v>
      </c>
      <c r="D1475" s="215" t="s">
        <v>2480</v>
      </c>
      <c r="E1475" s="215" t="s">
        <v>2481</v>
      </c>
      <c r="F1475" s="65" t="s">
        <v>2466</v>
      </c>
      <c r="G1475" s="65" t="s">
        <v>168</v>
      </c>
      <c r="H1475" s="65" t="s">
        <v>168</v>
      </c>
      <c r="I1475" s="65"/>
      <c r="J1475" s="65" t="s">
        <v>9</v>
      </c>
      <c r="K1475" s="65" t="s">
        <v>9</v>
      </c>
      <c r="L1475" s="128">
        <v>0.0</v>
      </c>
      <c r="M1475" s="180">
        <f t="shared" si="912"/>
        <v>0</v>
      </c>
      <c r="N1475" s="128">
        <v>0.0</v>
      </c>
      <c r="O1475" s="129">
        <f t="shared" si="929"/>
        <v>0</v>
      </c>
      <c r="P1475" s="159">
        <v>0.0</v>
      </c>
      <c r="Q1475" s="208">
        <f t="shared" si="930"/>
        <v>0</v>
      </c>
      <c r="R1475" s="132">
        <v>5.0</v>
      </c>
      <c r="S1475" s="132">
        <v>1.0</v>
      </c>
      <c r="T1475" s="65" t="s">
        <v>70</v>
      </c>
      <c r="U1475" s="26"/>
      <c r="V1475" s="26"/>
      <c r="W1475" s="26"/>
      <c r="X1475" s="26"/>
      <c r="Y1475" s="26"/>
      <c r="Z1475" s="26"/>
      <c r="AA1475" s="26"/>
      <c r="AB1475" s="26"/>
      <c r="AC1475" s="26"/>
    </row>
    <row r="1476" ht="33.75" customHeight="1">
      <c r="A1476" s="98" t="s">
        <v>2485</v>
      </c>
      <c r="B1476" s="99" t="s">
        <v>2429</v>
      </c>
      <c r="C1476" s="99" t="s">
        <v>2464</v>
      </c>
      <c r="D1476" s="99" t="s">
        <v>2486</v>
      </c>
      <c r="E1476" s="99" t="s">
        <v>2487</v>
      </c>
      <c r="F1476" s="98" t="s">
        <v>2488</v>
      </c>
      <c r="G1476" s="98" t="s">
        <v>168</v>
      </c>
      <c r="H1476" s="98" t="s">
        <v>168</v>
      </c>
      <c r="I1476" s="98"/>
      <c r="J1476" s="98" t="s">
        <v>12</v>
      </c>
      <c r="K1476" s="100" t="s">
        <v>12</v>
      </c>
      <c r="L1476" s="101">
        <f>IF(COUNT(L1477:N1479)=0,"",SUM(L1477:L1479))</f>
        <v>0</v>
      </c>
      <c r="M1476" s="102">
        <f t="shared" si="912"/>
        <v>0</v>
      </c>
      <c r="N1476" s="101">
        <f>IF(COUNT(L1477:N1479)=0,"",SUM(N1477:N1479))</f>
        <v>0</v>
      </c>
      <c r="O1476" s="101">
        <f>IF(COUNT(O1477:O1479)=0,"",SUM(O1477:O1479))</f>
        <v>0</v>
      </c>
      <c r="P1476" s="103"/>
      <c r="Q1476" s="101">
        <f>IF(COUNT(Q1477:Q1479)=0,"",SUM(Q1477:Q1479))</f>
        <v>0</v>
      </c>
      <c r="R1476" s="104"/>
      <c r="S1476" s="104"/>
      <c r="T1476" s="98" t="s">
        <v>65</v>
      </c>
      <c r="U1476" s="26"/>
      <c r="V1476" s="26"/>
      <c r="W1476" s="26"/>
      <c r="X1476" s="105"/>
      <c r="Y1476" s="105"/>
      <c r="Z1476" s="105"/>
      <c r="AA1476" s="105"/>
      <c r="AB1476" s="105"/>
      <c r="AC1476" s="105"/>
    </row>
    <row r="1477" ht="33.75" customHeight="1">
      <c r="A1477" s="106" t="s">
        <v>2489</v>
      </c>
      <c r="B1477" s="107" t="s">
        <v>2429</v>
      </c>
      <c r="C1477" s="107" t="s">
        <v>2464</v>
      </c>
      <c r="D1477" s="107" t="s">
        <v>2486</v>
      </c>
      <c r="E1477" s="107" t="s">
        <v>2487</v>
      </c>
      <c r="F1477" s="106" t="s">
        <v>2488</v>
      </c>
      <c r="G1477" s="106" t="s">
        <v>168</v>
      </c>
      <c r="H1477" s="106" t="s">
        <v>168</v>
      </c>
      <c r="I1477" s="106"/>
      <c r="J1477" s="106" t="s">
        <v>12</v>
      </c>
      <c r="K1477" s="108" t="s">
        <v>12</v>
      </c>
      <c r="L1477" s="109"/>
      <c r="M1477" s="109">
        <f t="shared" si="912"/>
        <v>0</v>
      </c>
      <c r="N1477" s="109"/>
      <c r="O1477" s="109">
        <f t="shared" ref="O1477:O1479" si="931">IF(COUNT(L1477:N1477)=0,"",(L1477+4*M1477+N1477)/6)</f>
        <v>0</v>
      </c>
      <c r="P1477" s="110"/>
      <c r="Q1477" s="109">
        <f t="shared" ref="Q1477:Q1479" si="932">IF(O1477="","",IF(P1477="",O1477,O1477*(1+P1477)))</f>
        <v>0</v>
      </c>
      <c r="R1477" s="111"/>
      <c r="S1477" s="111"/>
      <c r="T1477" s="106" t="s">
        <v>31</v>
      </c>
      <c r="U1477" s="26"/>
      <c r="V1477" s="26"/>
      <c r="W1477" s="26"/>
      <c r="X1477" s="26"/>
      <c r="Y1477" s="26"/>
      <c r="Z1477" s="26"/>
      <c r="AA1477" s="26"/>
      <c r="AB1477" s="26"/>
      <c r="AC1477" s="26"/>
    </row>
    <row r="1478" ht="33.75" customHeight="1">
      <c r="A1478" s="106" t="s">
        <v>2490</v>
      </c>
      <c r="B1478" s="107" t="s">
        <v>2429</v>
      </c>
      <c r="C1478" s="107" t="s">
        <v>2464</v>
      </c>
      <c r="D1478" s="107" t="s">
        <v>2486</v>
      </c>
      <c r="E1478" s="107" t="s">
        <v>2487</v>
      </c>
      <c r="F1478" s="106" t="s">
        <v>2488</v>
      </c>
      <c r="G1478" s="106" t="s">
        <v>168</v>
      </c>
      <c r="H1478" s="106" t="s">
        <v>168</v>
      </c>
      <c r="I1478" s="106"/>
      <c r="J1478" s="106" t="s">
        <v>12</v>
      </c>
      <c r="K1478" s="108" t="s">
        <v>12</v>
      </c>
      <c r="L1478" s="109"/>
      <c r="M1478" s="109">
        <f t="shared" si="912"/>
        <v>0</v>
      </c>
      <c r="N1478" s="109"/>
      <c r="O1478" s="109">
        <f t="shared" si="931"/>
        <v>0</v>
      </c>
      <c r="P1478" s="110"/>
      <c r="Q1478" s="109">
        <f t="shared" si="932"/>
        <v>0</v>
      </c>
      <c r="R1478" s="111"/>
      <c r="S1478" s="111"/>
      <c r="T1478" s="106" t="s">
        <v>32</v>
      </c>
      <c r="U1478" s="26"/>
      <c r="V1478" s="26"/>
      <c r="W1478" s="26"/>
      <c r="X1478" s="26"/>
      <c r="Y1478" s="26"/>
      <c r="Z1478" s="26"/>
      <c r="AA1478" s="26"/>
      <c r="AB1478" s="26"/>
      <c r="AC1478" s="26"/>
    </row>
    <row r="1479" ht="33.75" customHeight="1">
      <c r="A1479" s="106" t="s">
        <v>2491</v>
      </c>
      <c r="B1479" s="107" t="s">
        <v>2429</v>
      </c>
      <c r="C1479" s="107" t="s">
        <v>2464</v>
      </c>
      <c r="D1479" s="107" t="s">
        <v>2486</v>
      </c>
      <c r="E1479" s="107" t="s">
        <v>2487</v>
      </c>
      <c r="F1479" s="106" t="s">
        <v>2488</v>
      </c>
      <c r="G1479" s="106" t="s">
        <v>168</v>
      </c>
      <c r="H1479" s="106" t="s">
        <v>168</v>
      </c>
      <c r="I1479" s="106"/>
      <c r="J1479" s="106" t="s">
        <v>12</v>
      </c>
      <c r="K1479" s="108" t="s">
        <v>12</v>
      </c>
      <c r="L1479" s="109"/>
      <c r="M1479" s="109">
        <f t="shared" si="912"/>
        <v>0</v>
      </c>
      <c r="N1479" s="109"/>
      <c r="O1479" s="109">
        <f t="shared" si="931"/>
        <v>0</v>
      </c>
      <c r="P1479" s="110"/>
      <c r="Q1479" s="109">
        <f t="shared" si="932"/>
        <v>0</v>
      </c>
      <c r="R1479" s="111"/>
      <c r="S1479" s="111"/>
      <c r="T1479" s="106" t="s">
        <v>70</v>
      </c>
      <c r="U1479" s="26"/>
      <c r="V1479" s="26"/>
      <c r="W1479" s="26"/>
      <c r="X1479" s="26"/>
      <c r="Y1479" s="26"/>
      <c r="Z1479" s="26"/>
      <c r="AA1479" s="26"/>
      <c r="AB1479" s="26"/>
      <c r="AC1479" s="26"/>
    </row>
    <row r="1480" ht="33.75" customHeight="1">
      <c r="A1480" s="112" t="s">
        <v>2492</v>
      </c>
      <c r="B1480" s="38" t="s">
        <v>2429</v>
      </c>
      <c r="C1480" s="38" t="s">
        <v>2493</v>
      </c>
      <c r="D1480" s="38" t="s">
        <v>2493</v>
      </c>
      <c r="E1480" s="113" t="s">
        <v>2494</v>
      </c>
      <c r="F1480" s="114"/>
      <c r="G1480" s="114"/>
      <c r="H1480" s="45"/>
      <c r="I1480" s="45"/>
      <c r="J1480" s="114"/>
      <c r="K1480" s="115"/>
      <c r="L1480" s="42">
        <f>IF(COUNT(L1481,L1485,L1489,L1493,L1497,L1501)=0,"",SUM(L1481,L1485,L1489,L1493,L1497,L1501))</f>
        <v>3.75</v>
      </c>
      <c r="M1480" s="42">
        <f t="shared" si="912"/>
        <v>7.875</v>
      </c>
      <c r="N1480" s="42">
        <f t="shared" ref="N1480:O1480" si="933">IF(COUNT(N1481,N1485,N1489,N1493,N1497,N1501)=0,"",SUM(N1481,N1485,N1489,N1493,N1497,N1501))</f>
        <v>12</v>
      </c>
      <c r="O1480" s="42">
        <f t="shared" si="933"/>
        <v>7.875</v>
      </c>
      <c r="P1480" s="43"/>
      <c r="Q1480" s="42">
        <f>IF(COUNT(Q1481,Q1485,Q1489,Q1493,Q1497,Q1501)=0,"",SUM(Q1481,Q1485,Q1489,Q1493,Q1497,Q1501))</f>
        <v>8.6625</v>
      </c>
      <c r="R1480" s="44"/>
      <c r="S1480" s="44"/>
      <c r="T1480" s="45" t="s">
        <v>62</v>
      </c>
      <c r="U1480" s="26"/>
      <c r="V1480" s="26"/>
      <c r="W1480" s="26"/>
      <c r="X1480" s="46">
        <f t="shared" ref="X1480:AA1480" si="934">L1480</f>
        <v>3.75</v>
      </c>
      <c r="Y1480" s="46">
        <f t="shared" si="934"/>
        <v>7.875</v>
      </c>
      <c r="Z1480" s="46">
        <f t="shared" si="934"/>
        <v>12</v>
      </c>
      <c r="AA1480" s="46">
        <f t="shared" si="934"/>
        <v>7.875</v>
      </c>
      <c r="AB1480" s="26"/>
      <c r="AC1480" s="46">
        <f>Q1480</f>
        <v>8.6625</v>
      </c>
    </row>
    <row r="1481" ht="33.75" customHeight="1">
      <c r="A1481" s="116" t="s">
        <v>2495</v>
      </c>
      <c r="B1481" s="77" t="s">
        <v>2429</v>
      </c>
      <c r="C1481" s="77" t="s">
        <v>2493</v>
      </c>
      <c r="D1481" s="77" t="s">
        <v>2496</v>
      </c>
      <c r="E1481" s="117" t="s">
        <v>2497</v>
      </c>
      <c r="F1481" s="118" t="s">
        <v>2439</v>
      </c>
      <c r="G1481" s="118" t="s">
        <v>154</v>
      </c>
      <c r="H1481" s="119" t="s">
        <v>154</v>
      </c>
      <c r="I1481" s="54"/>
      <c r="J1481" s="118" t="s">
        <v>9</v>
      </c>
      <c r="K1481" s="120" t="s">
        <v>9</v>
      </c>
      <c r="L1481" s="202">
        <f>IF(COUNT(L1482:N1484)=0,"",SUM(L1482:L1484))</f>
        <v>0.5</v>
      </c>
      <c r="M1481" s="174">
        <f t="shared" si="912"/>
        <v>1</v>
      </c>
      <c r="N1481" s="202">
        <f>IF(COUNT(L1482:N1484)=0,"",SUM(N1482:N1484))</f>
        <v>1.5</v>
      </c>
      <c r="O1481" s="202">
        <f>IF(COUNT(O1482:O1484)=0,"",SUM(O1482:O1484))</f>
        <v>1</v>
      </c>
      <c r="P1481" s="210"/>
      <c r="Q1481" s="202">
        <f>IF(COUNT(Q1482:Q1484)=0,"",SUM(Q1482:Q1484))</f>
        <v>1.1</v>
      </c>
      <c r="R1481" s="163"/>
      <c r="S1481" s="163"/>
      <c r="T1481" s="54" t="s">
        <v>65</v>
      </c>
      <c r="U1481" s="26"/>
      <c r="V1481" s="26"/>
      <c r="W1481" s="26"/>
      <c r="X1481" s="46"/>
      <c r="Y1481" s="46"/>
      <c r="Z1481" s="46"/>
      <c r="AA1481" s="46"/>
      <c r="AB1481" s="232"/>
      <c r="AC1481" s="46"/>
    </row>
    <row r="1482" ht="33.75" customHeight="1">
      <c r="A1482" s="65" t="s">
        <v>2498</v>
      </c>
      <c r="B1482" s="215" t="s">
        <v>2429</v>
      </c>
      <c r="C1482" s="215" t="s">
        <v>2493</v>
      </c>
      <c r="D1482" s="215" t="s">
        <v>2496</v>
      </c>
      <c r="E1482" s="215" t="s">
        <v>2497</v>
      </c>
      <c r="F1482" s="65" t="s">
        <v>2439</v>
      </c>
      <c r="G1482" s="65" t="s">
        <v>154</v>
      </c>
      <c r="H1482" s="65" t="s">
        <v>154</v>
      </c>
      <c r="I1482" s="65"/>
      <c r="J1482" s="65" t="s">
        <v>9</v>
      </c>
      <c r="K1482" s="65" t="s">
        <v>9</v>
      </c>
      <c r="L1482" s="128">
        <v>0.0</v>
      </c>
      <c r="M1482" s="180">
        <f t="shared" si="912"/>
        <v>0</v>
      </c>
      <c r="N1482" s="128">
        <v>0.0</v>
      </c>
      <c r="O1482" s="129">
        <f t="shared" ref="O1482:O1484" si="935">IF(COUNT(L1482:N1482)=0,"",(L1482+4*M1482+N1482)/6)</f>
        <v>0</v>
      </c>
      <c r="P1482" s="159">
        <v>0.0</v>
      </c>
      <c r="Q1482" s="208">
        <f t="shared" ref="Q1482:Q1484" si="936">IF(O1482="","",IF(P1482="",O1482,O1482*(1+P1482)))</f>
        <v>0</v>
      </c>
      <c r="R1482" s="132">
        <v>5.0</v>
      </c>
      <c r="S1482" s="132">
        <v>1.0</v>
      </c>
      <c r="T1482" s="65" t="s">
        <v>31</v>
      </c>
      <c r="U1482" s="26"/>
      <c r="V1482" s="26"/>
      <c r="W1482" s="26"/>
      <c r="X1482" s="26"/>
      <c r="Y1482" s="26"/>
      <c r="Z1482" s="26"/>
      <c r="AA1482" s="26"/>
      <c r="AB1482" s="26"/>
      <c r="AC1482" s="26"/>
    </row>
    <row r="1483" ht="33.75" customHeight="1">
      <c r="A1483" s="65" t="s">
        <v>2499</v>
      </c>
      <c r="B1483" s="215" t="s">
        <v>2429</v>
      </c>
      <c r="C1483" s="215" t="s">
        <v>2493</v>
      </c>
      <c r="D1483" s="215" t="s">
        <v>2496</v>
      </c>
      <c r="E1483" s="215" t="s">
        <v>2497</v>
      </c>
      <c r="F1483" s="65" t="s">
        <v>2439</v>
      </c>
      <c r="G1483" s="65" t="s">
        <v>154</v>
      </c>
      <c r="H1483" s="65" t="s">
        <v>154</v>
      </c>
      <c r="I1483" s="65"/>
      <c r="J1483" s="65" t="s">
        <v>9</v>
      </c>
      <c r="K1483" s="65" t="s">
        <v>9</v>
      </c>
      <c r="L1483" s="128">
        <v>0.5</v>
      </c>
      <c r="M1483" s="180">
        <f t="shared" si="912"/>
        <v>1</v>
      </c>
      <c r="N1483" s="128">
        <v>1.5</v>
      </c>
      <c r="O1483" s="129">
        <f t="shared" si="935"/>
        <v>1</v>
      </c>
      <c r="P1483" s="159">
        <v>0.1</v>
      </c>
      <c r="Q1483" s="208">
        <f t="shared" si="936"/>
        <v>1.1</v>
      </c>
      <c r="R1483" s="132">
        <v>4.0</v>
      </c>
      <c r="S1483" s="132">
        <v>2.0</v>
      </c>
      <c r="T1483" s="65" t="s">
        <v>32</v>
      </c>
      <c r="U1483" s="26"/>
      <c r="V1483" s="26"/>
      <c r="W1483" s="26"/>
      <c r="X1483" s="26"/>
      <c r="Y1483" s="26"/>
      <c r="Z1483" s="26"/>
      <c r="AA1483" s="26"/>
      <c r="AB1483" s="26"/>
      <c r="AC1483" s="26"/>
    </row>
    <row r="1484" ht="33.75" customHeight="1">
      <c r="A1484" s="65" t="s">
        <v>2500</v>
      </c>
      <c r="B1484" s="215" t="s">
        <v>2429</v>
      </c>
      <c r="C1484" s="215" t="s">
        <v>2493</v>
      </c>
      <c r="D1484" s="215" t="s">
        <v>2496</v>
      </c>
      <c r="E1484" s="215" t="s">
        <v>2497</v>
      </c>
      <c r="F1484" s="65" t="s">
        <v>2439</v>
      </c>
      <c r="G1484" s="65" t="s">
        <v>154</v>
      </c>
      <c r="H1484" s="65" t="s">
        <v>154</v>
      </c>
      <c r="I1484" s="65"/>
      <c r="J1484" s="65" t="s">
        <v>9</v>
      </c>
      <c r="K1484" s="65" t="s">
        <v>9</v>
      </c>
      <c r="L1484" s="128">
        <v>0.0</v>
      </c>
      <c r="M1484" s="180">
        <f t="shared" si="912"/>
        <v>0</v>
      </c>
      <c r="N1484" s="128">
        <v>0.0</v>
      </c>
      <c r="O1484" s="129">
        <f t="shared" si="935"/>
        <v>0</v>
      </c>
      <c r="P1484" s="159">
        <v>0.0</v>
      </c>
      <c r="Q1484" s="208">
        <f t="shared" si="936"/>
        <v>0</v>
      </c>
      <c r="R1484" s="132">
        <v>5.0</v>
      </c>
      <c r="S1484" s="132">
        <v>1.0</v>
      </c>
      <c r="T1484" s="65" t="s">
        <v>70</v>
      </c>
      <c r="U1484" s="26"/>
      <c r="V1484" s="26"/>
      <c r="W1484" s="26"/>
      <c r="X1484" s="26"/>
      <c r="Y1484" s="26"/>
      <c r="Z1484" s="26"/>
      <c r="AA1484" s="26"/>
      <c r="AB1484" s="26"/>
      <c r="AC1484" s="26"/>
    </row>
    <row r="1485" ht="33.75" customHeight="1">
      <c r="A1485" s="54" t="s">
        <v>2501</v>
      </c>
      <c r="B1485" s="209" t="s">
        <v>2429</v>
      </c>
      <c r="C1485" s="209" t="s">
        <v>2493</v>
      </c>
      <c r="D1485" s="209" t="s">
        <v>2502</v>
      </c>
      <c r="E1485" s="209" t="s">
        <v>2503</v>
      </c>
      <c r="F1485" s="54" t="s">
        <v>2439</v>
      </c>
      <c r="G1485" s="54" t="s">
        <v>154</v>
      </c>
      <c r="H1485" s="54" t="s">
        <v>154</v>
      </c>
      <c r="I1485" s="54"/>
      <c r="J1485" s="54" t="s">
        <v>9</v>
      </c>
      <c r="K1485" s="54" t="s">
        <v>9</v>
      </c>
      <c r="L1485" s="202">
        <f>IF(COUNT(L1486:N1488)=0,"",SUM(L1486:L1488))</f>
        <v>0.5</v>
      </c>
      <c r="M1485" s="174">
        <f t="shared" si="912"/>
        <v>1</v>
      </c>
      <c r="N1485" s="202">
        <f>IF(COUNT(L1486:N1488)=0,"",SUM(N1486:N1488))</f>
        <v>1.5</v>
      </c>
      <c r="O1485" s="202">
        <f>IF(COUNT(O1486:O1488)=0,"",SUM(O1486:O1488))</f>
        <v>1</v>
      </c>
      <c r="P1485" s="210"/>
      <c r="Q1485" s="202">
        <f>IF(COUNT(Q1486:Q1488)=0,"",SUM(Q1486:Q1488))</f>
        <v>1.1</v>
      </c>
      <c r="R1485" s="163"/>
      <c r="S1485" s="163"/>
      <c r="T1485" s="54" t="s">
        <v>65</v>
      </c>
      <c r="U1485" s="26"/>
      <c r="V1485" s="26"/>
      <c r="W1485" s="26"/>
      <c r="X1485" s="105"/>
      <c r="Y1485" s="105"/>
      <c r="Z1485" s="105"/>
      <c r="AA1485" s="105"/>
      <c r="AB1485" s="105"/>
      <c r="AC1485" s="105"/>
    </row>
    <row r="1486" ht="33.75" customHeight="1">
      <c r="A1486" s="65" t="s">
        <v>2504</v>
      </c>
      <c r="B1486" s="215" t="s">
        <v>2429</v>
      </c>
      <c r="C1486" s="215" t="s">
        <v>2493</v>
      </c>
      <c r="D1486" s="215" t="s">
        <v>2502</v>
      </c>
      <c r="E1486" s="215" t="s">
        <v>2503</v>
      </c>
      <c r="F1486" s="65" t="s">
        <v>2439</v>
      </c>
      <c r="G1486" s="65" t="s">
        <v>154</v>
      </c>
      <c r="H1486" s="65" t="s">
        <v>154</v>
      </c>
      <c r="I1486" s="65"/>
      <c r="J1486" s="65" t="s">
        <v>9</v>
      </c>
      <c r="K1486" s="65" t="s">
        <v>9</v>
      </c>
      <c r="L1486" s="128">
        <v>0.0</v>
      </c>
      <c r="M1486" s="180">
        <f t="shared" si="912"/>
        <v>0</v>
      </c>
      <c r="N1486" s="128">
        <v>0.0</v>
      </c>
      <c r="O1486" s="129">
        <f t="shared" ref="O1486:O1488" si="937">IF(COUNT(L1486:N1486)=0,"",(L1486+4*M1486+N1486)/6)</f>
        <v>0</v>
      </c>
      <c r="P1486" s="159">
        <v>0.0</v>
      </c>
      <c r="Q1486" s="208">
        <f t="shared" ref="Q1486:Q1488" si="938">IF(O1486="","",IF(P1486="",O1486,O1486*(1+P1486)))</f>
        <v>0</v>
      </c>
      <c r="R1486" s="132">
        <v>5.0</v>
      </c>
      <c r="S1486" s="132">
        <v>1.0</v>
      </c>
      <c r="T1486" s="65" t="s">
        <v>31</v>
      </c>
      <c r="U1486" s="26"/>
      <c r="V1486" s="26"/>
      <c r="W1486" s="26"/>
      <c r="X1486" s="26"/>
      <c r="Y1486" s="26"/>
      <c r="Z1486" s="26"/>
      <c r="AA1486" s="26"/>
      <c r="AB1486" s="26"/>
      <c r="AC1486" s="26"/>
    </row>
    <row r="1487" ht="33.75" customHeight="1">
      <c r="A1487" s="65" t="s">
        <v>2505</v>
      </c>
      <c r="B1487" s="215" t="s">
        <v>2429</v>
      </c>
      <c r="C1487" s="215" t="s">
        <v>2493</v>
      </c>
      <c r="D1487" s="215" t="s">
        <v>2502</v>
      </c>
      <c r="E1487" s="215" t="s">
        <v>2503</v>
      </c>
      <c r="F1487" s="65" t="s">
        <v>2439</v>
      </c>
      <c r="G1487" s="65" t="s">
        <v>154</v>
      </c>
      <c r="H1487" s="65" t="s">
        <v>154</v>
      </c>
      <c r="I1487" s="65"/>
      <c r="J1487" s="65" t="s">
        <v>9</v>
      </c>
      <c r="K1487" s="65" t="s">
        <v>9</v>
      </c>
      <c r="L1487" s="128">
        <v>0.5</v>
      </c>
      <c r="M1487" s="180">
        <f t="shared" si="912"/>
        <v>1</v>
      </c>
      <c r="N1487" s="128">
        <v>1.5</v>
      </c>
      <c r="O1487" s="129">
        <f t="shared" si="937"/>
        <v>1</v>
      </c>
      <c r="P1487" s="159">
        <v>0.1</v>
      </c>
      <c r="Q1487" s="208">
        <f t="shared" si="938"/>
        <v>1.1</v>
      </c>
      <c r="R1487" s="132">
        <v>4.0</v>
      </c>
      <c r="S1487" s="132">
        <v>2.0</v>
      </c>
      <c r="T1487" s="65" t="s">
        <v>32</v>
      </c>
      <c r="U1487" s="26"/>
      <c r="V1487" s="26"/>
      <c r="W1487" s="26"/>
      <c r="X1487" s="26"/>
      <c r="Y1487" s="26"/>
      <c r="Z1487" s="26"/>
      <c r="AA1487" s="26"/>
      <c r="AB1487" s="26"/>
      <c r="AC1487" s="26"/>
    </row>
    <row r="1488" ht="33.75" customHeight="1">
      <c r="A1488" s="65" t="s">
        <v>2506</v>
      </c>
      <c r="B1488" s="215" t="s">
        <v>2429</v>
      </c>
      <c r="C1488" s="215" t="s">
        <v>2493</v>
      </c>
      <c r="D1488" s="215" t="s">
        <v>2502</v>
      </c>
      <c r="E1488" s="215" t="s">
        <v>2503</v>
      </c>
      <c r="F1488" s="65" t="s">
        <v>2439</v>
      </c>
      <c r="G1488" s="65" t="s">
        <v>154</v>
      </c>
      <c r="H1488" s="65" t="s">
        <v>154</v>
      </c>
      <c r="I1488" s="65"/>
      <c r="J1488" s="65" t="s">
        <v>9</v>
      </c>
      <c r="K1488" s="65" t="s">
        <v>9</v>
      </c>
      <c r="L1488" s="128">
        <v>0.0</v>
      </c>
      <c r="M1488" s="180">
        <f t="shared" si="912"/>
        <v>0</v>
      </c>
      <c r="N1488" s="128">
        <v>0.0</v>
      </c>
      <c r="O1488" s="129">
        <f t="shared" si="937"/>
        <v>0</v>
      </c>
      <c r="P1488" s="159">
        <v>0.0</v>
      </c>
      <c r="Q1488" s="208">
        <f t="shared" si="938"/>
        <v>0</v>
      </c>
      <c r="R1488" s="132">
        <v>5.0</v>
      </c>
      <c r="S1488" s="132">
        <v>1.0</v>
      </c>
      <c r="T1488" s="65" t="s">
        <v>70</v>
      </c>
      <c r="U1488" s="26"/>
      <c r="V1488" s="26"/>
      <c r="W1488" s="26"/>
      <c r="X1488" s="26"/>
      <c r="Y1488" s="26"/>
      <c r="Z1488" s="26"/>
      <c r="AA1488" s="26"/>
      <c r="AB1488" s="26"/>
      <c r="AC1488" s="26"/>
    </row>
    <row r="1489" ht="33.75" customHeight="1">
      <c r="A1489" s="54" t="s">
        <v>2507</v>
      </c>
      <c r="B1489" s="209" t="s">
        <v>2429</v>
      </c>
      <c r="C1489" s="209" t="s">
        <v>2493</v>
      </c>
      <c r="D1489" s="209" t="s">
        <v>2508</v>
      </c>
      <c r="E1489" s="209" t="s">
        <v>2509</v>
      </c>
      <c r="F1489" s="54" t="s">
        <v>2439</v>
      </c>
      <c r="G1489" s="54" t="s">
        <v>168</v>
      </c>
      <c r="H1489" s="54" t="s">
        <v>168</v>
      </c>
      <c r="I1489" s="54"/>
      <c r="J1489" s="54" t="s">
        <v>9</v>
      </c>
      <c r="K1489" s="54" t="s">
        <v>9</v>
      </c>
      <c r="L1489" s="202">
        <f>IF(COUNT(L1490:N1492)=0,"",SUM(L1490:L1492))</f>
        <v>0.5</v>
      </c>
      <c r="M1489" s="174">
        <f t="shared" si="912"/>
        <v>1</v>
      </c>
      <c r="N1489" s="202">
        <f>IF(COUNT(L1490:N1492)=0,"",SUM(N1490:N1492))</f>
        <v>1.5</v>
      </c>
      <c r="O1489" s="202">
        <f>IF(COUNT(O1490:O1492)=0,"",SUM(O1490:O1492))</f>
        <v>1</v>
      </c>
      <c r="P1489" s="210"/>
      <c r="Q1489" s="202">
        <f>IF(COUNT(Q1490:Q1492)=0,"",SUM(Q1490:Q1492))</f>
        <v>1.1</v>
      </c>
      <c r="R1489" s="163"/>
      <c r="S1489" s="163"/>
      <c r="T1489" s="54" t="s">
        <v>65</v>
      </c>
      <c r="U1489" s="26"/>
      <c r="V1489" s="26"/>
      <c r="W1489" s="26"/>
      <c r="X1489" s="105"/>
      <c r="Y1489" s="105"/>
      <c r="Z1489" s="105"/>
      <c r="AA1489" s="105"/>
      <c r="AB1489" s="105"/>
      <c r="AC1489" s="105"/>
    </row>
    <row r="1490" ht="33.75" customHeight="1">
      <c r="A1490" s="65" t="s">
        <v>2510</v>
      </c>
      <c r="B1490" s="215" t="s">
        <v>2429</v>
      </c>
      <c r="C1490" s="215" t="s">
        <v>2493</v>
      </c>
      <c r="D1490" s="215" t="s">
        <v>2508</v>
      </c>
      <c r="E1490" s="215" t="s">
        <v>2509</v>
      </c>
      <c r="F1490" s="65" t="s">
        <v>2439</v>
      </c>
      <c r="G1490" s="65" t="s">
        <v>168</v>
      </c>
      <c r="H1490" s="65" t="s">
        <v>168</v>
      </c>
      <c r="I1490" s="65"/>
      <c r="J1490" s="65" t="s">
        <v>9</v>
      </c>
      <c r="K1490" s="65" t="s">
        <v>9</v>
      </c>
      <c r="L1490" s="128">
        <v>0.0</v>
      </c>
      <c r="M1490" s="180">
        <f t="shared" si="912"/>
        <v>0</v>
      </c>
      <c r="N1490" s="128">
        <v>0.0</v>
      </c>
      <c r="O1490" s="129">
        <f t="shared" ref="O1490:O1492" si="939">IF(COUNT(L1490:N1490)=0,"",(L1490+4*M1490+N1490)/6)</f>
        <v>0</v>
      </c>
      <c r="P1490" s="159">
        <v>0.0</v>
      </c>
      <c r="Q1490" s="208">
        <f t="shared" ref="Q1490:Q1492" si="940">IF(O1490="","",IF(P1490="",O1490,O1490*(1+P1490)))</f>
        <v>0</v>
      </c>
      <c r="R1490" s="132">
        <v>5.0</v>
      </c>
      <c r="S1490" s="132">
        <v>1.0</v>
      </c>
      <c r="T1490" s="65" t="s">
        <v>31</v>
      </c>
      <c r="U1490" s="26"/>
      <c r="V1490" s="26"/>
      <c r="W1490" s="26"/>
      <c r="X1490" s="26"/>
      <c r="Y1490" s="26"/>
      <c r="Z1490" s="26"/>
      <c r="AA1490" s="26"/>
      <c r="AB1490" s="26"/>
      <c r="AC1490" s="26"/>
    </row>
    <row r="1491" ht="33.75" customHeight="1">
      <c r="A1491" s="65" t="s">
        <v>2511</v>
      </c>
      <c r="B1491" s="215" t="s">
        <v>2429</v>
      </c>
      <c r="C1491" s="215" t="s">
        <v>2493</v>
      </c>
      <c r="D1491" s="215" t="s">
        <v>2508</v>
      </c>
      <c r="E1491" s="215" t="s">
        <v>2509</v>
      </c>
      <c r="F1491" s="65" t="s">
        <v>2439</v>
      </c>
      <c r="G1491" s="65" t="s">
        <v>168</v>
      </c>
      <c r="H1491" s="65" t="s">
        <v>168</v>
      </c>
      <c r="I1491" s="65"/>
      <c r="J1491" s="65" t="s">
        <v>9</v>
      </c>
      <c r="K1491" s="65" t="s">
        <v>9</v>
      </c>
      <c r="L1491" s="128">
        <v>0.5</v>
      </c>
      <c r="M1491" s="180">
        <f t="shared" si="912"/>
        <v>1</v>
      </c>
      <c r="N1491" s="128">
        <v>1.5</v>
      </c>
      <c r="O1491" s="129">
        <f t="shared" si="939"/>
        <v>1</v>
      </c>
      <c r="P1491" s="159">
        <v>0.1</v>
      </c>
      <c r="Q1491" s="208">
        <f t="shared" si="940"/>
        <v>1.1</v>
      </c>
      <c r="R1491" s="132">
        <v>4.0</v>
      </c>
      <c r="S1491" s="132">
        <v>2.0</v>
      </c>
      <c r="T1491" s="65" t="s">
        <v>32</v>
      </c>
      <c r="U1491" s="26"/>
      <c r="V1491" s="26"/>
      <c r="W1491" s="26"/>
      <c r="X1491" s="26"/>
      <c r="Y1491" s="26"/>
      <c r="Z1491" s="26"/>
      <c r="AA1491" s="26"/>
      <c r="AB1491" s="26"/>
      <c r="AC1491" s="26"/>
    </row>
    <row r="1492" ht="33.75" customHeight="1">
      <c r="A1492" s="65" t="s">
        <v>2512</v>
      </c>
      <c r="B1492" s="215" t="s">
        <v>2429</v>
      </c>
      <c r="C1492" s="215" t="s">
        <v>2493</v>
      </c>
      <c r="D1492" s="215" t="s">
        <v>2508</v>
      </c>
      <c r="E1492" s="215" t="s">
        <v>2509</v>
      </c>
      <c r="F1492" s="65" t="s">
        <v>2439</v>
      </c>
      <c r="G1492" s="65" t="s">
        <v>168</v>
      </c>
      <c r="H1492" s="65" t="s">
        <v>168</v>
      </c>
      <c r="I1492" s="65"/>
      <c r="J1492" s="65" t="s">
        <v>9</v>
      </c>
      <c r="K1492" s="65" t="s">
        <v>9</v>
      </c>
      <c r="L1492" s="128">
        <v>0.0</v>
      </c>
      <c r="M1492" s="180">
        <f t="shared" si="912"/>
        <v>0</v>
      </c>
      <c r="N1492" s="128">
        <v>0.0</v>
      </c>
      <c r="O1492" s="129">
        <f t="shared" si="939"/>
        <v>0</v>
      </c>
      <c r="P1492" s="159">
        <v>0.0</v>
      </c>
      <c r="Q1492" s="208">
        <f t="shared" si="940"/>
        <v>0</v>
      </c>
      <c r="R1492" s="132">
        <v>5.0</v>
      </c>
      <c r="S1492" s="132">
        <v>1.0</v>
      </c>
      <c r="T1492" s="65" t="s">
        <v>70</v>
      </c>
      <c r="U1492" s="26"/>
      <c r="V1492" s="26"/>
      <c r="W1492" s="26"/>
      <c r="X1492" s="26"/>
      <c r="Y1492" s="26"/>
      <c r="Z1492" s="26"/>
      <c r="AA1492" s="26"/>
      <c r="AB1492" s="26"/>
      <c r="AC1492" s="26"/>
    </row>
    <row r="1493" ht="33.75" customHeight="1">
      <c r="A1493" s="54" t="s">
        <v>2513</v>
      </c>
      <c r="B1493" s="209" t="s">
        <v>2429</v>
      </c>
      <c r="C1493" s="209" t="s">
        <v>2493</v>
      </c>
      <c r="D1493" s="209" t="s">
        <v>2514</v>
      </c>
      <c r="E1493" s="209" t="s">
        <v>2515</v>
      </c>
      <c r="F1493" s="54" t="s">
        <v>2439</v>
      </c>
      <c r="G1493" s="54" t="s">
        <v>168</v>
      </c>
      <c r="H1493" s="54" t="s">
        <v>168</v>
      </c>
      <c r="I1493" s="54"/>
      <c r="J1493" s="54" t="s">
        <v>9</v>
      </c>
      <c r="K1493" s="54" t="s">
        <v>9</v>
      </c>
      <c r="L1493" s="202">
        <f>IF(COUNT(L1494:N1496)=0,"",SUM(L1494:L1496))</f>
        <v>0.75</v>
      </c>
      <c r="M1493" s="174">
        <f t="shared" si="912"/>
        <v>1.625</v>
      </c>
      <c r="N1493" s="202">
        <f>IF(COUNT(L1494:N1496)=0,"",SUM(N1494:N1496))</f>
        <v>2.5</v>
      </c>
      <c r="O1493" s="202">
        <f>IF(COUNT(O1494:O1496)=0,"",SUM(O1494:O1496))</f>
        <v>1.625</v>
      </c>
      <c r="P1493" s="210"/>
      <c r="Q1493" s="202">
        <f>IF(COUNT(Q1494:Q1496)=0,"",SUM(Q1494:Q1496))</f>
        <v>1.7875</v>
      </c>
      <c r="R1493" s="163"/>
      <c r="S1493" s="163"/>
      <c r="T1493" s="54" t="s">
        <v>65</v>
      </c>
      <c r="U1493" s="26"/>
      <c r="V1493" s="26"/>
      <c r="W1493" s="26"/>
      <c r="X1493" s="105"/>
      <c r="Y1493" s="105"/>
      <c r="Z1493" s="105"/>
      <c r="AA1493" s="105"/>
      <c r="AB1493" s="105"/>
      <c r="AC1493" s="105"/>
    </row>
    <row r="1494" ht="33.75" customHeight="1">
      <c r="A1494" s="65" t="s">
        <v>2516</v>
      </c>
      <c r="B1494" s="215" t="s">
        <v>2429</v>
      </c>
      <c r="C1494" s="215" t="s">
        <v>2493</v>
      </c>
      <c r="D1494" s="215" t="s">
        <v>2514</v>
      </c>
      <c r="E1494" s="215" t="s">
        <v>2515</v>
      </c>
      <c r="F1494" s="65" t="s">
        <v>2439</v>
      </c>
      <c r="G1494" s="65" t="s">
        <v>168</v>
      </c>
      <c r="H1494" s="65" t="s">
        <v>168</v>
      </c>
      <c r="I1494" s="65"/>
      <c r="J1494" s="65" t="s">
        <v>9</v>
      </c>
      <c r="K1494" s="65" t="s">
        <v>9</v>
      </c>
      <c r="L1494" s="128">
        <v>0.0</v>
      </c>
      <c r="M1494" s="180">
        <f t="shared" si="912"/>
        <v>0</v>
      </c>
      <c r="N1494" s="128">
        <v>0.0</v>
      </c>
      <c r="O1494" s="129">
        <f t="shared" ref="O1494:O1496" si="941">IF(COUNT(L1494:N1494)=0,"",(L1494+4*M1494+N1494)/6)</f>
        <v>0</v>
      </c>
      <c r="P1494" s="159">
        <v>0.0</v>
      </c>
      <c r="Q1494" s="208">
        <f t="shared" ref="Q1494:Q1496" si="942">IF(O1494="","",IF(P1494="",O1494,O1494*(1+P1494)))</f>
        <v>0</v>
      </c>
      <c r="R1494" s="132">
        <v>5.0</v>
      </c>
      <c r="S1494" s="132">
        <v>1.0</v>
      </c>
      <c r="T1494" s="65" t="s">
        <v>31</v>
      </c>
      <c r="U1494" s="26"/>
      <c r="V1494" s="26"/>
      <c r="W1494" s="26"/>
      <c r="X1494" s="26"/>
      <c r="Y1494" s="26"/>
      <c r="Z1494" s="26"/>
      <c r="AA1494" s="26"/>
      <c r="AB1494" s="26"/>
      <c r="AC1494" s="26"/>
    </row>
    <row r="1495" ht="33.75" customHeight="1">
      <c r="A1495" s="65" t="s">
        <v>2517</v>
      </c>
      <c r="B1495" s="215" t="s">
        <v>2429</v>
      </c>
      <c r="C1495" s="215" t="s">
        <v>2493</v>
      </c>
      <c r="D1495" s="215" t="s">
        <v>2514</v>
      </c>
      <c r="E1495" s="215" t="s">
        <v>2515</v>
      </c>
      <c r="F1495" s="65" t="s">
        <v>2439</v>
      </c>
      <c r="G1495" s="65" t="s">
        <v>168</v>
      </c>
      <c r="H1495" s="65" t="s">
        <v>168</v>
      </c>
      <c r="I1495" s="65"/>
      <c r="J1495" s="65" t="s">
        <v>9</v>
      </c>
      <c r="K1495" s="65" t="s">
        <v>9</v>
      </c>
      <c r="L1495" s="128">
        <v>0.75</v>
      </c>
      <c r="M1495" s="180">
        <f t="shared" si="912"/>
        <v>1.625</v>
      </c>
      <c r="N1495" s="128">
        <v>2.5</v>
      </c>
      <c r="O1495" s="129">
        <f t="shared" si="941"/>
        <v>1.625</v>
      </c>
      <c r="P1495" s="159">
        <v>0.1</v>
      </c>
      <c r="Q1495" s="208">
        <f t="shared" si="942"/>
        <v>1.7875</v>
      </c>
      <c r="R1495" s="132">
        <v>4.0</v>
      </c>
      <c r="S1495" s="132">
        <v>2.0</v>
      </c>
      <c r="T1495" s="65" t="s">
        <v>32</v>
      </c>
      <c r="U1495" s="26"/>
      <c r="V1495" s="26"/>
      <c r="W1495" s="26"/>
      <c r="X1495" s="26"/>
      <c r="Y1495" s="26"/>
      <c r="Z1495" s="26"/>
      <c r="AA1495" s="26"/>
      <c r="AB1495" s="26"/>
      <c r="AC1495" s="26"/>
    </row>
    <row r="1496" ht="33.75" customHeight="1">
      <c r="A1496" s="65" t="s">
        <v>2518</v>
      </c>
      <c r="B1496" s="215" t="s">
        <v>2429</v>
      </c>
      <c r="C1496" s="215" t="s">
        <v>2493</v>
      </c>
      <c r="D1496" s="215" t="s">
        <v>2514</v>
      </c>
      <c r="E1496" s="215" t="s">
        <v>2515</v>
      </c>
      <c r="F1496" s="65" t="s">
        <v>2439</v>
      </c>
      <c r="G1496" s="65" t="s">
        <v>168</v>
      </c>
      <c r="H1496" s="65" t="s">
        <v>168</v>
      </c>
      <c r="I1496" s="65"/>
      <c r="J1496" s="65" t="s">
        <v>9</v>
      </c>
      <c r="K1496" s="65" t="s">
        <v>9</v>
      </c>
      <c r="L1496" s="128">
        <v>0.0</v>
      </c>
      <c r="M1496" s="180">
        <f t="shared" si="912"/>
        <v>0</v>
      </c>
      <c r="N1496" s="128">
        <v>0.0</v>
      </c>
      <c r="O1496" s="129">
        <f t="shared" si="941"/>
        <v>0</v>
      </c>
      <c r="P1496" s="159">
        <v>0.0</v>
      </c>
      <c r="Q1496" s="208">
        <f t="shared" si="942"/>
        <v>0</v>
      </c>
      <c r="R1496" s="132">
        <v>5.0</v>
      </c>
      <c r="S1496" s="132">
        <v>1.0</v>
      </c>
      <c r="T1496" s="65" t="s">
        <v>70</v>
      </c>
      <c r="U1496" s="26"/>
      <c r="V1496" s="26"/>
      <c r="W1496" s="26"/>
      <c r="X1496" s="26"/>
      <c r="Y1496" s="26"/>
      <c r="Z1496" s="26"/>
      <c r="AA1496" s="26"/>
      <c r="AB1496" s="26"/>
      <c r="AC1496" s="26"/>
    </row>
    <row r="1497" ht="33.75" customHeight="1">
      <c r="A1497" s="54" t="s">
        <v>2519</v>
      </c>
      <c r="B1497" s="209" t="s">
        <v>2429</v>
      </c>
      <c r="C1497" s="209" t="s">
        <v>2493</v>
      </c>
      <c r="D1497" s="209" t="s">
        <v>2520</v>
      </c>
      <c r="E1497" s="209" t="s">
        <v>2521</v>
      </c>
      <c r="F1497" s="54" t="s">
        <v>2522</v>
      </c>
      <c r="G1497" s="54" t="s">
        <v>168</v>
      </c>
      <c r="H1497" s="54" t="s">
        <v>168</v>
      </c>
      <c r="I1497" s="54"/>
      <c r="J1497" s="54" t="s">
        <v>9</v>
      </c>
      <c r="K1497" s="54" t="s">
        <v>9</v>
      </c>
      <c r="L1497" s="202">
        <f>IF(COUNT(L1498:N1500)=0,"",SUM(L1498:L1500))</f>
        <v>0.75</v>
      </c>
      <c r="M1497" s="174">
        <f t="shared" si="912"/>
        <v>1.625</v>
      </c>
      <c r="N1497" s="202">
        <f>IF(COUNT(L1498:N1500)=0,"",SUM(N1498:N1500))</f>
        <v>2.5</v>
      </c>
      <c r="O1497" s="202">
        <f>IF(COUNT(O1498:O1500)=0,"",SUM(O1498:O1500))</f>
        <v>1.625</v>
      </c>
      <c r="P1497" s="210"/>
      <c r="Q1497" s="202">
        <f>IF(COUNT(Q1498:Q1500)=0,"",SUM(Q1498:Q1500))</f>
        <v>1.7875</v>
      </c>
      <c r="R1497" s="163"/>
      <c r="S1497" s="163"/>
      <c r="T1497" s="54" t="s">
        <v>65</v>
      </c>
      <c r="U1497" s="26"/>
      <c r="V1497" s="26"/>
      <c r="W1497" s="26"/>
      <c r="X1497" s="105"/>
      <c r="Y1497" s="105"/>
      <c r="Z1497" s="105"/>
      <c r="AA1497" s="105"/>
      <c r="AB1497" s="105"/>
      <c r="AC1497" s="105"/>
    </row>
    <row r="1498" ht="33.75" customHeight="1">
      <c r="A1498" s="65" t="s">
        <v>2523</v>
      </c>
      <c r="B1498" s="215" t="s">
        <v>2429</v>
      </c>
      <c r="C1498" s="215" t="s">
        <v>2493</v>
      </c>
      <c r="D1498" s="215" t="s">
        <v>2520</v>
      </c>
      <c r="E1498" s="215" t="s">
        <v>2521</v>
      </c>
      <c r="F1498" s="65" t="s">
        <v>2522</v>
      </c>
      <c r="G1498" s="65" t="s">
        <v>168</v>
      </c>
      <c r="H1498" s="65" t="s">
        <v>168</v>
      </c>
      <c r="I1498" s="65"/>
      <c r="J1498" s="65" t="s">
        <v>9</v>
      </c>
      <c r="K1498" s="65" t="s">
        <v>9</v>
      </c>
      <c r="L1498" s="128">
        <v>0.0</v>
      </c>
      <c r="M1498" s="180">
        <f t="shared" si="912"/>
        <v>0</v>
      </c>
      <c r="N1498" s="128">
        <v>0.0</v>
      </c>
      <c r="O1498" s="129">
        <f t="shared" ref="O1498:O1500" si="943">IF(COUNT(L1498:N1498)=0,"",(L1498+4*M1498+N1498)/6)</f>
        <v>0</v>
      </c>
      <c r="P1498" s="159">
        <v>0.0</v>
      </c>
      <c r="Q1498" s="208">
        <f t="shared" ref="Q1498:Q1500" si="944">IF(O1498="","",IF(P1498="",O1498,O1498*(1+P1498)))</f>
        <v>0</v>
      </c>
      <c r="R1498" s="132">
        <v>5.0</v>
      </c>
      <c r="S1498" s="132">
        <v>1.0</v>
      </c>
      <c r="T1498" s="65" t="s">
        <v>31</v>
      </c>
      <c r="U1498" s="26"/>
      <c r="V1498" s="26"/>
      <c r="W1498" s="26"/>
      <c r="X1498" s="26"/>
      <c r="Y1498" s="26"/>
      <c r="Z1498" s="26"/>
      <c r="AA1498" s="26"/>
      <c r="AB1498" s="26"/>
      <c r="AC1498" s="26"/>
    </row>
    <row r="1499" ht="33.75" customHeight="1">
      <c r="A1499" s="65" t="s">
        <v>2524</v>
      </c>
      <c r="B1499" s="215" t="s">
        <v>2429</v>
      </c>
      <c r="C1499" s="215" t="s">
        <v>2493</v>
      </c>
      <c r="D1499" s="215" t="s">
        <v>2520</v>
      </c>
      <c r="E1499" s="215" t="s">
        <v>2521</v>
      </c>
      <c r="F1499" s="65" t="s">
        <v>2522</v>
      </c>
      <c r="G1499" s="65" t="s">
        <v>168</v>
      </c>
      <c r="H1499" s="65" t="s">
        <v>168</v>
      </c>
      <c r="I1499" s="65"/>
      <c r="J1499" s="65" t="s">
        <v>9</v>
      </c>
      <c r="K1499" s="65" t="s">
        <v>9</v>
      </c>
      <c r="L1499" s="128">
        <v>0.75</v>
      </c>
      <c r="M1499" s="180">
        <f t="shared" si="912"/>
        <v>1.625</v>
      </c>
      <c r="N1499" s="128">
        <v>2.5</v>
      </c>
      <c r="O1499" s="129">
        <f t="shared" si="943"/>
        <v>1.625</v>
      </c>
      <c r="P1499" s="159">
        <v>0.1</v>
      </c>
      <c r="Q1499" s="208">
        <f t="shared" si="944"/>
        <v>1.7875</v>
      </c>
      <c r="R1499" s="132">
        <v>4.0</v>
      </c>
      <c r="S1499" s="132">
        <v>2.0</v>
      </c>
      <c r="T1499" s="65" t="s">
        <v>32</v>
      </c>
      <c r="U1499" s="26"/>
      <c r="V1499" s="26"/>
      <c r="W1499" s="26"/>
      <c r="X1499" s="26"/>
      <c r="Y1499" s="26"/>
      <c r="Z1499" s="26"/>
      <c r="AA1499" s="26"/>
      <c r="AB1499" s="26"/>
      <c r="AC1499" s="26"/>
    </row>
    <row r="1500" ht="33.75" customHeight="1">
      <c r="A1500" s="65" t="s">
        <v>2525</v>
      </c>
      <c r="B1500" s="215" t="s">
        <v>2429</v>
      </c>
      <c r="C1500" s="215" t="s">
        <v>2493</v>
      </c>
      <c r="D1500" s="215" t="s">
        <v>2520</v>
      </c>
      <c r="E1500" s="215" t="s">
        <v>2521</v>
      </c>
      <c r="F1500" s="65" t="s">
        <v>2522</v>
      </c>
      <c r="G1500" s="65" t="s">
        <v>168</v>
      </c>
      <c r="H1500" s="65" t="s">
        <v>168</v>
      </c>
      <c r="I1500" s="65"/>
      <c r="J1500" s="65" t="s">
        <v>9</v>
      </c>
      <c r="K1500" s="65" t="s">
        <v>9</v>
      </c>
      <c r="L1500" s="128">
        <v>0.0</v>
      </c>
      <c r="M1500" s="180">
        <f t="shared" si="912"/>
        <v>0</v>
      </c>
      <c r="N1500" s="128">
        <v>0.0</v>
      </c>
      <c r="O1500" s="129">
        <f t="shared" si="943"/>
        <v>0</v>
      </c>
      <c r="P1500" s="159">
        <v>0.0</v>
      </c>
      <c r="Q1500" s="208">
        <f t="shared" si="944"/>
        <v>0</v>
      </c>
      <c r="R1500" s="132">
        <v>5.0</v>
      </c>
      <c r="S1500" s="132">
        <v>1.0</v>
      </c>
      <c r="T1500" s="65" t="s">
        <v>70</v>
      </c>
      <c r="U1500" s="26"/>
      <c r="V1500" s="26"/>
      <c r="W1500" s="26"/>
      <c r="X1500" s="26"/>
      <c r="Y1500" s="26"/>
      <c r="Z1500" s="26"/>
      <c r="AA1500" s="26"/>
      <c r="AB1500" s="26"/>
      <c r="AC1500" s="26"/>
    </row>
    <row r="1501" ht="33.75" customHeight="1">
      <c r="A1501" s="54" t="s">
        <v>2526</v>
      </c>
      <c r="B1501" s="209" t="s">
        <v>2429</v>
      </c>
      <c r="C1501" s="209" t="s">
        <v>2493</v>
      </c>
      <c r="D1501" s="209" t="s">
        <v>2527</v>
      </c>
      <c r="E1501" s="209" t="s">
        <v>2528</v>
      </c>
      <c r="F1501" s="54" t="s">
        <v>2315</v>
      </c>
      <c r="G1501" s="54" t="s">
        <v>168</v>
      </c>
      <c r="H1501" s="54" t="s">
        <v>168</v>
      </c>
      <c r="I1501" s="54"/>
      <c r="J1501" s="54" t="s">
        <v>9</v>
      </c>
      <c r="K1501" s="54" t="s">
        <v>9</v>
      </c>
      <c r="L1501" s="202">
        <f>IF(COUNT(L1502:N1504)=0,"",SUM(L1502:L1504))</f>
        <v>0.75</v>
      </c>
      <c r="M1501" s="174">
        <f t="shared" si="912"/>
        <v>1.625</v>
      </c>
      <c r="N1501" s="202">
        <f>IF(COUNT(L1502:N1504)=0,"",SUM(N1502:N1504))</f>
        <v>2.5</v>
      </c>
      <c r="O1501" s="202">
        <f>IF(COUNT(O1502:O1504)=0,"",SUM(O1502:O1504))</f>
        <v>1.625</v>
      </c>
      <c r="P1501" s="210"/>
      <c r="Q1501" s="202">
        <f>IF(COUNT(Q1502:Q1504)=0,"",SUM(Q1502:Q1504))</f>
        <v>1.7875</v>
      </c>
      <c r="R1501" s="163"/>
      <c r="S1501" s="163"/>
      <c r="T1501" s="54" t="s">
        <v>65</v>
      </c>
      <c r="U1501" s="26"/>
      <c r="V1501" s="26"/>
      <c r="W1501" s="26"/>
      <c r="X1501" s="105"/>
      <c r="Y1501" s="105"/>
      <c r="Z1501" s="105"/>
      <c r="AA1501" s="105"/>
      <c r="AB1501" s="105"/>
      <c r="AC1501" s="105"/>
    </row>
    <row r="1502" ht="33.75" customHeight="1">
      <c r="A1502" s="65" t="s">
        <v>2529</v>
      </c>
      <c r="B1502" s="215" t="s">
        <v>2429</v>
      </c>
      <c r="C1502" s="215" t="s">
        <v>2493</v>
      </c>
      <c r="D1502" s="215" t="s">
        <v>2527</v>
      </c>
      <c r="E1502" s="215" t="s">
        <v>2528</v>
      </c>
      <c r="F1502" s="65" t="s">
        <v>2315</v>
      </c>
      <c r="G1502" s="65" t="s">
        <v>168</v>
      </c>
      <c r="H1502" s="65" t="s">
        <v>168</v>
      </c>
      <c r="I1502" s="65"/>
      <c r="J1502" s="65" t="s">
        <v>9</v>
      </c>
      <c r="K1502" s="65" t="s">
        <v>9</v>
      </c>
      <c r="L1502" s="128">
        <v>0.0</v>
      </c>
      <c r="M1502" s="180">
        <f t="shared" si="912"/>
        <v>0</v>
      </c>
      <c r="N1502" s="128">
        <v>0.0</v>
      </c>
      <c r="O1502" s="129">
        <f t="shared" ref="O1502:O1504" si="945">IF(COUNT(L1502:N1502)=0,"",(L1502+4*M1502+N1502)/6)</f>
        <v>0</v>
      </c>
      <c r="P1502" s="159">
        <v>0.0</v>
      </c>
      <c r="Q1502" s="208">
        <f t="shared" ref="Q1502:Q1504" si="946">IF(O1502="","",IF(P1502="",O1502,O1502*(1+P1502)))</f>
        <v>0</v>
      </c>
      <c r="R1502" s="132">
        <v>5.0</v>
      </c>
      <c r="S1502" s="132">
        <v>1.0</v>
      </c>
      <c r="T1502" s="65" t="s">
        <v>31</v>
      </c>
      <c r="U1502" s="26"/>
      <c r="V1502" s="26"/>
      <c r="W1502" s="26"/>
      <c r="X1502" s="26"/>
      <c r="Y1502" s="26"/>
      <c r="Z1502" s="26"/>
      <c r="AA1502" s="26"/>
      <c r="AB1502" s="26"/>
      <c r="AC1502" s="26"/>
    </row>
    <row r="1503" ht="33.75" customHeight="1">
      <c r="A1503" s="65" t="s">
        <v>2530</v>
      </c>
      <c r="B1503" s="215" t="s">
        <v>2429</v>
      </c>
      <c r="C1503" s="215" t="s">
        <v>2493</v>
      </c>
      <c r="D1503" s="215" t="s">
        <v>2527</v>
      </c>
      <c r="E1503" s="215" t="s">
        <v>2528</v>
      </c>
      <c r="F1503" s="65" t="s">
        <v>2315</v>
      </c>
      <c r="G1503" s="65" t="s">
        <v>168</v>
      </c>
      <c r="H1503" s="65" t="s">
        <v>168</v>
      </c>
      <c r="I1503" s="65"/>
      <c r="J1503" s="65" t="s">
        <v>9</v>
      </c>
      <c r="K1503" s="65" t="s">
        <v>9</v>
      </c>
      <c r="L1503" s="128">
        <v>0.75</v>
      </c>
      <c r="M1503" s="180">
        <f t="shared" si="912"/>
        <v>1.625</v>
      </c>
      <c r="N1503" s="128">
        <v>2.5</v>
      </c>
      <c r="O1503" s="129">
        <f t="shared" si="945"/>
        <v>1.625</v>
      </c>
      <c r="P1503" s="159">
        <v>0.1</v>
      </c>
      <c r="Q1503" s="208">
        <f t="shared" si="946"/>
        <v>1.7875</v>
      </c>
      <c r="R1503" s="132">
        <v>4.0</v>
      </c>
      <c r="S1503" s="132">
        <v>2.0</v>
      </c>
      <c r="T1503" s="65" t="s">
        <v>32</v>
      </c>
      <c r="U1503" s="26"/>
      <c r="V1503" s="26"/>
      <c r="W1503" s="26"/>
      <c r="X1503" s="26"/>
      <c r="Y1503" s="26"/>
      <c r="Z1503" s="26"/>
      <c r="AA1503" s="26"/>
      <c r="AB1503" s="26"/>
      <c r="AC1503" s="26"/>
    </row>
    <row r="1504" ht="33.75" customHeight="1">
      <c r="A1504" s="65" t="s">
        <v>2531</v>
      </c>
      <c r="B1504" s="215" t="s">
        <v>2429</v>
      </c>
      <c r="C1504" s="215" t="s">
        <v>2493</v>
      </c>
      <c r="D1504" s="215" t="s">
        <v>2527</v>
      </c>
      <c r="E1504" s="215" t="s">
        <v>2528</v>
      </c>
      <c r="F1504" s="65" t="s">
        <v>2315</v>
      </c>
      <c r="G1504" s="65" t="s">
        <v>168</v>
      </c>
      <c r="H1504" s="65" t="s">
        <v>168</v>
      </c>
      <c r="I1504" s="65"/>
      <c r="J1504" s="65" t="s">
        <v>9</v>
      </c>
      <c r="K1504" s="65" t="s">
        <v>9</v>
      </c>
      <c r="L1504" s="128">
        <v>0.0</v>
      </c>
      <c r="M1504" s="180">
        <f t="shared" si="912"/>
        <v>0</v>
      </c>
      <c r="N1504" s="128">
        <v>0.0</v>
      </c>
      <c r="O1504" s="129">
        <f t="shared" si="945"/>
        <v>0</v>
      </c>
      <c r="P1504" s="159">
        <v>0.0</v>
      </c>
      <c r="Q1504" s="208">
        <f t="shared" si="946"/>
        <v>0</v>
      </c>
      <c r="R1504" s="132">
        <v>5.0</v>
      </c>
      <c r="S1504" s="132">
        <v>1.0</v>
      </c>
      <c r="T1504" s="65" t="s">
        <v>70</v>
      </c>
      <c r="U1504" s="26"/>
      <c r="V1504" s="26"/>
      <c r="W1504" s="26"/>
      <c r="X1504" s="26"/>
      <c r="Y1504" s="26"/>
      <c r="Z1504" s="26"/>
      <c r="AA1504" s="26"/>
      <c r="AB1504" s="26"/>
      <c r="AC1504" s="26"/>
    </row>
    <row r="1505" ht="33.75" customHeight="1">
      <c r="A1505" s="112" t="s">
        <v>2532</v>
      </c>
      <c r="B1505" s="38" t="s">
        <v>2429</v>
      </c>
      <c r="C1505" s="38" t="s">
        <v>2533</v>
      </c>
      <c r="D1505" s="38" t="s">
        <v>2533</v>
      </c>
      <c r="E1505" s="113" t="s">
        <v>2534</v>
      </c>
      <c r="F1505" s="114"/>
      <c r="G1505" s="114"/>
      <c r="H1505" s="45"/>
      <c r="I1505" s="45"/>
      <c r="J1505" s="114"/>
      <c r="K1505" s="115"/>
      <c r="L1505" s="42">
        <f>IF(COUNT(L1506,L1510,L1514,L1518,L1522)=0,"",SUM(L1506,L1510,L1514,L1518,L1522))</f>
        <v>1.75</v>
      </c>
      <c r="M1505" s="42">
        <f t="shared" si="912"/>
        <v>3.625</v>
      </c>
      <c r="N1505" s="42">
        <f t="shared" ref="N1505:O1505" si="947">IF(COUNT(N1506,N1510,N1514,N1518,N1522)=0,"",SUM(N1506,N1510,N1514,N1518,N1522))</f>
        <v>5.5</v>
      </c>
      <c r="O1505" s="42">
        <f t="shared" si="947"/>
        <v>3.625</v>
      </c>
      <c r="P1505" s="43"/>
      <c r="Q1505" s="42">
        <f>IF(COUNT(Q1506,Q1510,Q1514,Q1518,Q1522)=0,"",SUM(Q1506,Q1510,Q1514,Q1518,Q1522))</f>
        <v>3.95625</v>
      </c>
      <c r="R1505" s="44"/>
      <c r="S1505" s="44"/>
      <c r="T1505" s="45" t="s">
        <v>62</v>
      </c>
      <c r="U1505" s="26"/>
      <c r="V1505" s="26"/>
      <c r="W1505" s="26"/>
      <c r="X1505" s="46">
        <f t="shared" ref="X1505:AA1505" si="948">L1505</f>
        <v>1.75</v>
      </c>
      <c r="Y1505" s="46">
        <f t="shared" si="948"/>
        <v>3.625</v>
      </c>
      <c r="Z1505" s="46">
        <f t="shared" si="948"/>
        <v>5.5</v>
      </c>
      <c r="AA1505" s="46">
        <f t="shared" si="948"/>
        <v>3.625</v>
      </c>
      <c r="AB1505" s="26"/>
      <c r="AC1505" s="46">
        <f>Q1505</f>
        <v>3.95625</v>
      </c>
    </row>
    <row r="1506" ht="33.75" customHeight="1">
      <c r="A1506" s="116" t="s">
        <v>2535</v>
      </c>
      <c r="B1506" s="77" t="s">
        <v>2429</v>
      </c>
      <c r="C1506" s="77" t="s">
        <v>2533</v>
      </c>
      <c r="D1506" s="77" t="s">
        <v>2536</v>
      </c>
      <c r="E1506" s="117" t="s">
        <v>2537</v>
      </c>
      <c r="F1506" s="118" t="s">
        <v>2538</v>
      </c>
      <c r="G1506" s="118" t="s">
        <v>168</v>
      </c>
      <c r="H1506" s="119" t="s">
        <v>168</v>
      </c>
      <c r="I1506" s="54"/>
      <c r="J1506" s="118" t="s">
        <v>9</v>
      </c>
      <c r="K1506" s="120" t="s">
        <v>9</v>
      </c>
      <c r="L1506" s="202">
        <f>IF(COUNT(L1507:N1509)=0,"",SUM(L1507:L1509))</f>
        <v>0.5</v>
      </c>
      <c r="M1506" s="174">
        <f t="shared" si="912"/>
        <v>1</v>
      </c>
      <c r="N1506" s="202">
        <f>IF(COUNT(L1507:N1509)=0,"",SUM(N1507:N1509))</f>
        <v>1.5</v>
      </c>
      <c r="O1506" s="202">
        <f>IF(COUNT(O1507:O1509)=0,"",SUM(O1507:O1509))</f>
        <v>1</v>
      </c>
      <c r="P1506" s="210"/>
      <c r="Q1506" s="202">
        <f>IF(COUNT(Q1507:Q1509)=0,"",SUM(Q1507:Q1509))</f>
        <v>1.1</v>
      </c>
      <c r="R1506" s="163"/>
      <c r="S1506" s="163"/>
      <c r="T1506" s="54" t="s">
        <v>65</v>
      </c>
      <c r="U1506" s="26"/>
      <c r="V1506" s="26"/>
      <c r="W1506" s="26"/>
      <c r="X1506" s="46"/>
      <c r="Y1506" s="46"/>
      <c r="Z1506" s="46"/>
      <c r="AA1506" s="46"/>
      <c r="AB1506" s="232"/>
      <c r="AC1506" s="46"/>
    </row>
    <row r="1507" ht="33.75" customHeight="1">
      <c r="A1507" s="65" t="s">
        <v>2539</v>
      </c>
      <c r="B1507" s="215" t="s">
        <v>2429</v>
      </c>
      <c r="C1507" s="215" t="s">
        <v>2533</v>
      </c>
      <c r="D1507" s="215" t="s">
        <v>2536</v>
      </c>
      <c r="E1507" s="215" t="s">
        <v>2537</v>
      </c>
      <c r="F1507" s="65" t="s">
        <v>2538</v>
      </c>
      <c r="G1507" s="65" t="s">
        <v>168</v>
      </c>
      <c r="H1507" s="65" t="s">
        <v>168</v>
      </c>
      <c r="I1507" s="65"/>
      <c r="J1507" s="65" t="s">
        <v>9</v>
      </c>
      <c r="K1507" s="65" t="s">
        <v>9</v>
      </c>
      <c r="L1507" s="128">
        <v>0.0</v>
      </c>
      <c r="M1507" s="180">
        <f t="shared" si="912"/>
        <v>0</v>
      </c>
      <c r="N1507" s="128">
        <v>0.0</v>
      </c>
      <c r="O1507" s="129">
        <f t="shared" ref="O1507:O1509" si="949">IF(COUNT(L1507:N1507)=0,"",(L1507+4*M1507+N1507)/6)</f>
        <v>0</v>
      </c>
      <c r="P1507" s="159">
        <v>0.0</v>
      </c>
      <c r="Q1507" s="208">
        <f t="shared" ref="Q1507:Q1509" si="950">IF(O1507="","",IF(P1507="",O1507,O1507*(1+P1507)))</f>
        <v>0</v>
      </c>
      <c r="R1507" s="132">
        <v>5.0</v>
      </c>
      <c r="S1507" s="132">
        <v>1.0</v>
      </c>
      <c r="T1507" s="65" t="s">
        <v>31</v>
      </c>
      <c r="U1507" s="26"/>
      <c r="V1507" s="26"/>
      <c r="W1507" s="26"/>
      <c r="X1507" s="26"/>
      <c r="Y1507" s="26"/>
      <c r="Z1507" s="26"/>
      <c r="AA1507" s="26"/>
      <c r="AB1507" s="26"/>
      <c r="AC1507" s="26"/>
    </row>
    <row r="1508" ht="33.75" customHeight="1">
      <c r="A1508" s="65" t="s">
        <v>2540</v>
      </c>
      <c r="B1508" s="215" t="s">
        <v>2429</v>
      </c>
      <c r="C1508" s="215" t="s">
        <v>2533</v>
      </c>
      <c r="D1508" s="215" t="s">
        <v>2536</v>
      </c>
      <c r="E1508" s="215" t="s">
        <v>2537</v>
      </c>
      <c r="F1508" s="65" t="s">
        <v>2538</v>
      </c>
      <c r="G1508" s="65" t="s">
        <v>168</v>
      </c>
      <c r="H1508" s="65" t="s">
        <v>168</v>
      </c>
      <c r="I1508" s="65"/>
      <c r="J1508" s="65" t="s">
        <v>9</v>
      </c>
      <c r="K1508" s="65" t="s">
        <v>9</v>
      </c>
      <c r="L1508" s="128">
        <v>0.5</v>
      </c>
      <c r="M1508" s="180">
        <f t="shared" si="912"/>
        <v>1</v>
      </c>
      <c r="N1508" s="128">
        <v>1.5</v>
      </c>
      <c r="O1508" s="129">
        <f t="shared" si="949"/>
        <v>1</v>
      </c>
      <c r="P1508" s="159">
        <v>0.1</v>
      </c>
      <c r="Q1508" s="208">
        <f t="shared" si="950"/>
        <v>1.1</v>
      </c>
      <c r="R1508" s="132">
        <v>4.0</v>
      </c>
      <c r="S1508" s="132">
        <v>2.0</v>
      </c>
      <c r="T1508" s="65" t="s">
        <v>32</v>
      </c>
      <c r="U1508" s="26"/>
      <c r="V1508" s="26"/>
      <c r="W1508" s="26"/>
      <c r="X1508" s="26"/>
      <c r="Y1508" s="26"/>
      <c r="Z1508" s="26"/>
      <c r="AA1508" s="26"/>
      <c r="AB1508" s="26"/>
      <c r="AC1508" s="26"/>
    </row>
    <row r="1509" ht="33.75" customHeight="1">
      <c r="A1509" s="65" t="s">
        <v>2541</v>
      </c>
      <c r="B1509" s="215" t="s">
        <v>2429</v>
      </c>
      <c r="C1509" s="215" t="s">
        <v>2533</v>
      </c>
      <c r="D1509" s="215" t="s">
        <v>2536</v>
      </c>
      <c r="E1509" s="215" t="s">
        <v>2537</v>
      </c>
      <c r="F1509" s="65" t="s">
        <v>2538</v>
      </c>
      <c r="G1509" s="65" t="s">
        <v>168</v>
      </c>
      <c r="H1509" s="65" t="s">
        <v>168</v>
      </c>
      <c r="I1509" s="65"/>
      <c r="J1509" s="65" t="s">
        <v>9</v>
      </c>
      <c r="K1509" s="65" t="s">
        <v>9</v>
      </c>
      <c r="L1509" s="128">
        <v>0.0</v>
      </c>
      <c r="M1509" s="180">
        <f t="shared" si="912"/>
        <v>0</v>
      </c>
      <c r="N1509" s="128">
        <v>0.0</v>
      </c>
      <c r="O1509" s="129">
        <f t="shared" si="949"/>
        <v>0</v>
      </c>
      <c r="P1509" s="159">
        <v>0.0</v>
      </c>
      <c r="Q1509" s="208">
        <f t="shared" si="950"/>
        <v>0</v>
      </c>
      <c r="R1509" s="132">
        <v>5.0</v>
      </c>
      <c r="S1509" s="132">
        <v>1.0</v>
      </c>
      <c r="T1509" s="65" t="s">
        <v>70</v>
      </c>
      <c r="U1509" s="26"/>
      <c r="V1509" s="26"/>
      <c r="W1509" s="26"/>
      <c r="X1509" s="26"/>
      <c r="Y1509" s="26"/>
      <c r="Z1509" s="26"/>
      <c r="AA1509" s="26"/>
      <c r="AB1509" s="26"/>
      <c r="AC1509" s="26"/>
    </row>
    <row r="1510" ht="33.75" customHeight="1">
      <c r="A1510" s="54" t="s">
        <v>2542</v>
      </c>
      <c r="B1510" s="209" t="s">
        <v>2429</v>
      </c>
      <c r="C1510" s="209" t="s">
        <v>2533</v>
      </c>
      <c r="D1510" s="209" t="s">
        <v>2543</v>
      </c>
      <c r="E1510" s="209" t="s">
        <v>2544</v>
      </c>
      <c r="F1510" s="54" t="s">
        <v>2545</v>
      </c>
      <c r="G1510" s="54" t="s">
        <v>168</v>
      </c>
      <c r="H1510" s="54" t="s">
        <v>168</v>
      </c>
      <c r="I1510" s="54"/>
      <c r="J1510" s="54" t="s">
        <v>9</v>
      </c>
      <c r="K1510" s="54" t="s">
        <v>9</v>
      </c>
      <c r="L1510" s="202">
        <f>IF(COUNT(L1511:N1513)=0,"",SUM(L1511:L1513))</f>
        <v>0.5</v>
      </c>
      <c r="M1510" s="174">
        <f t="shared" si="912"/>
        <v>1</v>
      </c>
      <c r="N1510" s="202">
        <f>IF(COUNT(L1511:N1513)=0,"",SUM(N1511:N1513))</f>
        <v>1.5</v>
      </c>
      <c r="O1510" s="202">
        <f>IF(COUNT(O1511:O1513)=0,"",SUM(O1511:O1513))</f>
        <v>1</v>
      </c>
      <c r="P1510" s="210"/>
      <c r="Q1510" s="202">
        <f>IF(COUNT(Q1511:Q1513)=0,"",SUM(Q1511:Q1513))</f>
        <v>1.1</v>
      </c>
      <c r="R1510" s="163"/>
      <c r="S1510" s="163"/>
      <c r="T1510" s="54" t="s">
        <v>65</v>
      </c>
      <c r="U1510" s="26"/>
      <c r="V1510" s="26"/>
      <c r="W1510" s="26"/>
      <c r="X1510" s="105"/>
      <c r="Y1510" s="105"/>
      <c r="Z1510" s="105"/>
      <c r="AA1510" s="105"/>
      <c r="AB1510" s="105"/>
      <c r="AC1510" s="105"/>
    </row>
    <row r="1511" ht="33.75" customHeight="1">
      <c r="A1511" s="65" t="s">
        <v>2546</v>
      </c>
      <c r="B1511" s="215" t="s">
        <v>2429</v>
      </c>
      <c r="C1511" s="215" t="s">
        <v>2533</v>
      </c>
      <c r="D1511" s="215" t="s">
        <v>2543</v>
      </c>
      <c r="E1511" s="215" t="s">
        <v>2544</v>
      </c>
      <c r="F1511" s="65" t="s">
        <v>2545</v>
      </c>
      <c r="G1511" s="65" t="s">
        <v>168</v>
      </c>
      <c r="H1511" s="65" t="s">
        <v>168</v>
      </c>
      <c r="I1511" s="65"/>
      <c r="J1511" s="65" t="s">
        <v>9</v>
      </c>
      <c r="K1511" s="65" t="s">
        <v>9</v>
      </c>
      <c r="L1511" s="128">
        <v>0.0</v>
      </c>
      <c r="M1511" s="180">
        <f t="shared" si="912"/>
        <v>0</v>
      </c>
      <c r="N1511" s="128">
        <v>0.0</v>
      </c>
      <c r="O1511" s="129">
        <f t="shared" ref="O1511:O1513" si="951">IF(COUNT(L1511:N1511)=0,"",(L1511+4*M1511+N1511)/6)</f>
        <v>0</v>
      </c>
      <c r="P1511" s="159">
        <v>0.0</v>
      </c>
      <c r="Q1511" s="208">
        <f t="shared" ref="Q1511:Q1513" si="952">IF(O1511="","",IF(P1511="",O1511,O1511*(1+P1511)))</f>
        <v>0</v>
      </c>
      <c r="R1511" s="132">
        <v>5.0</v>
      </c>
      <c r="S1511" s="132">
        <v>1.0</v>
      </c>
      <c r="T1511" s="65" t="s">
        <v>31</v>
      </c>
      <c r="U1511" s="26"/>
      <c r="V1511" s="26"/>
      <c r="W1511" s="26"/>
      <c r="X1511" s="26"/>
      <c r="Y1511" s="26"/>
      <c r="Z1511" s="26"/>
      <c r="AA1511" s="26"/>
      <c r="AB1511" s="26"/>
      <c r="AC1511" s="26"/>
    </row>
    <row r="1512" ht="33.75" customHeight="1">
      <c r="A1512" s="65" t="s">
        <v>2547</v>
      </c>
      <c r="B1512" s="215" t="s">
        <v>2429</v>
      </c>
      <c r="C1512" s="215" t="s">
        <v>2533</v>
      </c>
      <c r="D1512" s="215" t="s">
        <v>2543</v>
      </c>
      <c r="E1512" s="215" t="s">
        <v>2544</v>
      </c>
      <c r="F1512" s="65" t="s">
        <v>2545</v>
      </c>
      <c r="G1512" s="65" t="s">
        <v>168</v>
      </c>
      <c r="H1512" s="65" t="s">
        <v>168</v>
      </c>
      <c r="I1512" s="65"/>
      <c r="J1512" s="65" t="s">
        <v>9</v>
      </c>
      <c r="K1512" s="65" t="s">
        <v>9</v>
      </c>
      <c r="L1512" s="128">
        <v>0.5</v>
      </c>
      <c r="M1512" s="180">
        <f t="shared" si="912"/>
        <v>1</v>
      </c>
      <c r="N1512" s="128">
        <v>1.5</v>
      </c>
      <c r="O1512" s="129">
        <f t="shared" si="951"/>
        <v>1</v>
      </c>
      <c r="P1512" s="159">
        <v>0.1</v>
      </c>
      <c r="Q1512" s="208">
        <f t="shared" si="952"/>
        <v>1.1</v>
      </c>
      <c r="R1512" s="132">
        <v>4.0</v>
      </c>
      <c r="S1512" s="132">
        <v>2.0</v>
      </c>
      <c r="T1512" s="65" t="s">
        <v>32</v>
      </c>
      <c r="U1512" s="26"/>
      <c r="V1512" s="26"/>
      <c r="W1512" s="26"/>
      <c r="X1512" s="26"/>
      <c r="Y1512" s="26"/>
      <c r="Z1512" s="26"/>
      <c r="AA1512" s="26"/>
      <c r="AB1512" s="26"/>
      <c r="AC1512" s="26"/>
    </row>
    <row r="1513" ht="33.75" customHeight="1">
      <c r="A1513" s="65" t="s">
        <v>2548</v>
      </c>
      <c r="B1513" s="215" t="s">
        <v>2429</v>
      </c>
      <c r="C1513" s="215" t="s">
        <v>2533</v>
      </c>
      <c r="D1513" s="215" t="s">
        <v>2543</v>
      </c>
      <c r="E1513" s="215" t="s">
        <v>2544</v>
      </c>
      <c r="F1513" s="65" t="s">
        <v>2545</v>
      </c>
      <c r="G1513" s="65" t="s">
        <v>168</v>
      </c>
      <c r="H1513" s="65" t="s">
        <v>168</v>
      </c>
      <c r="I1513" s="65"/>
      <c r="J1513" s="65" t="s">
        <v>9</v>
      </c>
      <c r="K1513" s="65" t="s">
        <v>9</v>
      </c>
      <c r="L1513" s="128">
        <v>0.0</v>
      </c>
      <c r="M1513" s="180">
        <f t="shared" si="912"/>
        <v>0</v>
      </c>
      <c r="N1513" s="128">
        <v>0.0</v>
      </c>
      <c r="O1513" s="129">
        <f t="shared" si="951"/>
        <v>0</v>
      </c>
      <c r="P1513" s="159">
        <v>0.0</v>
      </c>
      <c r="Q1513" s="208">
        <f t="shared" si="952"/>
        <v>0</v>
      </c>
      <c r="R1513" s="132">
        <v>5.0</v>
      </c>
      <c r="S1513" s="132">
        <v>1.0</v>
      </c>
      <c r="T1513" s="65" t="s">
        <v>70</v>
      </c>
      <c r="U1513" s="26"/>
      <c r="V1513" s="26"/>
      <c r="W1513" s="26"/>
      <c r="X1513" s="26"/>
      <c r="Y1513" s="26"/>
      <c r="Z1513" s="26"/>
      <c r="AA1513" s="26"/>
      <c r="AB1513" s="26"/>
      <c r="AC1513" s="26"/>
    </row>
    <row r="1514" ht="33.75" customHeight="1">
      <c r="A1514" s="54" t="s">
        <v>2549</v>
      </c>
      <c r="B1514" s="209" t="s">
        <v>2429</v>
      </c>
      <c r="C1514" s="209" t="s">
        <v>2533</v>
      </c>
      <c r="D1514" s="209" t="s">
        <v>2550</v>
      </c>
      <c r="E1514" s="209" t="s">
        <v>2551</v>
      </c>
      <c r="F1514" s="54" t="s">
        <v>2535</v>
      </c>
      <c r="G1514" s="54" t="s">
        <v>168</v>
      </c>
      <c r="H1514" s="54" t="s">
        <v>168</v>
      </c>
      <c r="I1514" s="54"/>
      <c r="J1514" s="54" t="s">
        <v>9</v>
      </c>
      <c r="K1514" s="54" t="s">
        <v>9</v>
      </c>
      <c r="L1514" s="202">
        <f>IF(COUNT(L1515:N1517)=0,"",SUM(L1515:L1517))</f>
        <v>0.5</v>
      </c>
      <c r="M1514" s="174">
        <f t="shared" si="912"/>
        <v>1</v>
      </c>
      <c r="N1514" s="202">
        <f>IF(COUNT(L1515:N1517)=0,"",SUM(N1515:N1517))</f>
        <v>1.5</v>
      </c>
      <c r="O1514" s="202">
        <f>IF(COUNT(O1515:O1517)=0,"",SUM(O1515:O1517))</f>
        <v>1</v>
      </c>
      <c r="P1514" s="210"/>
      <c r="Q1514" s="202">
        <f>IF(COUNT(Q1515:Q1517)=0,"",SUM(Q1515:Q1517))</f>
        <v>1.1</v>
      </c>
      <c r="R1514" s="163"/>
      <c r="S1514" s="163"/>
      <c r="T1514" s="54" t="s">
        <v>65</v>
      </c>
      <c r="U1514" s="26"/>
      <c r="V1514" s="26"/>
      <c r="W1514" s="26"/>
      <c r="X1514" s="105"/>
      <c r="Y1514" s="105"/>
      <c r="Z1514" s="105"/>
      <c r="AA1514" s="105"/>
      <c r="AB1514" s="105"/>
      <c r="AC1514" s="105"/>
    </row>
    <row r="1515" ht="33.75" customHeight="1">
      <c r="A1515" s="65" t="s">
        <v>2552</v>
      </c>
      <c r="B1515" s="215" t="s">
        <v>2429</v>
      </c>
      <c r="C1515" s="215" t="s">
        <v>2533</v>
      </c>
      <c r="D1515" s="215" t="s">
        <v>2550</v>
      </c>
      <c r="E1515" s="215" t="s">
        <v>2551</v>
      </c>
      <c r="F1515" s="65" t="s">
        <v>2535</v>
      </c>
      <c r="G1515" s="65" t="s">
        <v>168</v>
      </c>
      <c r="H1515" s="65" t="s">
        <v>168</v>
      </c>
      <c r="I1515" s="65"/>
      <c r="J1515" s="65" t="s">
        <v>9</v>
      </c>
      <c r="K1515" s="65" t="s">
        <v>9</v>
      </c>
      <c r="L1515" s="128">
        <v>0.0</v>
      </c>
      <c r="M1515" s="180">
        <f t="shared" si="912"/>
        <v>0</v>
      </c>
      <c r="N1515" s="128">
        <v>0.0</v>
      </c>
      <c r="O1515" s="129">
        <f t="shared" ref="O1515:O1517" si="953">IF(COUNT(L1515:N1515)=0,"",(L1515+4*M1515+N1515)/6)</f>
        <v>0</v>
      </c>
      <c r="P1515" s="159">
        <v>0.0</v>
      </c>
      <c r="Q1515" s="208">
        <f t="shared" ref="Q1515:Q1517" si="954">IF(O1515="","",IF(P1515="",O1515,O1515*(1+P1515)))</f>
        <v>0</v>
      </c>
      <c r="R1515" s="132">
        <v>5.0</v>
      </c>
      <c r="S1515" s="132">
        <v>1.0</v>
      </c>
      <c r="T1515" s="65" t="s">
        <v>31</v>
      </c>
      <c r="U1515" s="26"/>
      <c r="V1515" s="26"/>
      <c r="W1515" s="26"/>
      <c r="X1515" s="26"/>
      <c r="Y1515" s="26"/>
      <c r="Z1515" s="26"/>
      <c r="AA1515" s="26"/>
      <c r="AB1515" s="26"/>
      <c r="AC1515" s="26"/>
    </row>
    <row r="1516" ht="33.75" customHeight="1">
      <c r="A1516" s="65" t="s">
        <v>2553</v>
      </c>
      <c r="B1516" s="215" t="s">
        <v>2429</v>
      </c>
      <c r="C1516" s="215" t="s">
        <v>2533</v>
      </c>
      <c r="D1516" s="215" t="s">
        <v>2550</v>
      </c>
      <c r="E1516" s="215" t="s">
        <v>2551</v>
      </c>
      <c r="F1516" s="65" t="s">
        <v>2535</v>
      </c>
      <c r="G1516" s="65" t="s">
        <v>168</v>
      </c>
      <c r="H1516" s="65" t="s">
        <v>168</v>
      </c>
      <c r="I1516" s="65"/>
      <c r="J1516" s="65" t="s">
        <v>9</v>
      </c>
      <c r="K1516" s="65" t="s">
        <v>9</v>
      </c>
      <c r="L1516" s="128">
        <v>0.5</v>
      </c>
      <c r="M1516" s="180">
        <f t="shared" si="912"/>
        <v>1</v>
      </c>
      <c r="N1516" s="128">
        <v>1.5</v>
      </c>
      <c r="O1516" s="129">
        <f t="shared" si="953"/>
        <v>1</v>
      </c>
      <c r="P1516" s="159">
        <v>0.1</v>
      </c>
      <c r="Q1516" s="208">
        <f t="shared" si="954"/>
        <v>1.1</v>
      </c>
      <c r="R1516" s="132">
        <v>4.0</v>
      </c>
      <c r="S1516" s="132">
        <v>2.0</v>
      </c>
      <c r="T1516" s="65" t="s">
        <v>32</v>
      </c>
      <c r="U1516" s="26"/>
      <c r="V1516" s="26"/>
      <c r="W1516" s="26"/>
      <c r="X1516" s="26"/>
      <c r="Y1516" s="26"/>
      <c r="Z1516" s="26"/>
      <c r="AA1516" s="26"/>
      <c r="AB1516" s="26"/>
      <c r="AC1516" s="26"/>
    </row>
    <row r="1517" ht="33.75" customHeight="1">
      <c r="A1517" s="65" t="s">
        <v>2554</v>
      </c>
      <c r="B1517" s="215" t="s">
        <v>2429</v>
      </c>
      <c r="C1517" s="215" t="s">
        <v>2533</v>
      </c>
      <c r="D1517" s="215" t="s">
        <v>2550</v>
      </c>
      <c r="E1517" s="215" t="s">
        <v>2551</v>
      </c>
      <c r="F1517" s="65" t="s">
        <v>2535</v>
      </c>
      <c r="G1517" s="65" t="s">
        <v>168</v>
      </c>
      <c r="H1517" s="65" t="s">
        <v>168</v>
      </c>
      <c r="I1517" s="65"/>
      <c r="J1517" s="65" t="s">
        <v>9</v>
      </c>
      <c r="K1517" s="65" t="s">
        <v>9</v>
      </c>
      <c r="L1517" s="128">
        <v>0.0</v>
      </c>
      <c r="M1517" s="180">
        <f t="shared" si="912"/>
        <v>0</v>
      </c>
      <c r="N1517" s="128">
        <v>0.0</v>
      </c>
      <c r="O1517" s="129">
        <f t="shared" si="953"/>
        <v>0</v>
      </c>
      <c r="P1517" s="159">
        <v>0.0</v>
      </c>
      <c r="Q1517" s="208">
        <f t="shared" si="954"/>
        <v>0</v>
      </c>
      <c r="R1517" s="132">
        <v>5.0</v>
      </c>
      <c r="S1517" s="132">
        <v>1.0</v>
      </c>
      <c r="T1517" s="65" t="s">
        <v>70</v>
      </c>
      <c r="U1517" s="26"/>
      <c r="V1517" s="26"/>
      <c r="W1517" s="26"/>
      <c r="X1517" s="26"/>
      <c r="Y1517" s="26"/>
      <c r="Z1517" s="26"/>
      <c r="AA1517" s="26"/>
      <c r="AB1517" s="26"/>
      <c r="AC1517" s="26"/>
    </row>
    <row r="1518" ht="33.75" customHeight="1">
      <c r="A1518" s="54" t="s">
        <v>2555</v>
      </c>
      <c r="B1518" s="209" t="s">
        <v>2429</v>
      </c>
      <c r="C1518" s="209" t="s">
        <v>2533</v>
      </c>
      <c r="D1518" s="209" t="s">
        <v>2556</v>
      </c>
      <c r="E1518" s="209" t="s">
        <v>2557</v>
      </c>
      <c r="F1518" s="54" t="s">
        <v>2535</v>
      </c>
      <c r="G1518" s="54" t="s">
        <v>154</v>
      </c>
      <c r="H1518" s="54" t="s">
        <v>154</v>
      </c>
      <c r="I1518" s="54"/>
      <c r="J1518" s="54" t="s">
        <v>9</v>
      </c>
      <c r="K1518" s="54" t="s">
        <v>9</v>
      </c>
      <c r="L1518" s="202">
        <f>IF(COUNT(L1519:N1521)=0,"",SUM(L1519:L1521))</f>
        <v>0.25</v>
      </c>
      <c r="M1518" s="174">
        <f t="shared" si="912"/>
        <v>0.625</v>
      </c>
      <c r="N1518" s="202">
        <f>IF(COUNT(L1519:N1521)=0,"",SUM(N1519:N1521))</f>
        <v>1</v>
      </c>
      <c r="O1518" s="202">
        <f>IF(COUNT(O1519:O1521)=0,"",SUM(O1519:O1521))</f>
        <v>0.625</v>
      </c>
      <c r="P1518" s="210"/>
      <c r="Q1518" s="202">
        <f>IF(COUNT(Q1519:Q1521)=0,"",SUM(Q1519:Q1521))</f>
        <v>0.65625</v>
      </c>
      <c r="R1518" s="163"/>
      <c r="S1518" s="163"/>
      <c r="T1518" s="54" t="s">
        <v>65</v>
      </c>
      <c r="U1518" s="26"/>
      <c r="V1518" s="26"/>
      <c r="W1518" s="26"/>
      <c r="X1518" s="105"/>
      <c r="Y1518" s="105"/>
      <c r="Z1518" s="105"/>
      <c r="AA1518" s="105"/>
      <c r="AB1518" s="105"/>
      <c r="AC1518" s="105"/>
    </row>
    <row r="1519" ht="33.75" customHeight="1">
      <c r="A1519" s="65" t="s">
        <v>2558</v>
      </c>
      <c r="B1519" s="215" t="s">
        <v>2429</v>
      </c>
      <c r="C1519" s="215" t="s">
        <v>2533</v>
      </c>
      <c r="D1519" s="215" t="s">
        <v>2556</v>
      </c>
      <c r="E1519" s="215" t="s">
        <v>2557</v>
      </c>
      <c r="F1519" s="65" t="s">
        <v>2535</v>
      </c>
      <c r="G1519" s="65" t="s">
        <v>154</v>
      </c>
      <c r="H1519" s="65" t="s">
        <v>154</v>
      </c>
      <c r="I1519" s="65"/>
      <c r="J1519" s="65" t="s">
        <v>9</v>
      </c>
      <c r="K1519" s="65" t="s">
        <v>9</v>
      </c>
      <c r="L1519" s="128">
        <v>0.0</v>
      </c>
      <c r="M1519" s="180">
        <f t="shared" si="912"/>
        <v>0</v>
      </c>
      <c r="N1519" s="128">
        <v>0.0</v>
      </c>
      <c r="O1519" s="129">
        <f t="shared" ref="O1519:O1521" si="955">IF(COUNT(L1519:N1519)=0,"",(L1519+4*M1519+N1519)/6)</f>
        <v>0</v>
      </c>
      <c r="P1519" s="159">
        <v>0.0</v>
      </c>
      <c r="Q1519" s="208">
        <f t="shared" ref="Q1519:Q1521" si="956">IF(O1519="","",IF(P1519="",O1519,O1519*(1+P1519)))</f>
        <v>0</v>
      </c>
      <c r="R1519" s="132">
        <v>5.0</v>
      </c>
      <c r="S1519" s="132">
        <v>1.0</v>
      </c>
      <c r="T1519" s="65" t="s">
        <v>31</v>
      </c>
      <c r="U1519" s="26"/>
      <c r="V1519" s="26"/>
      <c r="W1519" s="26"/>
      <c r="X1519" s="26"/>
      <c r="Y1519" s="26"/>
      <c r="Z1519" s="26"/>
      <c r="AA1519" s="26"/>
      <c r="AB1519" s="26"/>
      <c r="AC1519" s="26"/>
    </row>
    <row r="1520" ht="33.75" customHeight="1">
      <c r="A1520" s="65" t="s">
        <v>2559</v>
      </c>
      <c r="B1520" s="215" t="s">
        <v>2429</v>
      </c>
      <c r="C1520" s="215" t="s">
        <v>2533</v>
      </c>
      <c r="D1520" s="215" t="s">
        <v>2556</v>
      </c>
      <c r="E1520" s="215" t="s">
        <v>2557</v>
      </c>
      <c r="F1520" s="65" t="s">
        <v>2535</v>
      </c>
      <c r="G1520" s="65" t="s">
        <v>154</v>
      </c>
      <c r="H1520" s="65" t="s">
        <v>154</v>
      </c>
      <c r="I1520" s="65"/>
      <c r="J1520" s="65" t="s">
        <v>9</v>
      </c>
      <c r="K1520" s="65" t="s">
        <v>9</v>
      </c>
      <c r="L1520" s="128">
        <v>0.25</v>
      </c>
      <c r="M1520" s="180">
        <f t="shared" si="912"/>
        <v>0.625</v>
      </c>
      <c r="N1520" s="128">
        <v>1.0</v>
      </c>
      <c r="O1520" s="129">
        <f t="shared" si="955"/>
        <v>0.625</v>
      </c>
      <c r="P1520" s="159">
        <v>0.05</v>
      </c>
      <c r="Q1520" s="208">
        <f t="shared" si="956"/>
        <v>0.65625</v>
      </c>
      <c r="R1520" s="132">
        <v>5.0</v>
      </c>
      <c r="S1520" s="132">
        <v>1.0</v>
      </c>
      <c r="T1520" s="65" t="s">
        <v>32</v>
      </c>
      <c r="U1520" s="26"/>
      <c r="V1520" s="26"/>
      <c r="W1520" s="26"/>
      <c r="X1520" s="26"/>
      <c r="Y1520" s="26"/>
      <c r="Z1520" s="26"/>
      <c r="AA1520" s="26"/>
      <c r="AB1520" s="26"/>
      <c r="AC1520" s="26"/>
    </row>
    <row r="1521" ht="33.75" customHeight="1">
      <c r="A1521" s="65" t="s">
        <v>2560</v>
      </c>
      <c r="B1521" s="215" t="s">
        <v>2429</v>
      </c>
      <c r="C1521" s="215" t="s">
        <v>2533</v>
      </c>
      <c r="D1521" s="215" t="s">
        <v>2556</v>
      </c>
      <c r="E1521" s="215" t="s">
        <v>2557</v>
      </c>
      <c r="F1521" s="65" t="s">
        <v>2535</v>
      </c>
      <c r="G1521" s="65" t="s">
        <v>154</v>
      </c>
      <c r="H1521" s="65" t="s">
        <v>154</v>
      </c>
      <c r="I1521" s="65"/>
      <c r="J1521" s="65" t="s">
        <v>9</v>
      </c>
      <c r="K1521" s="65" t="s">
        <v>9</v>
      </c>
      <c r="L1521" s="128">
        <v>0.0</v>
      </c>
      <c r="M1521" s="180">
        <f t="shared" si="912"/>
        <v>0</v>
      </c>
      <c r="N1521" s="128">
        <v>0.0</v>
      </c>
      <c r="O1521" s="129">
        <f t="shared" si="955"/>
        <v>0</v>
      </c>
      <c r="P1521" s="159">
        <v>0.0</v>
      </c>
      <c r="Q1521" s="208">
        <f t="shared" si="956"/>
        <v>0</v>
      </c>
      <c r="R1521" s="132">
        <v>5.0</v>
      </c>
      <c r="S1521" s="132">
        <v>1.0</v>
      </c>
      <c r="T1521" s="65" t="s">
        <v>70</v>
      </c>
      <c r="U1521" s="26"/>
      <c r="V1521" s="26"/>
      <c r="W1521" s="26"/>
      <c r="X1521" s="26"/>
      <c r="Y1521" s="26"/>
      <c r="Z1521" s="26"/>
      <c r="AA1521" s="26"/>
      <c r="AB1521" s="26"/>
      <c r="AC1521" s="26"/>
    </row>
    <row r="1522" ht="33.75" customHeight="1">
      <c r="A1522" s="98" t="s">
        <v>2561</v>
      </c>
      <c r="B1522" s="99" t="s">
        <v>2429</v>
      </c>
      <c r="C1522" s="99" t="s">
        <v>2533</v>
      </c>
      <c r="D1522" s="99" t="s">
        <v>2562</v>
      </c>
      <c r="E1522" s="99" t="s">
        <v>2563</v>
      </c>
      <c r="F1522" s="98" t="s">
        <v>2564</v>
      </c>
      <c r="G1522" s="98" t="s">
        <v>168</v>
      </c>
      <c r="H1522" s="98" t="s">
        <v>168</v>
      </c>
      <c r="I1522" s="98"/>
      <c r="J1522" s="98" t="s">
        <v>12</v>
      </c>
      <c r="K1522" s="100" t="s">
        <v>12</v>
      </c>
      <c r="L1522" s="101">
        <f>IF(COUNT(L1523:N1525)=0,"",SUM(L1523:L1525))</f>
        <v>0</v>
      </c>
      <c r="M1522" s="102">
        <f t="shared" si="912"/>
        <v>0</v>
      </c>
      <c r="N1522" s="101">
        <f>IF(COUNT(L1523:N1525)=0,"",SUM(N1523:N1525))</f>
        <v>0</v>
      </c>
      <c r="O1522" s="101">
        <f>IF(COUNT(O1523:O1525)=0,"",SUM(O1523:O1525))</f>
        <v>0</v>
      </c>
      <c r="P1522" s="103"/>
      <c r="Q1522" s="101">
        <f>IF(COUNT(Q1523:Q1525)=0,"",SUM(Q1523:Q1525))</f>
        <v>0</v>
      </c>
      <c r="R1522" s="104"/>
      <c r="S1522" s="104"/>
      <c r="T1522" s="98" t="s">
        <v>65</v>
      </c>
      <c r="U1522" s="26"/>
      <c r="V1522" s="26"/>
      <c r="W1522" s="26"/>
      <c r="X1522" s="105"/>
      <c r="Y1522" s="105"/>
      <c r="Z1522" s="105"/>
      <c r="AA1522" s="105"/>
      <c r="AB1522" s="105"/>
      <c r="AC1522" s="105"/>
    </row>
    <row r="1523" ht="33.75" customHeight="1">
      <c r="A1523" s="106" t="s">
        <v>2565</v>
      </c>
      <c r="B1523" s="107" t="s">
        <v>2429</v>
      </c>
      <c r="C1523" s="107" t="s">
        <v>2533</v>
      </c>
      <c r="D1523" s="107" t="s">
        <v>2562</v>
      </c>
      <c r="E1523" s="107" t="s">
        <v>2563</v>
      </c>
      <c r="F1523" s="106" t="s">
        <v>2564</v>
      </c>
      <c r="G1523" s="106" t="s">
        <v>168</v>
      </c>
      <c r="H1523" s="106" t="s">
        <v>168</v>
      </c>
      <c r="I1523" s="106"/>
      <c r="J1523" s="106" t="s">
        <v>12</v>
      </c>
      <c r="K1523" s="108" t="s">
        <v>12</v>
      </c>
      <c r="L1523" s="109"/>
      <c r="M1523" s="109">
        <f t="shared" si="912"/>
        <v>0</v>
      </c>
      <c r="N1523" s="109"/>
      <c r="O1523" s="109">
        <f t="shared" ref="O1523:O1525" si="957">IF(COUNT(L1523:N1523)=0,"",(L1523+4*M1523+N1523)/6)</f>
        <v>0</v>
      </c>
      <c r="P1523" s="110"/>
      <c r="Q1523" s="109">
        <f t="shared" ref="Q1523:Q1525" si="958">IF(O1523="","",IF(P1523="",O1523,O1523*(1+P1523)))</f>
        <v>0</v>
      </c>
      <c r="R1523" s="111"/>
      <c r="S1523" s="111"/>
      <c r="T1523" s="106" t="s">
        <v>31</v>
      </c>
      <c r="U1523" s="26"/>
      <c r="V1523" s="26"/>
      <c r="W1523" s="26"/>
      <c r="X1523" s="26"/>
      <c r="Y1523" s="26"/>
      <c r="Z1523" s="26"/>
      <c r="AA1523" s="26"/>
      <c r="AB1523" s="26"/>
      <c r="AC1523" s="26"/>
    </row>
    <row r="1524" ht="33.75" customHeight="1">
      <c r="A1524" s="106" t="s">
        <v>2566</v>
      </c>
      <c r="B1524" s="107" t="s">
        <v>2429</v>
      </c>
      <c r="C1524" s="107" t="s">
        <v>2533</v>
      </c>
      <c r="D1524" s="107" t="s">
        <v>2562</v>
      </c>
      <c r="E1524" s="107" t="s">
        <v>2563</v>
      </c>
      <c r="F1524" s="106" t="s">
        <v>2564</v>
      </c>
      <c r="G1524" s="106" t="s">
        <v>168</v>
      </c>
      <c r="H1524" s="106" t="s">
        <v>168</v>
      </c>
      <c r="I1524" s="106"/>
      <c r="J1524" s="106" t="s">
        <v>12</v>
      </c>
      <c r="K1524" s="108" t="s">
        <v>12</v>
      </c>
      <c r="L1524" s="109"/>
      <c r="M1524" s="109">
        <f t="shared" si="912"/>
        <v>0</v>
      </c>
      <c r="N1524" s="109"/>
      <c r="O1524" s="109">
        <f t="shared" si="957"/>
        <v>0</v>
      </c>
      <c r="P1524" s="110"/>
      <c r="Q1524" s="109">
        <f t="shared" si="958"/>
        <v>0</v>
      </c>
      <c r="R1524" s="111"/>
      <c r="S1524" s="111"/>
      <c r="T1524" s="106" t="s">
        <v>32</v>
      </c>
      <c r="U1524" s="26"/>
      <c r="V1524" s="26"/>
      <c r="W1524" s="26"/>
      <c r="X1524" s="26"/>
      <c r="Y1524" s="26"/>
      <c r="Z1524" s="26"/>
      <c r="AA1524" s="26"/>
      <c r="AB1524" s="26"/>
      <c r="AC1524" s="26"/>
    </row>
    <row r="1525" ht="33.75" customHeight="1">
      <c r="A1525" s="106" t="s">
        <v>2567</v>
      </c>
      <c r="B1525" s="107" t="s">
        <v>2429</v>
      </c>
      <c r="C1525" s="107" t="s">
        <v>2533</v>
      </c>
      <c r="D1525" s="107" t="s">
        <v>2562</v>
      </c>
      <c r="E1525" s="107" t="s">
        <v>2563</v>
      </c>
      <c r="F1525" s="106" t="s">
        <v>2564</v>
      </c>
      <c r="G1525" s="106" t="s">
        <v>168</v>
      </c>
      <c r="H1525" s="106" t="s">
        <v>168</v>
      </c>
      <c r="I1525" s="106"/>
      <c r="J1525" s="106" t="s">
        <v>12</v>
      </c>
      <c r="K1525" s="108" t="s">
        <v>12</v>
      </c>
      <c r="L1525" s="109"/>
      <c r="M1525" s="109">
        <f t="shared" si="912"/>
        <v>0</v>
      </c>
      <c r="N1525" s="109"/>
      <c r="O1525" s="109">
        <f t="shared" si="957"/>
        <v>0</v>
      </c>
      <c r="P1525" s="110"/>
      <c r="Q1525" s="109">
        <f t="shared" si="958"/>
        <v>0</v>
      </c>
      <c r="R1525" s="111"/>
      <c r="S1525" s="111"/>
      <c r="T1525" s="106" t="s">
        <v>70</v>
      </c>
      <c r="U1525" s="26"/>
      <c r="V1525" s="26"/>
      <c r="W1525" s="26"/>
      <c r="X1525" s="26"/>
      <c r="Y1525" s="26"/>
      <c r="Z1525" s="26"/>
      <c r="AA1525" s="26"/>
      <c r="AB1525" s="26"/>
      <c r="AC1525" s="26"/>
    </row>
    <row r="1526" ht="33.75" customHeight="1">
      <c r="A1526" s="112" t="s">
        <v>2568</v>
      </c>
      <c r="B1526" s="38" t="s">
        <v>2429</v>
      </c>
      <c r="C1526" s="38" t="s">
        <v>2569</v>
      </c>
      <c r="D1526" s="38" t="s">
        <v>2569</v>
      </c>
      <c r="E1526" s="113" t="s">
        <v>2570</v>
      </c>
      <c r="F1526" s="114"/>
      <c r="G1526" s="114"/>
      <c r="H1526" s="45"/>
      <c r="I1526" s="45"/>
      <c r="J1526" s="114"/>
      <c r="K1526" s="115"/>
      <c r="L1526" s="42">
        <f>IF(COUNT(L1527,L1531,L1535,L1539)=0,"",SUM(L1527,L1531,L1535,L1539))</f>
        <v>4.25</v>
      </c>
      <c r="M1526" s="42">
        <f t="shared" si="912"/>
        <v>9.375</v>
      </c>
      <c r="N1526" s="42">
        <f t="shared" ref="N1526:O1526" si="959">IF(COUNT(N1527,N1531,N1535,N1539)=0,"",SUM(N1527,N1531,N1535,N1539))</f>
        <v>14.5</v>
      </c>
      <c r="O1526" s="42">
        <f t="shared" si="959"/>
        <v>9.375</v>
      </c>
      <c r="P1526" s="43"/>
      <c r="Q1526" s="42">
        <f>IF(COUNT(Q1527,Q1531,Q1535,Q1539)=0,"",SUM(Q1527,Q1531,Q1535,Q1539))</f>
        <v>10.25</v>
      </c>
      <c r="R1526" s="44"/>
      <c r="S1526" s="44"/>
      <c r="T1526" s="45" t="s">
        <v>62</v>
      </c>
      <c r="U1526" s="26"/>
      <c r="V1526" s="26"/>
      <c r="W1526" s="26"/>
      <c r="X1526" s="46">
        <f t="shared" ref="X1526:AA1526" si="960">L1526</f>
        <v>4.25</v>
      </c>
      <c r="Y1526" s="46">
        <f t="shared" si="960"/>
        <v>9.375</v>
      </c>
      <c r="Z1526" s="46">
        <f t="shared" si="960"/>
        <v>14.5</v>
      </c>
      <c r="AA1526" s="46">
        <f t="shared" si="960"/>
        <v>9.375</v>
      </c>
      <c r="AB1526" s="26"/>
      <c r="AC1526" s="46">
        <f>Q1526</f>
        <v>10.25</v>
      </c>
    </row>
    <row r="1527" ht="33.75" customHeight="1">
      <c r="A1527" s="116" t="s">
        <v>2571</v>
      </c>
      <c r="B1527" s="77" t="s">
        <v>2429</v>
      </c>
      <c r="C1527" s="77" t="s">
        <v>2569</v>
      </c>
      <c r="D1527" s="77" t="s">
        <v>2572</v>
      </c>
      <c r="E1527" s="117" t="s">
        <v>2573</v>
      </c>
      <c r="F1527" s="118" t="s">
        <v>2432</v>
      </c>
      <c r="G1527" s="118" t="s">
        <v>168</v>
      </c>
      <c r="H1527" s="119" t="s">
        <v>168</v>
      </c>
      <c r="I1527" s="54"/>
      <c r="J1527" s="118" t="s">
        <v>9</v>
      </c>
      <c r="K1527" s="120" t="s">
        <v>9</v>
      </c>
      <c r="L1527" s="202">
        <f>IF(COUNT(L1528:N1530)=0,"",SUM(L1528:L1530))</f>
        <v>1.25</v>
      </c>
      <c r="M1527" s="174">
        <f t="shared" si="912"/>
        <v>2.875</v>
      </c>
      <c r="N1527" s="202">
        <f>IF(COUNT(L1528:N1530)=0,"",SUM(N1528:N1530))</f>
        <v>4.5</v>
      </c>
      <c r="O1527" s="202">
        <f>IF(COUNT(O1528:O1530)=0,"",SUM(O1528:O1530))</f>
        <v>2.875</v>
      </c>
      <c r="P1527" s="210"/>
      <c r="Q1527" s="202">
        <f>IF(COUNT(Q1528:Q1530)=0,"",SUM(Q1528:Q1530))</f>
        <v>3.13125</v>
      </c>
      <c r="R1527" s="163"/>
      <c r="S1527" s="163"/>
      <c r="T1527" s="54" t="s">
        <v>65</v>
      </c>
      <c r="U1527" s="26"/>
      <c r="V1527" s="26"/>
      <c r="W1527" s="26"/>
      <c r="X1527" s="46"/>
      <c r="Y1527" s="46"/>
      <c r="Z1527" s="46"/>
      <c r="AA1527" s="46"/>
      <c r="AB1527" s="232"/>
      <c r="AC1527" s="46"/>
    </row>
    <row r="1528" ht="33.75" customHeight="1">
      <c r="A1528" s="65" t="s">
        <v>2574</v>
      </c>
      <c r="B1528" s="215" t="s">
        <v>2429</v>
      </c>
      <c r="C1528" s="215" t="s">
        <v>2569</v>
      </c>
      <c r="D1528" s="215" t="s">
        <v>2572</v>
      </c>
      <c r="E1528" s="215" t="s">
        <v>2573</v>
      </c>
      <c r="F1528" s="65" t="s">
        <v>2432</v>
      </c>
      <c r="G1528" s="65" t="s">
        <v>168</v>
      </c>
      <c r="H1528" s="65" t="s">
        <v>168</v>
      </c>
      <c r="I1528" s="65"/>
      <c r="J1528" s="65" t="s">
        <v>9</v>
      </c>
      <c r="K1528" s="65" t="s">
        <v>9</v>
      </c>
      <c r="L1528" s="128">
        <v>0.25</v>
      </c>
      <c r="M1528" s="180">
        <f t="shared" si="912"/>
        <v>0.625</v>
      </c>
      <c r="N1528" s="128">
        <v>1.0</v>
      </c>
      <c r="O1528" s="129">
        <f t="shared" ref="O1528:O1530" si="961">IF(COUNT(L1528:N1528)=0,"",(L1528+4*M1528+N1528)/6)</f>
        <v>0.625</v>
      </c>
      <c r="P1528" s="159">
        <v>0.05</v>
      </c>
      <c r="Q1528" s="208">
        <f t="shared" ref="Q1528:Q1530" si="962">IF(O1528="","",IF(P1528="",O1528,O1528*(1+P1528)))</f>
        <v>0.65625</v>
      </c>
      <c r="R1528" s="132">
        <v>5.0</v>
      </c>
      <c r="S1528" s="132">
        <v>1.0</v>
      </c>
      <c r="T1528" s="65" t="s">
        <v>31</v>
      </c>
      <c r="U1528" s="26"/>
      <c r="V1528" s="26"/>
      <c r="W1528" s="26"/>
      <c r="X1528" s="26"/>
      <c r="Y1528" s="26"/>
      <c r="Z1528" s="26"/>
      <c r="AA1528" s="26"/>
      <c r="AB1528" s="26"/>
      <c r="AC1528" s="26"/>
    </row>
    <row r="1529" ht="33.75" customHeight="1">
      <c r="A1529" s="65" t="s">
        <v>2575</v>
      </c>
      <c r="B1529" s="215" t="s">
        <v>2429</v>
      </c>
      <c r="C1529" s="215" t="s">
        <v>2569</v>
      </c>
      <c r="D1529" s="215" t="s">
        <v>2572</v>
      </c>
      <c r="E1529" s="215" t="s">
        <v>2573</v>
      </c>
      <c r="F1529" s="65" t="s">
        <v>2432</v>
      </c>
      <c r="G1529" s="65" t="s">
        <v>168</v>
      </c>
      <c r="H1529" s="65" t="s">
        <v>168</v>
      </c>
      <c r="I1529" s="65"/>
      <c r="J1529" s="65" t="s">
        <v>9</v>
      </c>
      <c r="K1529" s="65" t="s">
        <v>9</v>
      </c>
      <c r="L1529" s="128">
        <v>0.75</v>
      </c>
      <c r="M1529" s="180">
        <f t="shared" si="912"/>
        <v>1.625</v>
      </c>
      <c r="N1529" s="128">
        <v>2.5</v>
      </c>
      <c r="O1529" s="129">
        <f t="shared" si="961"/>
        <v>1.625</v>
      </c>
      <c r="P1529" s="159">
        <v>0.1</v>
      </c>
      <c r="Q1529" s="208">
        <f t="shared" si="962"/>
        <v>1.7875</v>
      </c>
      <c r="R1529" s="132">
        <v>4.0</v>
      </c>
      <c r="S1529" s="132">
        <v>2.0</v>
      </c>
      <c r="T1529" s="65" t="s">
        <v>32</v>
      </c>
      <c r="U1529" s="26"/>
      <c r="V1529" s="26"/>
      <c r="W1529" s="26"/>
      <c r="X1529" s="26"/>
      <c r="Y1529" s="26"/>
      <c r="Z1529" s="26"/>
      <c r="AA1529" s="26"/>
      <c r="AB1529" s="26"/>
      <c r="AC1529" s="26"/>
    </row>
    <row r="1530" ht="33.75" customHeight="1">
      <c r="A1530" s="65" t="s">
        <v>2576</v>
      </c>
      <c r="B1530" s="215" t="s">
        <v>2429</v>
      </c>
      <c r="C1530" s="215" t="s">
        <v>2569</v>
      </c>
      <c r="D1530" s="215" t="s">
        <v>2572</v>
      </c>
      <c r="E1530" s="215" t="s">
        <v>2573</v>
      </c>
      <c r="F1530" s="65" t="s">
        <v>2432</v>
      </c>
      <c r="G1530" s="65" t="s">
        <v>168</v>
      </c>
      <c r="H1530" s="65" t="s">
        <v>168</v>
      </c>
      <c r="I1530" s="65"/>
      <c r="J1530" s="65" t="s">
        <v>9</v>
      </c>
      <c r="K1530" s="65" t="s">
        <v>9</v>
      </c>
      <c r="L1530" s="128">
        <v>0.25</v>
      </c>
      <c r="M1530" s="180">
        <f t="shared" si="912"/>
        <v>0.625</v>
      </c>
      <c r="N1530" s="128">
        <v>1.0</v>
      </c>
      <c r="O1530" s="129">
        <f t="shared" si="961"/>
        <v>0.625</v>
      </c>
      <c r="P1530" s="159">
        <v>0.1</v>
      </c>
      <c r="Q1530" s="208">
        <f t="shared" si="962"/>
        <v>0.6875</v>
      </c>
      <c r="R1530" s="132">
        <v>4.0</v>
      </c>
      <c r="S1530" s="132">
        <v>2.0</v>
      </c>
      <c r="T1530" s="65" t="s">
        <v>70</v>
      </c>
      <c r="U1530" s="26"/>
      <c r="V1530" s="26"/>
      <c r="W1530" s="26"/>
      <c r="X1530" s="26"/>
      <c r="Y1530" s="26"/>
      <c r="Z1530" s="26"/>
      <c r="AA1530" s="26"/>
      <c r="AB1530" s="26"/>
      <c r="AC1530" s="26"/>
    </row>
    <row r="1531" ht="33.75" customHeight="1">
      <c r="A1531" s="54" t="s">
        <v>2577</v>
      </c>
      <c r="B1531" s="209" t="s">
        <v>2429</v>
      </c>
      <c r="C1531" s="209" t="s">
        <v>2569</v>
      </c>
      <c r="D1531" s="209" t="s">
        <v>2578</v>
      </c>
      <c r="E1531" s="209" t="s">
        <v>2579</v>
      </c>
      <c r="F1531" s="54" t="s">
        <v>2571</v>
      </c>
      <c r="G1531" s="54" t="s">
        <v>168</v>
      </c>
      <c r="H1531" s="54" t="s">
        <v>168</v>
      </c>
      <c r="I1531" s="54"/>
      <c r="J1531" s="54" t="s">
        <v>9</v>
      </c>
      <c r="K1531" s="54" t="s">
        <v>9</v>
      </c>
      <c r="L1531" s="202">
        <f>IF(COUNT(L1532:N1534)=0,"",SUM(L1532:L1534))</f>
        <v>1.25</v>
      </c>
      <c r="M1531" s="174">
        <f t="shared" si="912"/>
        <v>2.625</v>
      </c>
      <c r="N1531" s="202">
        <f>IF(COUNT(L1532:N1534)=0,"",SUM(N1532:N1534))</f>
        <v>4</v>
      </c>
      <c r="O1531" s="202">
        <f>IF(COUNT(O1532:O1534)=0,"",SUM(O1532:O1534))</f>
        <v>2.625</v>
      </c>
      <c r="P1531" s="210"/>
      <c r="Q1531" s="202">
        <f>IF(COUNT(Q1532:Q1534)=0,"",SUM(Q1532:Q1534))</f>
        <v>2.8875</v>
      </c>
      <c r="R1531" s="163"/>
      <c r="S1531" s="163"/>
      <c r="T1531" s="54" t="s">
        <v>65</v>
      </c>
      <c r="U1531" s="26"/>
      <c r="V1531" s="26"/>
      <c r="W1531" s="26"/>
      <c r="X1531" s="105"/>
      <c r="Y1531" s="105"/>
      <c r="Z1531" s="105"/>
      <c r="AA1531" s="105"/>
      <c r="AB1531" s="105"/>
      <c r="AC1531" s="105"/>
    </row>
    <row r="1532" ht="33.75" customHeight="1">
      <c r="A1532" s="65" t="s">
        <v>2580</v>
      </c>
      <c r="B1532" s="215" t="s">
        <v>2429</v>
      </c>
      <c r="C1532" s="215" t="s">
        <v>2569</v>
      </c>
      <c r="D1532" s="215" t="s">
        <v>2578</v>
      </c>
      <c r="E1532" s="215" t="s">
        <v>2579</v>
      </c>
      <c r="F1532" s="65" t="s">
        <v>2571</v>
      </c>
      <c r="G1532" s="65" t="s">
        <v>168</v>
      </c>
      <c r="H1532" s="65" t="s">
        <v>168</v>
      </c>
      <c r="I1532" s="65"/>
      <c r="J1532" s="65" t="s">
        <v>9</v>
      </c>
      <c r="K1532" s="65" t="s">
        <v>9</v>
      </c>
      <c r="L1532" s="128">
        <v>0.5</v>
      </c>
      <c r="M1532" s="180">
        <f t="shared" si="912"/>
        <v>1</v>
      </c>
      <c r="N1532" s="128">
        <v>1.5</v>
      </c>
      <c r="O1532" s="129">
        <f t="shared" ref="O1532:O1534" si="963">IF(COUNT(L1532:N1532)=0,"",(L1532+4*M1532+N1532)/6)</f>
        <v>1</v>
      </c>
      <c r="P1532" s="159">
        <v>0.1</v>
      </c>
      <c r="Q1532" s="208">
        <f t="shared" ref="Q1532:Q1534" si="964">IF(O1532="","",IF(P1532="",O1532,O1532*(1+P1532)))</f>
        <v>1.1</v>
      </c>
      <c r="R1532" s="132">
        <v>4.0</v>
      </c>
      <c r="S1532" s="132">
        <v>2.0</v>
      </c>
      <c r="T1532" s="65" t="s">
        <v>31</v>
      </c>
      <c r="U1532" s="26"/>
      <c r="V1532" s="26"/>
      <c r="W1532" s="26"/>
      <c r="X1532" s="26"/>
      <c r="Y1532" s="26"/>
      <c r="Z1532" s="26"/>
      <c r="AA1532" s="26"/>
      <c r="AB1532" s="26"/>
      <c r="AC1532" s="26"/>
    </row>
    <row r="1533" ht="33.75" customHeight="1">
      <c r="A1533" s="65" t="s">
        <v>2581</v>
      </c>
      <c r="B1533" s="215" t="s">
        <v>2429</v>
      </c>
      <c r="C1533" s="215" t="s">
        <v>2569</v>
      </c>
      <c r="D1533" s="215" t="s">
        <v>2578</v>
      </c>
      <c r="E1533" s="215" t="s">
        <v>2579</v>
      </c>
      <c r="F1533" s="65" t="s">
        <v>2571</v>
      </c>
      <c r="G1533" s="65" t="s">
        <v>168</v>
      </c>
      <c r="H1533" s="65" t="s">
        <v>168</v>
      </c>
      <c r="I1533" s="65"/>
      <c r="J1533" s="65" t="s">
        <v>9</v>
      </c>
      <c r="K1533" s="65" t="s">
        <v>9</v>
      </c>
      <c r="L1533" s="128">
        <v>0.5</v>
      </c>
      <c r="M1533" s="180">
        <f t="shared" si="912"/>
        <v>1</v>
      </c>
      <c r="N1533" s="128">
        <v>1.5</v>
      </c>
      <c r="O1533" s="129">
        <f t="shared" si="963"/>
        <v>1</v>
      </c>
      <c r="P1533" s="159">
        <v>0.1</v>
      </c>
      <c r="Q1533" s="208">
        <f t="shared" si="964"/>
        <v>1.1</v>
      </c>
      <c r="R1533" s="132">
        <v>4.0</v>
      </c>
      <c r="S1533" s="132">
        <v>2.0</v>
      </c>
      <c r="T1533" s="65" t="s">
        <v>32</v>
      </c>
      <c r="U1533" s="26"/>
      <c r="V1533" s="26"/>
      <c r="W1533" s="26"/>
      <c r="X1533" s="26"/>
      <c r="Y1533" s="26"/>
      <c r="Z1533" s="26"/>
      <c r="AA1533" s="26"/>
      <c r="AB1533" s="26"/>
      <c r="AC1533" s="26"/>
    </row>
    <row r="1534" ht="33.75" customHeight="1">
      <c r="A1534" s="65" t="s">
        <v>2582</v>
      </c>
      <c r="B1534" s="215" t="s">
        <v>2429</v>
      </c>
      <c r="C1534" s="215" t="s">
        <v>2569</v>
      </c>
      <c r="D1534" s="215" t="s">
        <v>2578</v>
      </c>
      <c r="E1534" s="215" t="s">
        <v>2579</v>
      </c>
      <c r="F1534" s="65" t="s">
        <v>2571</v>
      </c>
      <c r="G1534" s="65" t="s">
        <v>168</v>
      </c>
      <c r="H1534" s="65" t="s">
        <v>168</v>
      </c>
      <c r="I1534" s="65"/>
      <c r="J1534" s="65" t="s">
        <v>9</v>
      </c>
      <c r="K1534" s="65" t="s">
        <v>9</v>
      </c>
      <c r="L1534" s="128">
        <v>0.25</v>
      </c>
      <c r="M1534" s="180">
        <f t="shared" si="912"/>
        <v>0.625</v>
      </c>
      <c r="N1534" s="128">
        <v>1.0</v>
      </c>
      <c r="O1534" s="129">
        <f t="shared" si="963"/>
        <v>0.625</v>
      </c>
      <c r="P1534" s="159">
        <v>0.1</v>
      </c>
      <c r="Q1534" s="208">
        <f t="shared" si="964"/>
        <v>0.6875</v>
      </c>
      <c r="R1534" s="132">
        <v>4.0</v>
      </c>
      <c r="S1534" s="132">
        <v>2.0</v>
      </c>
      <c r="T1534" s="65" t="s">
        <v>70</v>
      </c>
      <c r="U1534" s="26"/>
      <c r="V1534" s="26"/>
      <c r="W1534" s="26"/>
      <c r="X1534" s="26"/>
      <c r="Y1534" s="26"/>
      <c r="Z1534" s="26"/>
      <c r="AA1534" s="26"/>
      <c r="AB1534" s="26"/>
      <c r="AC1534" s="26"/>
    </row>
    <row r="1535" ht="33.75" customHeight="1">
      <c r="A1535" s="54" t="s">
        <v>2583</v>
      </c>
      <c r="B1535" s="209" t="s">
        <v>2429</v>
      </c>
      <c r="C1535" s="209" t="s">
        <v>2569</v>
      </c>
      <c r="D1535" s="209" t="s">
        <v>2584</v>
      </c>
      <c r="E1535" s="209" t="s">
        <v>2585</v>
      </c>
      <c r="F1535" s="54" t="s">
        <v>2586</v>
      </c>
      <c r="G1535" s="54" t="s">
        <v>168</v>
      </c>
      <c r="H1535" s="54" t="s">
        <v>168</v>
      </c>
      <c r="I1535" s="54"/>
      <c r="J1535" s="54" t="s">
        <v>9</v>
      </c>
      <c r="K1535" s="54" t="s">
        <v>9</v>
      </c>
      <c r="L1535" s="202">
        <f>IF(COUNT(L1536:N1538)=0,"",SUM(L1536:L1538))</f>
        <v>1.25</v>
      </c>
      <c r="M1535" s="174">
        <f t="shared" si="912"/>
        <v>2.875</v>
      </c>
      <c r="N1535" s="202">
        <f>IF(COUNT(L1536:N1538)=0,"",SUM(N1536:N1538))</f>
        <v>4.5</v>
      </c>
      <c r="O1535" s="202">
        <f>IF(COUNT(O1536:O1538)=0,"",SUM(O1536:O1538))</f>
        <v>2.875</v>
      </c>
      <c r="P1535" s="210"/>
      <c r="Q1535" s="202">
        <f>IF(COUNT(Q1536:Q1538)=0,"",SUM(Q1536:Q1538))</f>
        <v>3.13125</v>
      </c>
      <c r="R1535" s="163"/>
      <c r="S1535" s="163"/>
      <c r="T1535" s="54" t="s">
        <v>65</v>
      </c>
      <c r="U1535" s="26"/>
      <c r="V1535" s="26"/>
      <c r="W1535" s="26"/>
      <c r="X1535" s="105"/>
      <c r="Y1535" s="105"/>
      <c r="Z1535" s="105"/>
      <c r="AA1535" s="105"/>
      <c r="AB1535" s="105"/>
      <c r="AC1535" s="105"/>
    </row>
    <row r="1536" ht="33.75" customHeight="1">
      <c r="A1536" s="65" t="s">
        <v>2587</v>
      </c>
      <c r="B1536" s="215" t="s">
        <v>2429</v>
      </c>
      <c r="C1536" s="215" t="s">
        <v>2569</v>
      </c>
      <c r="D1536" s="215" t="s">
        <v>2584</v>
      </c>
      <c r="E1536" s="215" t="s">
        <v>2585</v>
      </c>
      <c r="F1536" s="65" t="s">
        <v>2586</v>
      </c>
      <c r="G1536" s="65" t="s">
        <v>168</v>
      </c>
      <c r="H1536" s="65" t="s">
        <v>168</v>
      </c>
      <c r="I1536" s="65"/>
      <c r="J1536" s="65" t="s">
        <v>9</v>
      </c>
      <c r="K1536" s="65" t="s">
        <v>9</v>
      </c>
      <c r="L1536" s="128">
        <v>0.25</v>
      </c>
      <c r="M1536" s="180">
        <f t="shared" si="912"/>
        <v>0.625</v>
      </c>
      <c r="N1536" s="128">
        <v>1.0</v>
      </c>
      <c r="O1536" s="129">
        <f t="shared" ref="O1536:O1538" si="965">IF(COUNT(L1536:N1536)=0,"",(L1536+4*M1536+N1536)/6)</f>
        <v>0.625</v>
      </c>
      <c r="P1536" s="159">
        <v>0.05</v>
      </c>
      <c r="Q1536" s="208">
        <f t="shared" ref="Q1536:Q1538" si="966">IF(O1536="","",IF(P1536="",O1536,O1536*(1+P1536)))</f>
        <v>0.65625</v>
      </c>
      <c r="R1536" s="132">
        <v>5.0</v>
      </c>
      <c r="S1536" s="132">
        <v>1.0</v>
      </c>
      <c r="T1536" s="65" t="s">
        <v>31</v>
      </c>
      <c r="U1536" s="26"/>
      <c r="V1536" s="26"/>
      <c r="W1536" s="26"/>
      <c r="X1536" s="26"/>
      <c r="Y1536" s="26"/>
      <c r="Z1536" s="26"/>
      <c r="AA1536" s="26"/>
      <c r="AB1536" s="26"/>
      <c r="AC1536" s="26"/>
    </row>
    <row r="1537" ht="33.75" customHeight="1">
      <c r="A1537" s="65" t="s">
        <v>2588</v>
      </c>
      <c r="B1537" s="215" t="s">
        <v>2429</v>
      </c>
      <c r="C1537" s="215" t="s">
        <v>2569</v>
      </c>
      <c r="D1537" s="215" t="s">
        <v>2584</v>
      </c>
      <c r="E1537" s="215" t="s">
        <v>2585</v>
      </c>
      <c r="F1537" s="65" t="s">
        <v>2586</v>
      </c>
      <c r="G1537" s="65" t="s">
        <v>168</v>
      </c>
      <c r="H1537" s="65" t="s">
        <v>168</v>
      </c>
      <c r="I1537" s="65"/>
      <c r="J1537" s="65" t="s">
        <v>9</v>
      </c>
      <c r="K1537" s="65" t="s">
        <v>9</v>
      </c>
      <c r="L1537" s="128">
        <v>0.75</v>
      </c>
      <c r="M1537" s="180">
        <f t="shared" si="912"/>
        <v>1.625</v>
      </c>
      <c r="N1537" s="128">
        <v>2.5</v>
      </c>
      <c r="O1537" s="129">
        <f t="shared" si="965"/>
        <v>1.625</v>
      </c>
      <c r="P1537" s="159">
        <v>0.1</v>
      </c>
      <c r="Q1537" s="208">
        <f t="shared" si="966"/>
        <v>1.7875</v>
      </c>
      <c r="R1537" s="132">
        <v>4.0</v>
      </c>
      <c r="S1537" s="132">
        <v>2.0</v>
      </c>
      <c r="T1537" s="65" t="s">
        <v>32</v>
      </c>
      <c r="U1537" s="26"/>
      <c r="V1537" s="26"/>
      <c r="W1537" s="26"/>
      <c r="X1537" s="26"/>
      <c r="Y1537" s="26"/>
      <c r="Z1537" s="26"/>
      <c r="AA1537" s="26"/>
      <c r="AB1537" s="26"/>
      <c r="AC1537" s="26"/>
    </row>
    <row r="1538" ht="33.75" customHeight="1">
      <c r="A1538" s="65" t="s">
        <v>2589</v>
      </c>
      <c r="B1538" s="215" t="s">
        <v>2429</v>
      </c>
      <c r="C1538" s="215" t="s">
        <v>2569</v>
      </c>
      <c r="D1538" s="215" t="s">
        <v>2584</v>
      </c>
      <c r="E1538" s="215" t="s">
        <v>2585</v>
      </c>
      <c r="F1538" s="65" t="s">
        <v>2586</v>
      </c>
      <c r="G1538" s="65" t="s">
        <v>168</v>
      </c>
      <c r="H1538" s="65" t="s">
        <v>168</v>
      </c>
      <c r="I1538" s="65"/>
      <c r="J1538" s="65" t="s">
        <v>9</v>
      </c>
      <c r="K1538" s="65" t="s">
        <v>9</v>
      </c>
      <c r="L1538" s="128">
        <v>0.25</v>
      </c>
      <c r="M1538" s="180">
        <f t="shared" si="912"/>
        <v>0.625</v>
      </c>
      <c r="N1538" s="128">
        <v>1.0</v>
      </c>
      <c r="O1538" s="129">
        <f t="shared" si="965"/>
        <v>0.625</v>
      </c>
      <c r="P1538" s="159">
        <v>0.1</v>
      </c>
      <c r="Q1538" s="208">
        <f t="shared" si="966"/>
        <v>0.6875</v>
      </c>
      <c r="R1538" s="132">
        <v>4.0</v>
      </c>
      <c r="S1538" s="132">
        <v>2.0</v>
      </c>
      <c r="T1538" s="65" t="s">
        <v>70</v>
      </c>
      <c r="U1538" s="26"/>
      <c r="V1538" s="26"/>
      <c r="W1538" s="26"/>
      <c r="X1538" s="26"/>
      <c r="Y1538" s="26"/>
      <c r="Z1538" s="26"/>
      <c r="AA1538" s="26"/>
      <c r="AB1538" s="26"/>
      <c r="AC1538" s="26"/>
    </row>
    <row r="1539" ht="33.75" customHeight="1">
      <c r="A1539" s="54" t="s">
        <v>2590</v>
      </c>
      <c r="B1539" s="209" t="s">
        <v>2429</v>
      </c>
      <c r="C1539" s="209" t="s">
        <v>2569</v>
      </c>
      <c r="D1539" s="209" t="s">
        <v>2591</v>
      </c>
      <c r="E1539" s="209" t="s">
        <v>2592</v>
      </c>
      <c r="F1539" s="54" t="s">
        <v>2571</v>
      </c>
      <c r="G1539" s="54" t="s">
        <v>168</v>
      </c>
      <c r="H1539" s="54" t="s">
        <v>168</v>
      </c>
      <c r="I1539" s="54"/>
      <c r="J1539" s="54" t="s">
        <v>9</v>
      </c>
      <c r="K1539" s="54" t="s">
        <v>9</v>
      </c>
      <c r="L1539" s="202">
        <f>IF(COUNT(L1540:N1542)=0,"",SUM(L1540:L1542))</f>
        <v>0.5</v>
      </c>
      <c r="M1539" s="174">
        <f t="shared" si="912"/>
        <v>1</v>
      </c>
      <c r="N1539" s="202">
        <f>IF(COUNT(L1540:N1542)=0,"",SUM(N1540:N1542))</f>
        <v>1.5</v>
      </c>
      <c r="O1539" s="202">
        <f>IF(COUNT(O1540:O1542)=0,"",SUM(O1540:O1542))</f>
        <v>1</v>
      </c>
      <c r="P1539" s="210"/>
      <c r="Q1539" s="202">
        <f>IF(COUNT(Q1540:Q1542)=0,"",SUM(Q1540:Q1542))</f>
        <v>1.1</v>
      </c>
      <c r="R1539" s="163"/>
      <c r="S1539" s="163"/>
      <c r="T1539" s="54" t="s">
        <v>65</v>
      </c>
      <c r="U1539" s="26"/>
      <c r="V1539" s="26"/>
      <c r="W1539" s="26"/>
      <c r="X1539" s="105"/>
      <c r="Y1539" s="105"/>
      <c r="Z1539" s="105"/>
      <c r="AA1539" s="105"/>
      <c r="AB1539" s="105"/>
      <c r="AC1539" s="105"/>
    </row>
    <row r="1540" ht="33.75" customHeight="1">
      <c r="A1540" s="65" t="s">
        <v>2593</v>
      </c>
      <c r="B1540" s="215" t="s">
        <v>2429</v>
      </c>
      <c r="C1540" s="215" t="s">
        <v>2569</v>
      </c>
      <c r="D1540" s="215" t="s">
        <v>2591</v>
      </c>
      <c r="E1540" s="215" t="s">
        <v>2592</v>
      </c>
      <c r="F1540" s="65" t="s">
        <v>2571</v>
      </c>
      <c r="G1540" s="65" t="s">
        <v>168</v>
      </c>
      <c r="H1540" s="65" t="s">
        <v>168</v>
      </c>
      <c r="I1540" s="65"/>
      <c r="J1540" s="65" t="s">
        <v>9</v>
      </c>
      <c r="K1540" s="65" t="s">
        <v>9</v>
      </c>
      <c r="L1540" s="128">
        <v>0.0</v>
      </c>
      <c r="M1540" s="180">
        <f t="shared" si="912"/>
        <v>0</v>
      </c>
      <c r="N1540" s="128">
        <v>0.0</v>
      </c>
      <c r="O1540" s="129">
        <f t="shared" ref="O1540:O1542" si="967">IF(COUNT(L1540:N1540)=0,"",(L1540+4*M1540+N1540)/6)</f>
        <v>0</v>
      </c>
      <c r="P1540" s="159">
        <v>0.0</v>
      </c>
      <c r="Q1540" s="208">
        <f t="shared" ref="Q1540:Q1542" si="968">IF(O1540="","",IF(P1540="",O1540,O1540*(1+P1540)))</f>
        <v>0</v>
      </c>
      <c r="R1540" s="132">
        <v>5.0</v>
      </c>
      <c r="S1540" s="132">
        <v>1.0</v>
      </c>
      <c r="T1540" s="65" t="s">
        <v>31</v>
      </c>
      <c r="U1540" s="26"/>
      <c r="V1540" s="26"/>
      <c r="W1540" s="26"/>
      <c r="X1540" s="26"/>
      <c r="Y1540" s="26"/>
      <c r="Z1540" s="26"/>
      <c r="AA1540" s="26"/>
      <c r="AB1540" s="26"/>
      <c r="AC1540" s="26"/>
    </row>
    <row r="1541" ht="33.75" customHeight="1">
      <c r="A1541" s="65" t="s">
        <v>2594</v>
      </c>
      <c r="B1541" s="215" t="s">
        <v>2429</v>
      </c>
      <c r="C1541" s="215" t="s">
        <v>2569</v>
      </c>
      <c r="D1541" s="215" t="s">
        <v>2591</v>
      </c>
      <c r="E1541" s="215" t="s">
        <v>2592</v>
      </c>
      <c r="F1541" s="65" t="s">
        <v>2571</v>
      </c>
      <c r="G1541" s="65" t="s">
        <v>168</v>
      </c>
      <c r="H1541" s="65" t="s">
        <v>168</v>
      </c>
      <c r="I1541" s="65"/>
      <c r="J1541" s="65" t="s">
        <v>9</v>
      </c>
      <c r="K1541" s="65" t="s">
        <v>9</v>
      </c>
      <c r="L1541" s="128">
        <v>0.5</v>
      </c>
      <c r="M1541" s="180">
        <f t="shared" si="912"/>
        <v>1</v>
      </c>
      <c r="N1541" s="128">
        <v>1.5</v>
      </c>
      <c r="O1541" s="129">
        <f t="shared" si="967"/>
        <v>1</v>
      </c>
      <c r="P1541" s="159">
        <v>0.1</v>
      </c>
      <c r="Q1541" s="208">
        <f t="shared" si="968"/>
        <v>1.1</v>
      </c>
      <c r="R1541" s="132">
        <v>4.0</v>
      </c>
      <c r="S1541" s="132">
        <v>2.0</v>
      </c>
      <c r="T1541" s="65" t="s">
        <v>32</v>
      </c>
      <c r="U1541" s="26"/>
      <c r="V1541" s="26"/>
      <c r="W1541" s="26"/>
      <c r="X1541" s="26"/>
      <c r="Y1541" s="26"/>
      <c r="Z1541" s="26"/>
      <c r="AA1541" s="26"/>
      <c r="AB1541" s="26"/>
      <c r="AC1541" s="26"/>
    </row>
    <row r="1542" ht="33.75" customHeight="1">
      <c r="A1542" s="65" t="s">
        <v>2595</v>
      </c>
      <c r="B1542" s="215" t="s">
        <v>2429</v>
      </c>
      <c r="C1542" s="215" t="s">
        <v>2569</v>
      </c>
      <c r="D1542" s="215" t="s">
        <v>2591</v>
      </c>
      <c r="E1542" s="215" t="s">
        <v>2592</v>
      </c>
      <c r="F1542" s="65" t="s">
        <v>2571</v>
      </c>
      <c r="G1542" s="65" t="s">
        <v>168</v>
      </c>
      <c r="H1542" s="65" t="s">
        <v>168</v>
      </c>
      <c r="I1542" s="65"/>
      <c r="J1542" s="65" t="s">
        <v>9</v>
      </c>
      <c r="K1542" s="65" t="s">
        <v>9</v>
      </c>
      <c r="L1542" s="128">
        <v>0.0</v>
      </c>
      <c r="M1542" s="180">
        <f t="shared" si="912"/>
        <v>0</v>
      </c>
      <c r="N1542" s="128">
        <v>0.0</v>
      </c>
      <c r="O1542" s="129">
        <f t="shared" si="967"/>
        <v>0</v>
      </c>
      <c r="P1542" s="159">
        <v>0.0</v>
      </c>
      <c r="Q1542" s="208">
        <f t="shared" si="968"/>
        <v>0</v>
      </c>
      <c r="R1542" s="132">
        <v>5.0</v>
      </c>
      <c r="S1542" s="132">
        <v>1.0</v>
      </c>
      <c r="T1542" s="65" t="s">
        <v>70</v>
      </c>
      <c r="U1542" s="26"/>
      <c r="V1542" s="26"/>
      <c r="W1542" s="26"/>
      <c r="X1542" s="26"/>
      <c r="Y1542" s="26"/>
      <c r="Z1542" s="26"/>
      <c r="AA1542" s="26"/>
      <c r="AB1542" s="26"/>
      <c r="AC1542" s="26"/>
    </row>
    <row r="1543" ht="33.75" customHeight="1">
      <c r="A1543" s="112" t="s">
        <v>2596</v>
      </c>
      <c r="B1543" s="38" t="s">
        <v>2429</v>
      </c>
      <c r="C1543" s="38" t="s">
        <v>2597</v>
      </c>
      <c r="D1543" s="38" t="s">
        <v>2597</v>
      </c>
      <c r="E1543" s="113" t="s">
        <v>2598</v>
      </c>
      <c r="F1543" s="114"/>
      <c r="G1543" s="114"/>
      <c r="H1543" s="45"/>
      <c r="I1543" s="45"/>
      <c r="J1543" s="114" t="s">
        <v>854</v>
      </c>
      <c r="K1543" s="115" t="s">
        <v>854</v>
      </c>
      <c r="L1543" s="42">
        <f>IF(COUNT(L1544,L1548,L1552,L1556)=0,"",SUM(L1544,L1548,L1552,L1556))</f>
        <v>2.75</v>
      </c>
      <c r="M1543" s="42">
        <f t="shared" si="912"/>
        <v>6.125</v>
      </c>
      <c r="N1543" s="42">
        <f t="shared" ref="N1543:O1543" si="969">IF(COUNT(N1544,N1548,N1552,N1556)=0,"",SUM(N1544,N1548,N1552,N1556))</f>
        <v>9.5</v>
      </c>
      <c r="O1543" s="42">
        <f t="shared" si="969"/>
        <v>6.125</v>
      </c>
      <c r="P1543" s="43"/>
      <c r="Q1543" s="42">
        <f>IF(COUNT(Q1544,Q1548,Q1552,Q1556)=0,"",SUM(Q1544,Q1548,Q1552,Q1556))</f>
        <v>6.70625</v>
      </c>
      <c r="R1543" s="44"/>
      <c r="S1543" s="44"/>
      <c r="T1543" s="45" t="s">
        <v>62</v>
      </c>
      <c r="U1543" s="26"/>
      <c r="V1543" s="26"/>
      <c r="W1543" s="26"/>
      <c r="X1543" s="46">
        <f t="shared" ref="X1543:AA1543" si="970">L1543</f>
        <v>2.75</v>
      </c>
      <c r="Y1543" s="46">
        <f t="shared" si="970"/>
        <v>6.125</v>
      </c>
      <c r="Z1543" s="46">
        <f t="shared" si="970"/>
        <v>9.5</v>
      </c>
      <c r="AA1543" s="46">
        <f t="shared" si="970"/>
        <v>6.125</v>
      </c>
      <c r="AB1543" s="26"/>
      <c r="AC1543" s="46">
        <f>Q1543</f>
        <v>6.70625</v>
      </c>
    </row>
    <row r="1544" ht="33.75" customHeight="1">
      <c r="A1544" s="116" t="s">
        <v>2599</v>
      </c>
      <c r="B1544" s="77" t="s">
        <v>2429</v>
      </c>
      <c r="C1544" s="77" t="s">
        <v>2597</v>
      </c>
      <c r="D1544" s="77" t="s">
        <v>2600</v>
      </c>
      <c r="E1544" s="117" t="s">
        <v>2601</v>
      </c>
      <c r="F1544" s="118" t="s">
        <v>2602</v>
      </c>
      <c r="G1544" s="118" t="s">
        <v>168</v>
      </c>
      <c r="H1544" s="119" t="s">
        <v>168</v>
      </c>
      <c r="I1544" s="54"/>
      <c r="J1544" s="118" t="s">
        <v>9</v>
      </c>
      <c r="K1544" s="120" t="s">
        <v>9</v>
      </c>
      <c r="L1544" s="202">
        <f>IF(COUNT(L1545:N1547)=0,"",SUM(L1545:L1547))</f>
        <v>0.75</v>
      </c>
      <c r="M1544" s="174">
        <f t="shared" si="912"/>
        <v>1.625</v>
      </c>
      <c r="N1544" s="202">
        <f>IF(COUNT(L1545:N1547)=0,"",SUM(N1545:N1547))</f>
        <v>2.5</v>
      </c>
      <c r="O1544" s="202">
        <f>IF(COUNT(O1545:O1547)=0,"",SUM(O1545:O1547))</f>
        <v>1.625</v>
      </c>
      <c r="P1544" s="210"/>
      <c r="Q1544" s="202">
        <f>IF(COUNT(Q1545:Q1547)=0,"",SUM(Q1545:Q1547))</f>
        <v>1.7875</v>
      </c>
      <c r="R1544" s="163"/>
      <c r="S1544" s="163"/>
      <c r="T1544" s="54" t="s">
        <v>65</v>
      </c>
      <c r="U1544" s="26"/>
      <c r="V1544" s="26"/>
      <c r="W1544" s="26"/>
      <c r="X1544" s="46"/>
      <c r="Y1544" s="46"/>
      <c r="Z1544" s="46"/>
      <c r="AA1544" s="46"/>
      <c r="AB1544" s="232"/>
      <c r="AC1544" s="46"/>
    </row>
    <row r="1545" ht="33.75" customHeight="1">
      <c r="A1545" s="65" t="s">
        <v>2603</v>
      </c>
      <c r="B1545" s="215" t="s">
        <v>2429</v>
      </c>
      <c r="C1545" s="215" t="s">
        <v>2597</v>
      </c>
      <c r="D1545" s="215" t="s">
        <v>2600</v>
      </c>
      <c r="E1545" s="215" t="s">
        <v>2601</v>
      </c>
      <c r="F1545" s="65" t="s">
        <v>2602</v>
      </c>
      <c r="G1545" s="65" t="s">
        <v>168</v>
      </c>
      <c r="H1545" s="65" t="s">
        <v>168</v>
      </c>
      <c r="I1545" s="65"/>
      <c r="J1545" s="65" t="s">
        <v>9</v>
      </c>
      <c r="K1545" s="65" t="s">
        <v>9</v>
      </c>
      <c r="L1545" s="128">
        <v>0.0</v>
      </c>
      <c r="M1545" s="180">
        <f t="shared" si="912"/>
        <v>0</v>
      </c>
      <c r="N1545" s="128">
        <v>0.0</v>
      </c>
      <c r="O1545" s="129">
        <f t="shared" ref="O1545:O1547" si="971">IF(COUNT(L1545:N1545)=0,"",(L1545+4*M1545+N1545)/6)</f>
        <v>0</v>
      </c>
      <c r="P1545" s="159">
        <v>0.0</v>
      </c>
      <c r="Q1545" s="208">
        <f t="shared" ref="Q1545:Q1547" si="972">IF(O1545="","",IF(P1545="",O1545,O1545*(1+P1545)))</f>
        <v>0</v>
      </c>
      <c r="R1545" s="132">
        <v>5.0</v>
      </c>
      <c r="S1545" s="132">
        <v>1.0</v>
      </c>
      <c r="T1545" s="65" t="s">
        <v>31</v>
      </c>
      <c r="U1545" s="26"/>
      <c r="V1545" s="26"/>
      <c r="W1545" s="26"/>
      <c r="X1545" s="26"/>
      <c r="Y1545" s="26"/>
      <c r="Z1545" s="26"/>
      <c r="AA1545" s="26"/>
      <c r="AB1545" s="26"/>
      <c r="AC1545" s="26"/>
    </row>
    <row r="1546" ht="33.75" customHeight="1">
      <c r="A1546" s="65" t="s">
        <v>2604</v>
      </c>
      <c r="B1546" s="215" t="s">
        <v>2429</v>
      </c>
      <c r="C1546" s="215" t="s">
        <v>2597</v>
      </c>
      <c r="D1546" s="215" t="s">
        <v>2600</v>
      </c>
      <c r="E1546" s="215" t="s">
        <v>2601</v>
      </c>
      <c r="F1546" s="65" t="s">
        <v>2602</v>
      </c>
      <c r="G1546" s="65" t="s">
        <v>168</v>
      </c>
      <c r="H1546" s="65" t="s">
        <v>168</v>
      </c>
      <c r="I1546" s="65"/>
      <c r="J1546" s="65" t="s">
        <v>9</v>
      </c>
      <c r="K1546" s="65" t="s">
        <v>9</v>
      </c>
      <c r="L1546" s="128">
        <v>0.75</v>
      </c>
      <c r="M1546" s="180">
        <f t="shared" si="912"/>
        <v>1.625</v>
      </c>
      <c r="N1546" s="128">
        <v>2.5</v>
      </c>
      <c r="O1546" s="129">
        <f t="shared" si="971"/>
        <v>1.625</v>
      </c>
      <c r="P1546" s="159">
        <v>0.1</v>
      </c>
      <c r="Q1546" s="208">
        <f t="shared" si="972"/>
        <v>1.7875</v>
      </c>
      <c r="R1546" s="132">
        <v>4.0</v>
      </c>
      <c r="S1546" s="132">
        <v>2.0</v>
      </c>
      <c r="T1546" s="65" t="s">
        <v>32</v>
      </c>
      <c r="U1546" s="26"/>
      <c r="V1546" s="26"/>
      <c r="W1546" s="26"/>
      <c r="X1546" s="26"/>
      <c r="Y1546" s="26"/>
      <c r="Z1546" s="26"/>
      <c r="AA1546" s="26"/>
      <c r="AB1546" s="26"/>
      <c r="AC1546" s="26"/>
    </row>
    <row r="1547" ht="33.75" customHeight="1">
      <c r="A1547" s="65" t="s">
        <v>2605</v>
      </c>
      <c r="B1547" s="215" t="s">
        <v>2429</v>
      </c>
      <c r="C1547" s="215" t="s">
        <v>2597</v>
      </c>
      <c r="D1547" s="215" t="s">
        <v>2600</v>
      </c>
      <c r="E1547" s="215" t="s">
        <v>2601</v>
      </c>
      <c r="F1547" s="65" t="s">
        <v>2602</v>
      </c>
      <c r="G1547" s="65" t="s">
        <v>168</v>
      </c>
      <c r="H1547" s="65" t="s">
        <v>168</v>
      </c>
      <c r="I1547" s="65"/>
      <c r="J1547" s="65" t="s">
        <v>9</v>
      </c>
      <c r="K1547" s="65" t="s">
        <v>9</v>
      </c>
      <c r="L1547" s="128">
        <v>0.0</v>
      </c>
      <c r="M1547" s="180">
        <f t="shared" si="912"/>
        <v>0</v>
      </c>
      <c r="N1547" s="128">
        <v>0.0</v>
      </c>
      <c r="O1547" s="129">
        <f t="shared" si="971"/>
        <v>0</v>
      </c>
      <c r="P1547" s="159">
        <v>0.0</v>
      </c>
      <c r="Q1547" s="208">
        <f t="shared" si="972"/>
        <v>0</v>
      </c>
      <c r="R1547" s="132">
        <v>5.0</v>
      </c>
      <c r="S1547" s="132">
        <v>1.0</v>
      </c>
      <c r="T1547" s="65" t="s">
        <v>70</v>
      </c>
      <c r="U1547" s="26"/>
      <c r="V1547" s="26"/>
      <c r="W1547" s="26"/>
      <c r="X1547" s="26"/>
      <c r="Y1547" s="26"/>
      <c r="Z1547" s="26"/>
      <c r="AA1547" s="26"/>
      <c r="AB1547" s="26"/>
      <c r="AC1547" s="26"/>
    </row>
    <row r="1548" ht="33.75" customHeight="1">
      <c r="A1548" s="54" t="s">
        <v>2606</v>
      </c>
      <c r="B1548" s="209" t="s">
        <v>2429</v>
      </c>
      <c r="C1548" s="209" t="s">
        <v>2597</v>
      </c>
      <c r="D1548" s="209" t="s">
        <v>2607</v>
      </c>
      <c r="E1548" s="209" t="s">
        <v>2608</v>
      </c>
      <c r="F1548" s="54" t="s">
        <v>2609</v>
      </c>
      <c r="G1548" s="54" t="s">
        <v>168</v>
      </c>
      <c r="H1548" s="54" t="s">
        <v>168</v>
      </c>
      <c r="I1548" s="54"/>
      <c r="J1548" s="54" t="s">
        <v>9</v>
      </c>
      <c r="K1548" s="54" t="s">
        <v>9</v>
      </c>
      <c r="L1548" s="202">
        <f>IF(COUNT(L1549:N1551)=0,"",SUM(L1549:L1551))</f>
        <v>1.25</v>
      </c>
      <c r="M1548" s="174">
        <f t="shared" si="912"/>
        <v>2.875</v>
      </c>
      <c r="N1548" s="202">
        <f>IF(COUNT(L1549:N1551)=0,"",SUM(N1549:N1551))</f>
        <v>4.5</v>
      </c>
      <c r="O1548" s="202">
        <f>IF(COUNT(O1549:O1551)=0,"",SUM(O1549:O1551))</f>
        <v>2.875</v>
      </c>
      <c r="P1548" s="210"/>
      <c r="Q1548" s="202">
        <f>IF(COUNT(Q1549:Q1551)=0,"",SUM(Q1549:Q1551))</f>
        <v>3.13125</v>
      </c>
      <c r="R1548" s="163"/>
      <c r="S1548" s="163"/>
      <c r="T1548" s="54" t="s">
        <v>65</v>
      </c>
      <c r="U1548" s="26"/>
      <c r="V1548" s="26"/>
      <c r="W1548" s="26"/>
      <c r="X1548" s="105"/>
      <c r="Y1548" s="105"/>
      <c r="Z1548" s="105"/>
      <c r="AA1548" s="105"/>
      <c r="AB1548" s="105"/>
      <c r="AC1548" s="105"/>
    </row>
    <row r="1549" ht="33.75" customHeight="1">
      <c r="A1549" s="65" t="s">
        <v>2610</v>
      </c>
      <c r="B1549" s="215" t="s">
        <v>2429</v>
      </c>
      <c r="C1549" s="215" t="s">
        <v>2597</v>
      </c>
      <c r="D1549" s="215" t="s">
        <v>2607</v>
      </c>
      <c r="E1549" s="215" t="s">
        <v>2608</v>
      </c>
      <c r="F1549" s="65" t="s">
        <v>2609</v>
      </c>
      <c r="G1549" s="65" t="s">
        <v>168</v>
      </c>
      <c r="H1549" s="65" t="s">
        <v>168</v>
      </c>
      <c r="I1549" s="65"/>
      <c r="J1549" s="65" t="s">
        <v>9</v>
      </c>
      <c r="K1549" s="65" t="s">
        <v>9</v>
      </c>
      <c r="L1549" s="128">
        <v>0.25</v>
      </c>
      <c r="M1549" s="180">
        <f t="shared" si="912"/>
        <v>0.625</v>
      </c>
      <c r="N1549" s="128">
        <v>1.0</v>
      </c>
      <c r="O1549" s="129">
        <f t="shared" ref="O1549:O1551" si="973">IF(COUNT(L1549:N1549)=0,"",(L1549+4*M1549+N1549)/6)</f>
        <v>0.625</v>
      </c>
      <c r="P1549" s="159">
        <v>0.05</v>
      </c>
      <c r="Q1549" s="208">
        <f t="shared" ref="Q1549:Q1551" si="974">IF(O1549="","",IF(P1549="",O1549,O1549*(1+P1549)))</f>
        <v>0.65625</v>
      </c>
      <c r="R1549" s="132">
        <v>5.0</v>
      </c>
      <c r="S1549" s="132">
        <v>1.0</v>
      </c>
      <c r="T1549" s="65" t="s">
        <v>31</v>
      </c>
      <c r="U1549" s="26"/>
      <c r="V1549" s="26"/>
      <c r="W1549" s="26"/>
      <c r="X1549" s="26"/>
      <c r="Y1549" s="26"/>
      <c r="Z1549" s="26"/>
      <c r="AA1549" s="26"/>
      <c r="AB1549" s="26"/>
      <c r="AC1549" s="26"/>
    </row>
    <row r="1550" ht="33.75" customHeight="1">
      <c r="A1550" s="65" t="s">
        <v>2611</v>
      </c>
      <c r="B1550" s="215" t="s">
        <v>2429</v>
      </c>
      <c r="C1550" s="215" t="s">
        <v>2597</v>
      </c>
      <c r="D1550" s="215" t="s">
        <v>2607</v>
      </c>
      <c r="E1550" s="215" t="s">
        <v>2608</v>
      </c>
      <c r="F1550" s="65" t="s">
        <v>2609</v>
      </c>
      <c r="G1550" s="65" t="s">
        <v>168</v>
      </c>
      <c r="H1550" s="65" t="s">
        <v>168</v>
      </c>
      <c r="I1550" s="65"/>
      <c r="J1550" s="65" t="s">
        <v>9</v>
      </c>
      <c r="K1550" s="65" t="s">
        <v>9</v>
      </c>
      <c r="L1550" s="128">
        <v>0.75</v>
      </c>
      <c r="M1550" s="180">
        <f t="shared" si="912"/>
        <v>1.625</v>
      </c>
      <c r="N1550" s="128">
        <v>2.5</v>
      </c>
      <c r="O1550" s="129">
        <f t="shared" si="973"/>
        <v>1.625</v>
      </c>
      <c r="P1550" s="159">
        <v>0.1</v>
      </c>
      <c r="Q1550" s="208">
        <f t="shared" si="974"/>
        <v>1.7875</v>
      </c>
      <c r="R1550" s="132">
        <v>4.0</v>
      </c>
      <c r="S1550" s="132">
        <v>2.0</v>
      </c>
      <c r="T1550" s="65" t="s">
        <v>32</v>
      </c>
      <c r="U1550" s="26"/>
      <c r="V1550" s="26"/>
      <c r="W1550" s="26"/>
      <c r="X1550" s="26"/>
      <c r="Y1550" s="26"/>
      <c r="Z1550" s="26"/>
      <c r="AA1550" s="26"/>
      <c r="AB1550" s="26"/>
      <c r="AC1550" s="26"/>
    </row>
    <row r="1551" ht="33.75" customHeight="1">
      <c r="A1551" s="65" t="s">
        <v>2612</v>
      </c>
      <c r="B1551" s="215" t="s">
        <v>2429</v>
      </c>
      <c r="C1551" s="215" t="s">
        <v>2597</v>
      </c>
      <c r="D1551" s="215" t="s">
        <v>2607</v>
      </c>
      <c r="E1551" s="215" t="s">
        <v>2608</v>
      </c>
      <c r="F1551" s="65" t="s">
        <v>2609</v>
      </c>
      <c r="G1551" s="65" t="s">
        <v>168</v>
      </c>
      <c r="H1551" s="65" t="s">
        <v>168</v>
      </c>
      <c r="I1551" s="65"/>
      <c r="J1551" s="65" t="s">
        <v>9</v>
      </c>
      <c r="K1551" s="65" t="s">
        <v>9</v>
      </c>
      <c r="L1551" s="128">
        <v>0.25</v>
      </c>
      <c r="M1551" s="180">
        <f t="shared" si="912"/>
        <v>0.625</v>
      </c>
      <c r="N1551" s="128">
        <v>1.0</v>
      </c>
      <c r="O1551" s="129">
        <f t="shared" si="973"/>
        <v>0.625</v>
      </c>
      <c r="P1551" s="159">
        <v>0.1</v>
      </c>
      <c r="Q1551" s="208">
        <f t="shared" si="974"/>
        <v>0.6875</v>
      </c>
      <c r="R1551" s="132">
        <v>4.0</v>
      </c>
      <c r="S1551" s="132">
        <v>2.0</v>
      </c>
      <c r="T1551" s="65" t="s">
        <v>70</v>
      </c>
      <c r="U1551" s="26"/>
      <c r="V1551" s="26"/>
      <c r="W1551" s="26"/>
      <c r="X1551" s="26"/>
      <c r="Y1551" s="26"/>
      <c r="Z1551" s="26"/>
      <c r="AA1551" s="26"/>
      <c r="AB1551" s="26"/>
      <c r="AC1551" s="26"/>
    </row>
    <row r="1552" ht="33.75" customHeight="1">
      <c r="A1552" s="54" t="s">
        <v>2613</v>
      </c>
      <c r="B1552" s="209" t="s">
        <v>2429</v>
      </c>
      <c r="C1552" s="209" t="s">
        <v>2597</v>
      </c>
      <c r="D1552" s="209" t="s">
        <v>2614</v>
      </c>
      <c r="E1552" s="209" t="s">
        <v>2615</v>
      </c>
      <c r="F1552" s="54" t="s">
        <v>2616</v>
      </c>
      <c r="G1552" s="54" t="s">
        <v>168</v>
      </c>
      <c r="H1552" s="54" t="s">
        <v>168</v>
      </c>
      <c r="I1552" s="54"/>
      <c r="J1552" s="54" t="s">
        <v>9</v>
      </c>
      <c r="K1552" s="54" t="s">
        <v>9</v>
      </c>
      <c r="L1552" s="202">
        <f>IF(COUNT(L1553:N1555)=0,"",SUM(L1553:L1555))</f>
        <v>0.75</v>
      </c>
      <c r="M1552" s="174">
        <f t="shared" si="912"/>
        <v>1.625</v>
      </c>
      <c r="N1552" s="202">
        <f>IF(COUNT(L1553:N1555)=0,"",SUM(N1553:N1555))</f>
        <v>2.5</v>
      </c>
      <c r="O1552" s="202">
        <f>IF(COUNT(O1553:O1555)=0,"",SUM(O1553:O1555))</f>
        <v>1.625</v>
      </c>
      <c r="P1552" s="210"/>
      <c r="Q1552" s="202">
        <f>IF(COUNT(Q1553:Q1555)=0,"",SUM(Q1553:Q1555))</f>
        <v>1.7875</v>
      </c>
      <c r="R1552" s="163"/>
      <c r="S1552" s="163"/>
      <c r="T1552" s="54" t="s">
        <v>65</v>
      </c>
      <c r="U1552" s="26"/>
      <c r="V1552" s="26"/>
      <c r="W1552" s="26"/>
      <c r="X1552" s="105"/>
      <c r="Y1552" s="105"/>
      <c r="Z1552" s="105"/>
      <c r="AA1552" s="105"/>
      <c r="AB1552" s="105"/>
      <c r="AC1552" s="105"/>
    </row>
    <row r="1553" ht="33.75" customHeight="1">
      <c r="A1553" s="65" t="s">
        <v>2617</v>
      </c>
      <c r="B1553" s="215" t="s">
        <v>2429</v>
      </c>
      <c r="C1553" s="215" t="s">
        <v>2597</v>
      </c>
      <c r="D1553" s="215" t="s">
        <v>2614</v>
      </c>
      <c r="E1553" s="215" t="s">
        <v>2615</v>
      </c>
      <c r="F1553" s="65" t="s">
        <v>2616</v>
      </c>
      <c r="G1553" s="65" t="s">
        <v>168</v>
      </c>
      <c r="H1553" s="65" t="s">
        <v>168</v>
      </c>
      <c r="I1553" s="65"/>
      <c r="J1553" s="65" t="s">
        <v>9</v>
      </c>
      <c r="K1553" s="65" t="s">
        <v>9</v>
      </c>
      <c r="L1553" s="128">
        <v>0.0</v>
      </c>
      <c r="M1553" s="180">
        <f t="shared" si="912"/>
        <v>0</v>
      </c>
      <c r="N1553" s="128">
        <v>0.0</v>
      </c>
      <c r="O1553" s="129">
        <f t="shared" ref="O1553:O1555" si="975">IF(COUNT(L1553:N1553)=0,"",(L1553+4*M1553+N1553)/6)</f>
        <v>0</v>
      </c>
      <c r="P1553" s="159">
        <v>0.0</v>
      </c>
      <c r="Q1553" s="208">
        <f t="shared" ref="Q1553:Q1555" si="976">IF(O1553="","",IF(P1553="",O1553,O1553*(1+P1553)))</f>
        <v>0</v>
      </c>
      <c r="R1553" s="132">
        <v>5.0</v>
      </c>
      <c r="S1553" s="132">
        <v>1.0</v>
      </c>
      <c r="T1553" s="65" t="s">
        <v>31</v>
      </c>
      <c r="U1553" s="26"/>
      <c r="V1553" s="26"/>
      <c r="W1553" s="26"/>
      <c r="X1553" s="26"/>
      <c r="Y1553" s="26"/>
      <c r="Z1553" s="26"/>
      <c r="AA1553" s="26"/>
      <c r="AB1553" s="26"/>
      <c r="AC1553" s="26"/>
    </row>
    <row r="1554" ht="33.75" customHeight="1">
      <c r="A1554" s="65" t="s">
        <v>2618</v>
      </c>
      <c r="B1554" s="215" t="s">
        <v>2429</v>
      </c>
      <c r="C1554" s="215" t="s">
        <v>2597</v>
      </c>
      <c r="D1554" s="215" t="s">
        <v>2614</v>
      </c>
      <c r="E1554" s="215" t="s">
        <v>2615</v>
      </c>
      <c r="F1554" s="65" t="s">
        <v>2616</v>
      </c>
      <c r="G1554" s="65" t="s">
        <v>168</v>
      </c>
      <c r="H1554" s="65" t="s">
        <v>168</v>
      </c>
      <c r="I1554" s="65"/>
      <c r="J1554" s="65" t="s">
        <v>9</v>
      </c>
      <c r="K1554" s="65" t="s">
        <v>9</v>
      </c>
      <c r="L1554" s="128">
        <v>0.75</v>
      </c>
      <c r="M1554" s="180">
        <f t="shared" si="912"/>
        <v>1.625</v>
      </c>
      <c r="N1554" s="128">
        <v>2.5</v>
      </c>
      <c r="O1554" s="129">
        <f t="shared" si="975"/>
        <v>1.625</v>
      </c>
      <c r="P1554" s="159">
        <v>0.1</v>
      </c>
      <c r="Q1554" s="208">
        <f t="shared" si="976"/>
        <v>1.7875</v>
      </c>
      <c r="R1554" s="132">
        <v>4.0</v>
      </c>
      <c r="S1554" s="132">
        <v>2.0</v>
      </c>
      <c r="T1554" s="65" t="s">
        <v>32</v>
      </c>
      <c r="U1554" s="26"/>
      <c r="V1554" s="26"/>
      <c r="W1554" s="26"/>
      <c r="X1554" s="26"/>
      <c r="Y1554" s="26"/>
      <c r="Z1554" s="26"/>
      <c r="AA1554" s="26"/>
      <c r="AB1554" s="26"/>
      <c r="AC1554" s="26"/>
    </row>
    <row r="1555" ht="33.75" customHeight="1">
      <c r="A1555" s="65" t="s">
        <v>2619</v>
      </c>
      <c r="B1555" s="215" t="s">
        <v>2429</v>
      </c>
      <c r="C1555" s="215" t="s">
        <v>2597</v>
      </c>
      <c r="D1555" s="215" t="s">
        <v>2614</v>
      </c>
      <c r="E1555" s="215" t="s">
        <v>2615</v>
      </c>
      <c r="F1555" s="65" t="s">
        <v>2616</v>
      </c>
      <c r="G1555" s="65" t="s">
        <v>168</v>
      </c>
      <c r="H1555" s="65" t="s">
        <v>168</v>
      </c>
      <c r="I1555" s="65"/>
      <c r="J1555" s="65" t="s">
        <v>9</v>
      </c>
      <c r="K1555" s="65" t="s">
        <v>9</v>
      </c>
      <c r="L1555" s="128">
        <v>0.0</v>
      </c>
      <c r="M1555" s="180">
        <f t="shared" si="912"/>
        <v>0</v>
      </c>
      <c r="N1555" s="128">
        <v>0.0</v>
      </c>
      <c r="O1555" s="129">
        <f t="shared" si="975"/>
        <v>0</v>
      </c>
      <c r="P1555" s="159">
        <v>0.0</v>
      </c>
      <c r="Q1555" s="208">
        <f t="shared" si="976"/>
        <v>0</v>
      </c>
      <c r="R1555" s="132">
        <v>5.0</v>
      </c>
      <c r="S1555" s="132">
        <v>1.0</v>
      </c>
      <c r="T1555" s="65" t="s">
        <v>70</v>
      </c>
      <c r="U1555" s="26"/>
      <c r="V1555" s="26"/>
      <c r="W1555" s="26"/>
      <c r="X1555" s="26"/>
      <c r="Y1555" s="26"/>
      <c r="Z1555" s="26"/>
      <c r="AA1555" s="26"/>
      <c r="AB1555" s="26"/>
      <c r="AC1555" s="26"/>
    </row>
    <row r="1556" ht="33.75" customHeight="1">
      <c r="A1556" s="98" t="s">
        <v>2620</v>
      </c>
      <c r="B1556" s="99" t="s">
        <v>2429</v>
      </c>
      <c r="C1556" s="99" t="s">
        <v>2597</v>
      </c>
      <c r="D1556" s="99" t="s">
        <v>2621</v>
      </c>
      <c r="E1556" s="99" t="s">
        <v>2622</v>
      </c>
      <c r="F1556" s="98" t="s">
        <v>1685</v>
      </c>
      <c r="G1556" s="98" t="s">
        <v>168</v>
      </c>
      <c r="H1556" s="98" t="s">
        <v>168</v>
      </c>
      <c r="I1556" s="98"/>
      <c r="J1556" s="98" t="s">
        <v>12</v>
      </c>
      <c r="K1556" s="100" t="s">
        <v>12</v>
      </c>
      <c r="L1556" s="101">
        <f>IF(COUNT(L1557:N1559)=0,"",SUM(L1557:L1559))</f>
        <v>0</v>
      </c>
      <c r="M1556" s="102">
        <f t="shared" si="912"/>
        <v>0</v>
      </c>
      <c r="N1556" s="101">
        <f>IF(COUNT(L1557:N1559)=0,"",SUM(N1557:N1559))</f>
        <v>0</v>
      </c>
      <c r="O1556" s="101">
        <f>IF(COUNT(O1557:O1559)=0,"",SUM(O1557:O1559))</f>
        <v>0</v>
      </c>
      <c r="P1556" s="103"/>
      <c r="Q1556" s="101">
        <f>IF(COUNT(Q1557:Q1559)=0,"",SUM(Q1557:Q1559))</f>
        <v>0</v>
      </c>
      <c r="R1556" s="104"/>
      <c r="S1556" s="104"/>
      <c r="T1556" s="98" t="s">
        <v>65</v>
      </c>
      <c r="U1556" s="26"/>
      <c r="V1556" s="26"/>
      <c r="W1556" s="26"/>
      <c r="X1556" s="105"/>
      <c r="Y1556" s="105"/>
      <c r="Z1556" s="105"/>
      <c r="AA1556" s="105"/>
      <c r="AB1556" s="105"/>
      <c r="AC1556" s="105"/>
    </row>
    <row r="1557" ht="33.75" customHeight="1">
      <c r="A1557" s="106" t="s">
        <v>2623</v>
      </c>
      <c r="B1557" s="107" t="s">
        <v>2429</v>
      </c>
      <c r="C1557" s="107" t="s">
        <v>2597</v>
      </c>
      <c r="D1557" s="107" t="s">
        <v>2621</v>
      </c>
      <c r="E1557" s="107" t="s">
        <v>2622</v>
      </c>
      <c r="F1557" s="106" t="s">
        <v>1685</v>
      </c>
      <c r="G1557" s="106" t="s">
        <v>168</v>
      </c>
      <c r="H1557" s="106" t="s">
        <v>168</v>
      </c>
      <c r="I1557" s="106"/>
      <c r="J1557" s="106" t="s">
        <v>12</v>
      </c>
      <c r="K1557" s="108" t="s">
        <v>12</v>
      </c>
      <c r="L1557" s="109"/>
      <c r="M1557" s="109">
        <f t="shared" si="912"/>
        <v>0</v>
      </c>
      <c r="N1557" s="109"/>
      <c r="O1557" s="109">
        <f t="shared" ref="O1557:O1559" si="977">IF(COUNT(L1557:N1557)=0,"",(L1557+4*M1557+N1557)/6)</f>
        <v>0</v>
      </c>
      <c r="P1557" s="110"/>
      <c r="Q1557" s="109">
        <f t="shared" ref="Q1557:Q1559" si="978">IF(O1557="","",IF(P1557="",O1557,O1557*(1+P1557)))</f>
        <v>0</v>
      </c>
      <c r="R1557" s="111"/>
      <c r="S1557" s="111"/>
      <c r="T1557" s="106" t="s">
        <v>31</v>
      </c>
      <c r="U1557" s="26"/>
      <c r="V1557" s="26"/>
      <c r="W1557" s="26"/>
      <c r="X1557" s="26"/>
      <c r="Y1557" s="26"/>
      <c r="Z1557" s="26"/>
      <c r="AA1557" s="26"/>
      <c r="AB1557" s="26"/>
      <c r="AC1557" s="26"/>
    </row>
    <row r="1558" ht="33.75" customHeight="1">
      <c r="A1558" s="106" t="s">
        <v>2624</v>
      </c>
      <c r="B1558" s="107" t="s">
        <v>2429</v>
      </c>
      <c r="C1558" s="107" t="s">
        <v>2597</v>
      </c>
      <c r="D1558" s="107" t="s">
        <v>2621</v>
      </c>
      <c r="E1558" s="107" t="s">
        <v>2622</v>
      </c>
      <c r="F1558" s="106" t="s">
        <v>1685</v>
      </c>
      <c r="G1558" s="106" t="s">
        <v>168</v>
      </c>
      <c r="H1558" s="106" t="s">
        <v>168</v>
      </c>
      <c r="I1558" s="106"/>
      <c r="J1558" s="106" t="s">
        <v>12</v>
      </c>
      <c r="K1558" s="108" t="s">
        <v>12</v>
      </c>
      <c r="L1558" s="109"/>
      <c r="M1558" s="109">
        <f t="shared" si="912"/>
        <v>0</v>
      </c>
      <c r="N1558" s="109"/>
      <c r="O1558" s="109">
        <f t="shared" si="977"/>
        <v>0</v>
      </c>
      <c r="P1558" s="110"/>
      <c r="Q1558" s="109">
        <f t="shared" si="978"/>
        <v>0</v>
      </c>
      <c r="R1558" s="111"/>
      <c r="S1558" s="111"/>
      <c r="T1558" s="106" t="s">
        <v>32</v>
      </c>
      <c r="U1558" s="26"/>
      <c r="V1558" s="26"/>
      <c r="W1558" s="26"/>
      <c r="X1558" s="26"/>
      <c r="Y1558" s="26"/>
      <c r="Z1558" s="26"/>
      <c r="AA1558" s="26"/>
      <c r="AB1558" s="26"/>
      <c r="AC1558" s="26"/>
    </row>
    <row r="1559" ht="33.75" customHeight="1">
      <c r="A1559" s="106" t="s">
        <v>2625</v>
      </c>
      <c r="B1559" s="107" t="s">
        <v>2429</v>
      </c>
      <c r="C1559" s="107" t="s">
        <v>2597</v>
      </c>
      <c r="D1559" s="107" t="s">
        <v>2621</v>
      </c>
      <c r="E1559" s="107" t="s">
        <v>2622</v>
      </c>
      <c r="F1559" s="106" t="s">
        <v>1685</v>
      </c>
      <c r="G1559" s="106" t="s">
        <v>168</v>
      </c>
      <c r="H1559" s="106" t="s">
        <v>168</v>
      </c>
      <c r="I1559" s="106"/>
      <c r="J1559" s="106" t="s">
        <v>12</v>
      </c>
      <c r="K1559" s="108" t="s">
        <v>12</v>
      </c>
      <c r="L1559" s="109"/>
      <c r="M1559" s="109">
        <f t="shared" si="912"/>
        <v>0</v>
      </c>
      <c r="N1559" s="109"/>
      <c r="O1559" s="109">
        <f t="shared" si="977"/>
        <v>0</v>
      </c>
      <c r="P1559" s="110"/>
      <c r="Q1559" s="109">
        <f t="shared" si="978"/>
        <v>0</v>
      </c>
      <c r="R1559" s="111"/>
      <c r="S1559" s="111"/>
      <c r="T1559" s="106" t="s">
        <v>70</v>
      </c>
      <c r="U1559" s="26"/>
      <c r="V1559" s="26"/>
      <c r="W1559" s="26"/>
      <c r="X1559" s="26"/>
      <c r="Y1559" s="26"/>
      <c r="Z1559" s="26"/>
      <c r="AA1559" s="26"/>
      <c r="AB1559" s="26"/>
      <c r="AC1559" s="26"/>
    </row>
    <row r="1560" ht="33.75" customHeight="1">
      <c r="A1560" s="165">
        <v>14.7</v>
      </c>
      <c r="B1560" s="37" t="s">
        <v>2429</v>
      </c>
      <c r="C1560" s="37" t="s">
        <v>2626</v>
      </c>
      <c r="D1560" s="37" t="s">
        <v>2627</v>
      </c>
      <c r="E1560" s="113"/>
      <c r="F1560" s="114"/>
      <c r="G1560" s="114"/>
      <c r="H1560" s="45"/>
      <c r="I1560" s="45"/>
      <c r="J1560" s="45"/>
      <c r="K1560" s="45"/>
      <c r="L1560" s="42">
        <f>IF(COUNT(L1561,L1565,L1569,L1573)=0,"",SUM(L1561,L1565,L1569,L1573))</f>
        <v>3.75</v>
      </c>
      <c r="M1560" s="42">
        <f t="shared" si="912"/>
        <v>8.125</v>
      </c>
      <c r="N1560" s="42">
        <f t="shared" ref="N1560:O1560" si="979">IF(COUNT(N1561,N1565,N1569,N1573)=0,"",SUM(N1561,N1565,N1569,N1573))</f>
        <v>12.5</v>
      </c>
      <c r="O1560" s="42">
        <f t="shared" si="979"/>
        <v>8.125</v>
      </c>
      <c r="P1560" s="43"/>
      <c r="Q1560" s="42">
        <f>IF(COUNT(Q1561,Q1565,Q1569,Q1573)=0,"",SUM(Q1561,Q1565,Q1569,Q1573))</f>
        <v>8.93125</v>
      </c>
      <c r="R1560" s="44"/>
      <c r="S1560" s="44"/>
      <c r="T1560" s="45" t="s">
        <v>62</v>
      </c>
      <c r="U1560" s="26"/>
      <c r="V1560" s="26"/>
      <c r="W1560" s="26"/>
      <c r="X1560" s="46">
        <f t="shared" ref="X1560:AA1560" si="980">L1560</f>
        <v>3.75</v>
      </c>
      <c r="Y1560" s="46">
        <f t="shared" si="980"/>
        <v>8.125</v>
      </c>
      <c r="Z1560" s="46">
        <f t="shared" si="980"/>
        <v>12.5</v>
      </c>
      <c r="AA1560" s="46">
        <f t="shared" si="980"/>
        <v>8.125</v>
      </c>
      <c r="AB1560" s="26"/>
      <c r="AC1560" s="46">
        <f>Q1560</f>
        <v>8.93125</v>
      </c>
    </row>
    <row r="1561" ht="33.75" customHeight="1">
      <c r="A1561" s="127" t="s">
        <v>2628</v>
      </c>
      <c r="B1561" s="70" t="s">
        <v>2429</v>
      </c>
      <c r="C1561" s="70" t="s">
        <v>2626</v>
      </c>
      <c r="D1561" s="70" t="s">
        <v>2629</v>
      </c>
      <c r="E1561" s="117"/>
      <c r="F1561" s="118"/>
      <c r="G1561" s="118"/>
      <c r="H1561" s="119"/>
      <c r="I1561" s="54"/>
      <c r="J1561" s="118" t="s">
        <v>9</v>
      </c>
      <c r="K1561" s="120" t="s">
        <v>9</v>
      </c>
      <c r="L1561" s="202">
        <f>IF(COUNT(L1562:N1564)=0,"",SUM(L1562:L1564))</f>
        <v>0.75</v>
      </c>
      <c r="M1561" s="174">
        <f t="shared" si="912"/>
        <v>1.875</v>
      </c>
      <c r="N1561" s="202">
        <f>IF(COUNT(L1562:N1564)=0,"",SUM(N1562:N1564))</f>
        <v>3</v>
      </c>
      <c r="O1561" s="202">
        <f>IF(COUNT(O1562:O1564)=0,"",SUM(O1562:O1564))</f>
        <v>1.875</v>
      </c>
      <c r="P1561" s="210"/>
      <c r="Q1561" s="202">
        <f>IF(COUNT(Q1562:Q1564)=0,"",SUM(Q1562:Q1564))</f>
        <v>2</v>
      </c>
      <c r="R1561" s="163"/>
      <c r="S1561" s="163"/>
      <c r="T1561" s="54" t="s">
        <v>65</v>
      </c>
      <c r="U1561" s="26"/>
      <c r="V1561" s="26"/>
      <c r="W1561" s="26"/>
      <c r="X1561" s="46"/>
      <c r="Y1561" s="46"/>
      <c r="Z1561" s="46"/>
      <c r="AA1561" s="46"/>
      <c r="AB1561" s="232"/>
      <c r="AC1561" s="46"/>
    </row>
    <row r="1562" ht="33.75" customHeight="1">
      <c r="A1562" s="65" t="s">
        <v>2630</v>
      </c>
      <c r="B1562" s="215" t="s">
        <v>2429</v>
      </c>
      <c r="C1562" s="215" t="s">
        <v>2626</v>
      </c>
      <c r="D1562" s="215" t="s">
        <v>2629</v>
      </c>
      <c r="E1562" s="215" t="s">
        <v>2631</v>
      </c>
      <c r="F1562" s="65"/>
      <c r="G1562" s="65" t="s">
        <v>154</v>
      </c>
      <c r="H1562" s="65" t="s">
        <v>154</v>
      </c>
      <c r="I1562" s="65"/>
      <c r="J1562" s="65" t="s">
        <v>9</v>
      </c>
      <c r="K1562" s="65" t="s">
        <v>9</v>
      </c>
      <c r="L1562" s="128">
        <v>0.25</v>
      </c>
      <c r="M1562" s="180">
        <f t="shared" si="912"/>
        <v>0.625</v>
      </c>
      <c r="N1562" s="128">
        <v>1.0</v>
      </c>
      <c r="O1562" s="129">
        <f t="shared" ref="O1562:O1564" si="981">IF(COUNT(L1562:N1562)=0,"",(L1562+4*M1562+N1562)/6)</f>
        <v>0.625</v>
      </c>
      <c r="P1562" s="159">
        <v>0.05</v>
      </c>
      <c r="Q1562" s="208">
        <f t="shared" ref="Q1562:Q1564" si="982">IF(O1562="","",IF(P1562="",O1562,O1562*(1+P1562)))</f>
        <v>0.65625</v>
      </c>
      <c r="R1562" s="132">
        <v>5.0</v>
      </c>
      <c r="S1562" s="132">
        <v>1.0</v>
      </c>
      <c r="T1562" s="65" t="s">
        <v>31</v>
      </c>
      <c r="U1562" s="26"/>
      <c r="V1562" s="26"/>
      <c r="W1562" s="26"/>
      <c r="X1562" s="26"/>
      <c r="Y1562" s="26"/>
      <c r="Z1562" s="26"/>
      <c r="AA1562" s="26"/>
      <c r="AB1562" s="26"/>
      <c r="AC1562" s="26"/>
    </row>
    <row r="1563" ht="33.75" customHeight="1">
      <c r="A1563" s="65" t="s">
        <v>2632</v>
      </c>
      <c r="B1563" s="215" t="s">
        <v>2429</v>
      </c>
      <c r="C1563" s="215" t="s">
        <v>2626</v>
      </c>
      <c r="D1563" s="215" t="s">
        <v>2629</v>
      </c>
      <c r="E1563" s="215" t="s">
        <v>2631</v>
      </c>
      <c r="F1563" s="65"/>
      <c r="G1563" s="65" t="s">
        <v>154</v>
      </c>
      <c r="H1563" s="65" t="s">
        <v>154</v>
      </c>
      <c r="I1563" s="65"/>
      <c r="J1563" s="65" t="s">
        <v>9</v>
      </c>
      <c r="K1563" s="65" t="s">
        <v>9</v>
      </c>
      <c r="L1563" s="128">
        <v>0.25</v>
      </c>
      <c r="M1563" s="180">
        <f t="shared" si="912"/>
        <v>0.625</v>
      </c>
      <c r="N1563" s="128">
        <v>1.0</v>
      </c>
      <c r="O1563" s="129">
        <f t="shared" si="981"/>
        <v>0.625</v>
      </c>
      <c r="P1563" s="159">
        <v>0.05</v>
      </c>
      <c r="Q1563" s="208">
        <f t="shared" si="982"/>
        <v>0.65625</v>
      </c>
      <c r="R1563" s="132">
        <v>5.0</v>
      </c>
      <c r="S1563" s="132">
        <v>1.0</v>
      </c>
      <c r="T1563" s="65" t="s">
        <v>32</v>
      </c>
      <c r="U1563" s="26"/>
      <c r="V1563" s="26"/>
      <c r="W1563" s="26"/>
      <c r="X1563" s="26"/>
      <c r="Y1563" s="26"/>
      <c r="Z1563" s="26"/>
      <c r="AA1563" s="26"/>
      <c r="AB1563" s="26"/>
      <c r="AC1563" s="26"/>
    </row>
    <row r="1564" ht="33.75" customHeight="1">
      <c r="A1564" s="65" t="s">
        <v>2633</v>
      </c>
      <c r="B1564" s="215" t="s">
        <v>2429</v>
      </c>
      <c r="C1564" s="215" t="s">
        <v>2626</v>
      </c>
      <c r="D1564" s="215" t="s">
        <v>2629</v>
      </c>
      <c r="E1564" s="215" t="s">
        <v>2631</v>
      </c>
      <c r="F1564" s="65"/>
      <c r="G1564" s="65" t="s">
        <v>154</v>
      </c>
      <c r="H1564" s="65" t="s">
        <v>154</v>
      </c>
      <c r="I1564" s="65"/>
      <c r="J1564" s="65" t="s">
        <v>9</v>
      </c>
      <c r="K1564" s="65" t="s">
        <v>9</v>
      </c>
      <c r="L1564" s="128">
        <v>0.25</v>
      </c>
      <c r="M1564" s="180">
        <f t="shared" si="912"/>
        <v>0.625</v>
      </c>
      <c r="N1564" s="128">
        <v>1.0</v>
      </c>
      <c r="O1564" s="129">
        <f t="shared" si="981"/>
        <v>0.625</v>
      </c>
      <c r="P1564" s="159">
        <v>0.1</v>
      </c>
      <c r="Q1564" s="208">
        <f t="shared" si="982"/>
        <v>0.6875</v>
      </c>
      <c r="R1564" s="132">
        <v>4.0</v>
      </c>
      <c r="S1564" s="132">
        <v>2.0</v>
      </c>
      <c r="T1564" s="65" t="s">
        <v>70</v>
      </c>
      <c r="U1564" s="26"/>
      <c r="V1564" s="26"/>
      <c r="W1564" s="26"/>
      <c r="X1564" s="26"/>
      <c r="Y1564" s="26"/>
      <c r="Z1564" s="26"/>
      <c r="AA1564" s="26"/>
      <c r="AB1564" s="26"/>
      <c r="AC1564" s="26"/>
    </row>
    <row r="1565" ht="33.75" customHeight="1">
      <c r="A1565" s="54" t="s">
        <v>2634</v>
      </c>
      <c r="B1565" s="209" t="s">
        <v>2429</v>
      </c>
      <c r="C1565" s="209" t="s">
        <v>2626</v>
      </c>
      <c r="D1565" s="209" t="s">
        <v>2635</v>
      </c>
      <c r="E1565" s="209" t="s">
        <v>2636</v>
      </c>
      <c r="F1565" s="54"/>
      <c r="G1565" s="54" t="s">
        <v>168</v>
      </c>
      <c r="H1565" s="54" t="s">
        <v>168</v>
      </c>
      <c r="I1565" s="54"/>
      <c r="J1565" s="54" t="s">
        <v>9</v>
      </c>
      <c r="K1565" s="54" t="s">
        <v>9</v>
      </c>
      <c r="L1565" s="202">
        <f>IF(COUNT(L1566:N1568)=0,"",SUM(L1566:L1568))</f>
        <v>0.75</v>
      </c>
      <c r="M1565" s="174">
        <f t="shared" si="912"/>
        <v>1.625</v>
      </c>
      <c r="N1565" s="202">
        <f>IF(COUNT(L1566:N1568)=0,"",SUM(N1566:N1568))</f>
        <v>2.5</v>
      </c>
      <c r="O1565" s="202">
        <f>IF(COUNT(O1566:O1568)=0,"",SUM(O1566:O1568))</f>
        <v>1.625</v>
      </c>
      <c r="P1565" s="210"/>
      <c r="Q1565" s="202">
        <f>IF(COUNT(Q1566:Q1568)=0,"",SUM(Q1566:Q1568))</f>
        <v>1.7875</v>
      </c>
      <c r="R1565" s="163"/>
      <c r="S1565" s="163"/>
      <c r="T1565" s="54" t="s">
        <v>65</v>
      </c>
      <c r="U1565" s="26"/>
      <c r="V1565" s="26"/>
      <c r="W1565" s="26"/>
      <c r="X1565" s="105"/>
      <c r="Y1565" s="105"/>
      <c r="Z1565" s="105"/>
      <c r="AA1565" s="105"/>
      <c r="AB1565" s="105"/>
      <c r="AC1565" s="105"/>
    </row>
    <row r="1566" ht="33.75" customHeight="1">
      <c r="A1566" s="65" t="s">
        <v>2637</v>
      </c>
      <c r="B1566" s="215" t="s">
        <v>2429</v>
      </c>
      <c r="C1566" s="215" t="s">
        <v>2626</v>
      </c>
      <c r="D1566" s="215" t="s">
        <v>2635</v>
      </c>
      <c r="E1566" s="215" t="s">
        <v>2636</v>
      </c>
      <c r="F1566" s="65"/>
      <c r="G1566" s="65" t="s">
        <v>168</v>
      </c>
      <c r="H1566" s="65" t="s">
        <v>168</v>
      </c>
      <c r="I1566" s="65"/>
      <c r="J1566" s="65" t="s">
        <v>9</v>
      </c>
      <c r="K1566" s="65" t="s">
        <v>9</v>
      </c>
      <c r="L1566" s="128">
        <v>0.0</v>
      </c>
      <c r="M1566" s="180">
        <f t="shared" si="912"/>
        <v>0</v>
      </c>
      <c r="N1566" s="128">
        <v>0.0</v>
      </c>
      <c r="O1566" s="129">
        <f t="shared" ref="O1566:O1568" si="983">IF(COUNT(L1566:N1566)=0,"",(L1566+4*M1566+N1566)/6)</f>
        <v>0</v>
      </c>
      <c r="P1566" s="159">
        <v>0.0</v>
      </c>
      <c r="Q1566" s="208">
        <f t="shared" ref="Q1566:Q1568" si="984">IF(O1566="","",IF(P1566="",O1566,O1566*(1+P1566)))</f>
        <v>0</v>
      </c>
      <c r="R1566" s="132">
        <v>5.0</v>
      </c>
      <c r="S1566" s="132">
        <v>1.0</v>
      </c>
      <c r="T1566" s="65" t="s">
        <v>31</v>
      </c>
      <c r="U1566" s="26"/>
      <c r="V1566" s="26"/>
      <c r="W1566" s="26"/>
      <c r="X1566" s="26"/>
      <c r="Y1566" s="26"/>
      <c r="Z1566" s="26"/>
      <c r="AA1566" s="26"/>
      <c r="AB1566" s="26"/>
      <c r="AC1566" s="26"/>
    </row>
    <row r="1567" ht="33.75" customHeight="1">
      <c r="A1567" s="65" t="s">
        <v>2638</v>
      </c>
      <c r="B1567" s="215" t="s">
        <v>2429</v>
      </c>
      <c r="C1567" s="215" t="s">
        <v>2626</v>
      </c>
      <c r="D1567" s="215" t="s">
        <v>2635</v>
      </c>
      <c r="E1567" s="215" t="s">
        <v>2636</v>
      </c>
      <c r="F1567" s="65"/>
      <c r="G1567" s="65" t="s">
        <v>168</v>
      </c>
      <c r="H1567" s="65" t="s">
        <v>168</v>
      </c>
      <c r="I1567" s="65"/>
      <c r="J1567" s="65" t="s">
        <v>9</v>
      </c>
      <c r="K1567" s="65" t="s">
        <v>9</v>
      </c>
      <c r="L1567" s="128">
        <v>0.75</v>
      </c>
      <c r="M1567" s="180">
        <f t="shared" si="912"/>
        <v>1.625</v>
      </c>
      <c r="N1567" s="128">
        <v>2.5</v>
      </c>
      <c r="O1567" s="129">
        <f t="shared" si="983"/>
        <v>1.625</v>
      </c>
      <c r="P1567" s="159">
        <v>0.1</v>
      </c>
      <c r="Q1567" s="208">
        <f t="shared" si="984"/>
        <v>1.7875</v>
      </c>
      <c r="R1567" s="132">
        <v>4.0</v>
      </c>
      <c r="S1567" s="132">
        <v>2.0</v>
      </c>
      <c r="T1567" s="65" t="s">
        <v>32</v>
      </c>
      <c r="U1567" s="26"/>
      <c r="V1567" s="26"/>
      <c r="W1567" s="26"/>
      <c r="X1567" s="26"/>
      <c r="Y1567" s="26"/>
      <c r="Z1567" s="26"/>
      <c r="AA1567" s="26"/>
      <c r="AB1567" s="26"/>
      <c r="AC1567" s="26"/>
    </row>
    <row r="1568" ht="33.75" customHeight="1">
      <c r="A1568" s="65" t="s">
        <v>2639</v>
      </c>
      <c r="B1568" s="215" t="s">
        <v>2429</v>
      </c>
      <c r="C1568" s="215" t="s">
        <v>2626</v>
      </c>
      <c r="D1568" s="215" t="s">
        <v>2635</v>
      </c>
      <c r="E1568" s="215" t="s">
        <v>2636</v>
      </c>
      <c r="F1568" s="65"/>
      <c r="G1568" s="65" t="s">
        <v>168</v>
      </c>
      <c r="H1568" s="65" t="s">
        <v>168</v>
      </c>
      <c r="I1568" s="65"/>
      <c r="J1568" s="65" t="s">
        <v>9</v>
      </c>
      <c r="K1568" s="65" t="s">
        <v>9</v>
      </c>
      <c r="L1568" s="128">
        <v>0.0</v>
      </c>
      <c r="M1568" s="180">
        <f t="shared" si="912"/>
        <v>0</v>
      </c>
      <c r="N1568" s="128">
        <v>0.0</v>
      </c>
      <c r="O1568" s="129">
        <f t="shared" si="983"/>
        <v>0</v>
      </c>
      <c r="P1568" s="159">
        <v>0.0</v>
      </c>
      <c r="Q1568" s="208">
        <f t="shared" si="984"/>
        <v>0</v>
      </c>
      <c r="R1568" s="132">
        <v>5.0</v>
      </c>
      <c r="S1568" s="132">
        <v>1.0</v>
      </c>
      <c r="T1568" s="65" t="s">
        <v>70</v>
      </c>
      <c r="U1568" s="26"/>
      <c r="V1568" s="26"/>
      <c r="W1568" s="26"/>
      <c r="X1568" s="26"/>
      <c r="Y1568" s="26"/>
      <c r="Z1568" s="26"/>
      <c r="AA1568" s="26"/>
      <c r="AB1568" s="26"/>
      <c r="AC1568" s="26"/>
    </row>
    <row r="1569" ht="33.75" customHeight="1">
      <c r="A1569" s="54" t="s">
        <v>2640</v>
      </c>
      <c r="B1569" s="209" t="s">
        <v>2429</v>
      </c>
      <c r="C1569" s="209" t="s">
        <v>2626</v>
      </c>
      <c r="D1569" s="209" t="s">
        <v>2641</v>
      </c>
      <c r="E1569" s="209" t="s">
        <v>2642</v>
      </c>
      <c r="F1569" s="54"/>
      <c r="G1569" s="54" t="s">
        <v>168</v>
      </c>
      <c r="H1569" s="54" t="s">
        <v>168</v>
      </c>
      <c r="I1569" s="54"/>
      <c r="J1569" s="54" t="s">
        <v>9</v>
      </c>
      <c r="K1569" s="54" t="s">
        <v>9</v>
      </c>
      <c r="L1569" s="202">
        <f>IF(COUNT(L1570:N1572)=0,"",SUM(L1570:L1572))</f>
        <v>1.25</v>
      </c>
      <c r="M1569" s="174">
        <f t="shared" si="912"/>
        <v>2.875</v>
      </c>
      <c r="N1569" s="202">
        <f>IF(COUNT(L1570:N1572)=0,"",SUM(N1570:N1572))</f>
        <v>4.5</v>
      </c>
      <c r="O1569" s="202">
        <f>IF(COUNT(O1570:O1572)=0,"",SUM(O1570:O1572))</f>
        <v>2.875</v>
      </c>
      <c r="P1569" s="210"/>
      <c r="Q1569" s="202">
        <f>IF(COUNT(Q1570:Q1572)=0,"",SUM(Q1570:Q1572))</f>
        <v>3.13125</v>
      </c>
      <c r="R1569" s="163"/>
      <c r="S1569" s="163"/>
      <c r="T1569" s="54" t="s">
        <v>65</v>
      </c>
      <c r="U1569" s="26"/>
      <c r="V1569" s="26"/>
      <c r="W1569" s="26"/>
      <c r="X1569" s="105"/>
      <c r="Y1569" s="105"/>
      <c r="Z1569" s="105"/>
      <c r="AA1569" s="105"/>
      <c r="AB1569" s="105"/>
      <c r="AC1569" s="105"/>
    </row>
    <row r="1570" ht="33.75" customHeight="1">
      <c r="A1570" s="65" t="s">
        <v>2643</v>
      </c>
      <c r="B1570" s="215" t="s">
        <v>2429</v>
      </c>
      <c r="C1570" s="215" t="s">
        <v>2626</v>
      </c>
      <c r="D1570" s="215" t="s">
        <v>2641</v>
      </c>
      <c r="E1570" s="215" t="s">
        <v>2642</v>
      </c>
      <c r="F1570" s="65"/>
      <c r="G1570" s="65" t="s">
        <v>168</v>
      </c>
      <c r="H1570" s="65" t="s">
        <v>168</v>
      </c>
      <c r="I1570" s="65"/>
      <c r="J1570" s="65" t="s">
        <v>9</v>
      </c>
      <c r="K1570" s="65" t="s">
        <v>9</v>
      </c>
      <c r="L1570" s="128">
        <v>0.25</v>
      </c>
      <c r="M1570" s="180">
        <f t="shared" si="912"/>
        <v>0.625</v>
      </c>
      <c r="N1570" s="128">
        <v>1.0</v>
      </c>
      <c r="O1570" s="129">
        <f t="shared" ref="O1570:O1572" si="985">IF(COUNT(L1570:N1570)=0,"",(L1570+4*M1570+N1570)/6)</f>
        <v>0.625</v>
      </c>
      <c r="P1570" s="159">
        <v>0.05</v>
      </c>
      <c r="Q1570" s="208">
        <f t="shared" ref="Q1570:Q1572" si="986">IF(O1570="","",IF(P1570="",O1570,O1570*(1+P1570)))</f>
        <v>0.65625</v>
      </c>
      <c r="R1570" s="132">
        <v>5.0</v>
      </c>
      <c r="S1570" s="132">
        <v>1.0</v>
      </c>
      <c r="T1570" s="65" t="s">
        <v>31</v>
      </c>
      <c r="U1570" s="26"/>
      <c r="V1570" s="26"/>
      <c r="W1570" s="26"/>
      <c r="X1570" s="26"/>
      <c r="Y1570" s="26"/>
      <c r="Z1570" s="26"/>
      <c r="AA1570" s="26"/>
      <c r="AB1570" s="26"/>
      <c r="AC1570" s="26"/>
    </row>
    <row r="1571" ht="33.75" customHeight="1">
      <c r="A1571" s="65" t="s">
        <v>2644</v>
      </c>
      <c r="B1571" s="215" t="s">
        <v>2429</v>
      </c>
      <c r="C1571" s="215" t="s">
        <v>2626</v>
      </c>
      <c r="D1571" s="215" t="s">
        <v>2641</v>
      </c>
      <c r="E1571" s="215" t="s">
        <v>2642</v>
      </c>
      <c r="F1571" s="65"/>
      <c r="G1571" s="65" t="s">
        <v>168</v>
      </c>
      <c r="H1571" s="65" t="s">
        <v>168</v>
      </c>
      <c r="I1571" s="65"/>
      <c r="J1571" s="65" t="s">
        <v>9</v>
      </c>
      <c r="K1571" s="65" t="s">
        <v>9</v>
      </c>
      <c r="L1571" s="128">
        <v>0.75</v>
      </c>
      <c r="M1571" s="180">
        <f t="shared" si="912"/>
        <v>1.625</v>
      </c>
      <c r="N1571" s="128">
        <v>2.5</v>
      </c>
      <c r="O1571" s="129">
        <f t="shared" si="985"/>
        <v>1.625</v>
      </c>
      <c r="P1571" s="159">
        <v>0.1</v>
      </c>
      <c r="Q1571" s="208">
        <f t="shared" si="986"/>
        <v>1.7875</v>
      </c>
      <c r="R1571" s="132">
        <v>4.0</v>
      </c>
      <c r="S1571" s="132">
        <v>2.0</v>
      </c>
      <c r="T1571" s="65" t="s">
        <v>32</v>
      </c>
      <c r="U1571" s="26"/>
      <c r="V1571" s="26"/>
      <c r="W1571" s="26"/>
      <c r="X1571" s="26"/>
      <c r="Y1571" s="26"/>
      <c r="Z1571" s="26"/>
      <c r="AA1571" s="26"/>
      <c r="AB1571" s="26"/>
      <c r="AC1571" s="26"/>
    </row>
    <row r="1572" ht="33.75" customHeight="1">
      <c r="A1572" s="65" t="s">
        <v>2645</v>
      </c>
      <c r="B1572" s="215" t="s">
        <v>2429</v>
      </c>
      <c r="C1572" s="215" t="s">
        <v>2626</v>
      </c>
      <c r="D1572" s="215" t="s">
        <v>2641</v>
      </c>
      <c r="E1572" s="215" t="s">
        <v>2642</v>
      </c>
      <c r="F1572" s="65"/>
      <c r="G1572" s="65" t="s">
        <v>168</v>
      </c>
      <c r="H1572" s="65" t="s">
        <v>168</v>
      </c>
      <c r="I1572" s="65"/>
      <c r="J1572" s="65" t="s">
        <v>9</v>
      </c>
      <c r="K1572" s="65" t="s">
        <v>9</v>
      </c>
      <c r="L1572" s="128">
        <v>0.25</v>
      </c>
      <c r="M1572" s="180">
        <f t="shared" si="912"/>
        <v>0.625</v>
      </c>
      <c r="N1572" s="128">
        <v>1.0</v>
      </c>
      <c r="O1572" s="129">
        <f t="shared" si="985"/>
        <v>0.625</v>
      </c>
      <c r="P1572" s="159">
        <v>0.1</v>
      </c>
      <c r="Q1572" s="208">
        <f t="shared" si="986"/>
        <v>0.6875</v>
      </c>
      <c r="R1572" s="132">
        <v>4.0</v>
      </c>
      <c r="S1572" s="132">
        <v>2.0</v>
      </c>
      <c r="T1572" s="65" t="s">
        <v>70</v>
      </c>
      <c r="U1572" s="26"/>
      <c r="V1572" s="26"/>
      <c r="W1572" s="26"/>
      <c r="X1572" s="26"/>
      <c r="Y1572" s="26"/>
      <c r="Z1572" s="26"/>
      <c r="AA1572" s="26"/>
      <c r="AB1572" s="26"/>
      <c r="AC1572" s="26"/>
    </row>
    <row r="1573" ht="33.75" customHeight="1">
      <c r="A1573" s="54" t="s">
        <v>2646</v>
      </c>
      <c r="B1573" s="209" t="s">
        <v>2429</v>
      </c>
      <c r="C1573" s="209" t="s">
        <v>2626</v>
      </c>
      <c r="D1573" s="209" t="s">
        <v>2647</v>
      </c>
      <c r="E1573" s="209" t="s">
        <v>2648</v>
      </c>
      <c r="F1573" s="54" t="s">
        <v>2649</v>
      </c>
      <c r="G1573" s="54" t="s">
        <v>168</v>
      </c>
      <c r="H1573" s="54" t="s">
        <v>168</v>
      </c>
      <c r="I1573" s="54"/>
      <c r="J1573" s="54" t="s">
        <v>9</v>
      </c>
      <c r="K1573" s="54" t="s">
        <v>9</v>
      </c>
      <c r="L1573" s="202">
        <f>IF(COUNT(L1574:N1576)=0,"",SUM(L1574:L1576))</f>
        <v>1</v>
      </c>
      <c r="M1573" s="174">
        <f t="shared" si="912"/>
        <v>1.75</v>
      </c>
      <c r="N1573" s="202">
        <f>IF(COUNT(L1574:N1576)=0,"",SUM(N1574:N1576))</f>
        <v>2.5</v>
      </c>
      <c r="O1573" s="202">
        <f>IF(COUNT(O1574:O1576)=0,"",SUM(O1574:O1576))</f>
        <v>1.75</v>
      </c>
      <c r="P1573" s="210"/>
      <c r="Q1573" s="202">
        <f>IF(COUNT(Q1574:Q1576)=0,"",SUM(Q1574:Q1576))</f>
        <v>2.0125</v>
      </c>
      <c r="R1573" s="163"/>
      <c r="S1573" s="163"/>
      <c r="T1573" s="54" t="s">
        <v>65</v>
      </c>
      <c r="U1573" s="26"/>
      <c r="V1573" s="26"/>
      <c r="W1573" s="26"/>
      <c r="X1573" s="105"/>
      <c r="Y1573" s="105"/>
      <c r="Z1573" s="105"/>
      <c r="AA1573" s="105"/>
      <c r="AB1573" s="105"/>
      <c r="AC1573" s="105"/>
    </row>
    <row r="1574" ht="33.75" customHeight="1">
      <c r="A1574" s="65" t="s">
        <v>2650</v>
      </c>
      <c r="B1574" s="215" t="s">
        <v>2429</v>
      </c>
      <c r="C1574" s="215" t="s">
        <v>2626</v>
      </c>
      <c r="D1574" s="215" t="s">
        <v>2647</v>
      </c>
      <c r="E1574" s="215" t="s">
        <v>2648</v>
      </c>
      <c r="F1574" s="65" t="s">
        <v>2649</v>
      </c>
      <c r="G1574" s="65" t="s">
        <v>168</v>
      </c>
      <c r="H1574" s="65" t="s">
        <v>168</v>
      </c>
      <c r="I1574" s="65"/>
      <c r="J1574" s="65" t="s">
        <v>9</v>
      </c>
      <c r="K1574" s="65" t="s">
        <v>9</v>
      </c>
      <c r="L1574" s="128">
        <v>0.0</v>
      </c>
      <c r="M1574" s="180">
        <f t="shared" si="912"/>
        <v>0</v>
      </c>
      <c r="N1574" s="128">
        <v>0.0</v>
      </c>
      <c r="O1574" s="129">
        <f t="shared" ref="O1574:O1576" si="987">IF(COUNT(L1574:N1574)=0,"",(L1574+4*M1574+N1574)/6)</f>
        <v>0</v>
      </c>
      <c r="P1574" s="159">
        <v>0.0</v>
      </c>
      <c r="Q1574" s="208">
        <f t="shared" ref="Q1574:Q1576" si="988">IF(O1574="","",IF(P1574="",O1574,O1574*(1+P1574)))</f>
        <v>0</v>
      </c>
      <c r="R1574" s="132">
        <v>5.0</v>
      </c>
      <c r="S1574" s="132">
        <v>1.0</v>
      </c>
      <c r="T1574" s="65" t="s">
        <v>31</v>
      </c>
      <c r="U1574" s="26"/>
      <c r="V1574" s="26"/>
      <c r="W1574" s="26"/>
      <c r="X1574" s="26"/>
      <c r="Y1574" s="26"/>
      <c r="Z1574" s="26"/>
      <c r="AA1574" s="26"/>
      <c r="AB1574" s="26"/>
      <c r="AC1574" s="26"/>
    </row>
    <row r="1575" ht="33.75" customHeight="1">
      <c r="A1575" s="65" t="s">
        <v>2651</v>
      </c>
      <c r="B1575" s="215" t="s">
        <v>2429</v>
      </c>
      <c r="C1575" s="215" t="s">
        <v>2626</v>
      </c>
      <c r="D1575" s="215" t="s">
        <v>2647</v>
      </c>
      <c r="E1575" s="215" t="s">
        <v>2648</v>
      </c>
      <c r="F1575" s="65" t="s">
        <v>2649</v>
      </c>
      <c r="G1575" s="65" t="s">
        <v>168</v>
      </c>
      <c r="H1575" s="65" t="s">
        <v>168</v>
      </c>
      <c r="I1575" s="65"/>
      <c r="J1575" s="65" t="s">
        <v>9</v>
      </c>
      <c r="K1575" s="65" t="s">
        <v>9</v>
      </c>
      <c r="L1575" s="128">
        <v>1.0</v>
      </c>
      <c r="M1575" s="180">
        <f t="shared" si="912"/>
        <v>1.75</v>
      </c>
      <c r="N1575" s="128">
        <v>2.5</v>
      </c>
      <c r="O1575" s="129">
        <f t="shared" si="987"/>
        <v>1.75</v>
      </c>
      <c r="P1575" s="159">
        <v>0.15</v>
      </c>
      <c r="Q1575" s="208">
        <f t="shared" si="988"/>
        <v>2.0125</v>
      </c>
      <c r="R1575" s="132">
        <v>4.0</v>
      </c>
      <c r="S1575" s="132">
        <v>2.0</v>
      </c>
      <c r="T1575" s="65" t="s">
        <v>32</v>
      </c>
      <c r="U1575" s="26"/>
      <c r="V1575" s="26"/>
      <c r="W1575" s="26"/>
      <c r="X1575" s="26"/>
      <c r="Y1575" s="26"/>
      <c r="Z1575" s="26"/>
      <c r="AA1575" s="26"/>
      <c r="AB1575" s="26"/>
      <c r="AC1575" s="26"/>
    </row>
    <row r="1576" ht="33.75" customHeight="1">
      <c r="A1576" s="65" t="s">
        <v>2652</v>
      </c>
      <c r="B1576" s="215" t="s">
        <v>2429</v>
      </c>
      <c r="C1576" s="215" t="s">
        <v>2626</v>
      </c>
      <c r="D1576" s="215" t="s">
        <v>2647</v>
      </c>
      <c r="E1576" s="215" t="s">
        <v>2648</v>
      </c>
      <c r="F1576" s="65" t="s">
        <v>2649</v>
      </c>
      <c r="G1576" s="65" t="s">
        <v>168</v>
      </c>
      <c r="H1576" s="65" t="s">
        <v>168</v>
      </c>
      <c r="I1576" s="65"/>
      <c r="J1576" s="65" t="s">
        <v>9</v>
      </c>
      <c r="K1576" s="65" t="s">
        <v>9</v>
      </c>
      <c r="L1576" s="128">
        <v>0.0</v>
      </c>
      <c r="M1576" s="180">
        <f t="shared" si="912"/>
        <v>0</v>
      </c>
      <c r="N1576" s="128">
        <v>0.0</v>
      </c>
      <c r="O1576" s="129">
        <f t="shared" si="987"/>
        <v>0</v>
      </c>
      <c r="P1576" s="159">
        <v>0.0</v>
      </c>
      <c r="Q1576" s="208">
        <f t="shared" si="988"/>
        <v>0</v>
      </c>
      <c r="R1576" s="132">
        <v>5.0</v>
      </c>
      <c r="S1576" s="132">
        <v>1.0</v>
      </c>
      <c r="T1576" s="65" t="s">
        <v>70</v>
      </c>
      <c r="U1576" s="26"/>
      <c r="V1576" s="26"/>
      <c r="W1576" s="26"/>
      <c r="X1576" s="26"/>
      <c r="Y1576" s="26"/>
      <c r="Z1576" s="26"/>
      <c r="AA1576" s="26"/>
      <c r="AB1576" s="26"/>
      <c r="AC1576" s="26"/>
    </row>
    <row r="1577" ht="33.75" customHeight="1">
      <c r="A1577" s="112" t="s">
        <v>2653</v>
      </c>
      <c r="B1577" s="38" t="s">
        <v>2429</v>
      </c>
      <c r="C1577" s="38" t="s">
        <v>2654</v>
      </c>
      <c r="D1577" s="38" t="s">
        <v>2654</v>
      </c>
      <c r="E1577" s="113" t="s">
        <v>2655</v>
      </c>
      <c r="F1577" s="114"/>
      <c r="G1577" s="114"/>
      <c r="H1577" s="45"/>
      <c r="I1577" s="45"/>
      <c r="J1577" s="114"/>
      <c r="K1577" s="115"/>
      <c r="L1577" s="42">
        <f>IF(COUNT(L1578,L1582,L1586)=0,"",SUM(L1578,L1582,L1586))</f>
        <v>4</v>
      </c>
      <c r="M1577" s="42">
        <f t="shared" si="912"/>
        <v>7.75</v>
      </c>
      <c r="N1577" s="42">
        <f t="shared" ref="N1577:O1577" si="989">IF(COUNT(N1578,N1582,N1586)=0,"",SUM(N1578,N1582,N1586))</f>
        <v>11.5</v>
      </c>
      <c r="O1577" s="42">
        <f t="shared" si="989"/>
        <v>7.75</v>
      </c>
      <c r="P1577" s="43"/>
      <c r="Q1577" s="42">
        <f>IF(COUNT(Q1578,Q1582,Q1586)=0,"",SUM(Q1578,Q1582,Q1586))</f>
        <v>8.525</v>
      </c>
      <c r="R1577" s="44"/>
      <c r="S1577" s="44"/>
      <c r="T1577" s="45" t="s">
        <v>62</v>
      </c>
      <c r="U1577" s="26"/>
      <c r="V1577" s="26"/>
      <c r="W1577" s="26"/>
      <c r="X1577" s="46">
        <f t="shared" ref="X1577:AA1577" si="990">L1577</f>
        <v>4</v>
      </c>
      <c r="Y1577" s="46">
        <f t="shared" si="990"/>
        <v>7.75</v>
      </c>
      <c r="Z1577" s="46">
        <f t="shared" si="990"/>
        <v>11.5</v>
      </c>
      <c r="AA1577" s="46">
        <f t="shared" si="990"/>
        <v>7.75</v>
      </c>
      <c r="AB1577" s="26"/>
      <c r="AC1577" s="46">
        <f>Q1577</f>
        <v>8.525</v>
      </c>
    </row>
    <row r="1578" ht="33.75" customHeight="1">
      <c r="A1578" s="116" t="s">
        <v>2656</v>
      </c>
      <c r="B1578" s="77" t="s">
        <v>2429</v>
      </c>
      <c r="C1578" s="77" t="s">
        <v>2654</v>
      </c>
      <c r="D1578" s="77" t="s">
        <v>2657</v>
      </c>
      <c r="E1578" s="117" t="s">
        <v>2658</v>
      </c>
      <c r="F1578" s="118" t="s">
        <v>2659</v>
      </c>
      <c r="G1578" s="118" t="s">
        <v>168</v>
      </c>
      <c r="H1578" s="119" t="s">
        <v>168</v>
      </c>
      <c r="I1578" s="54"/>
      <c r="J1578" s="118" t="s">
        <v>9</v>
      </c>
      <c r="K1578" s="120" t="s">
        <v>9</v>
      </c>
      <c r="L1578" s="202">
        <f>IF(COUNT(L1579:N1581)=0,"",SUM(L1579:L1581))</f>
        <v>2.5</v>
      </c>
      <c r="M1578" s="174">
        <f t="shared" si="912"/>
        <v>4.5</v>
      </c>
      <c r="N1578" s="202">
        <f>IF(COUNT(L1579:N1581)=0,"",SUM(N1579:N1581))</f>
        <v>6.5</v>
      </c>
      <c r="O1578" s="202">
        <f>IF(COUNT(O1579:O1581)=0,"",SUM(O1579:O1581))</f>
        <v>4.5</v>
      </c>
      <c r="P1578" s="210"/>
      <c r="Q1578" s="202">
        <f>IF(COUNT(Q1579:Q1581)=0,"",SUM(Q1579:Q1581))</f>
        <v>4.95</v>
      </c>
      <c r="R1578" s="163"/>
      <c r="S1578" s="163"/>
      <c r="T1578" s="54" t="s">
        <v>65</v>
      </c>
      <c r="U1578" s="26"/>
      <c r="V1578" s="26"/>
      <c r="W1578" s="26"/>
      <c r="X1578" s="46"/>
      <c r="Y1578" s="46"/>
      <c r="Z1578" s="46"/>
      <c r="AA1578" s="46"/>
      <c r="AB1578" s="232"/>
      <c r="AC1578" s="46"/>
    </row>
    <row r="1579" ht="33.75" customHeight="1">
      <c r="A1579" s="65" t="s">
        <v>2660</v>
      </c>
      <c r="B1579" s="215" t="s">
        <v>2429</v>
      </c>
      <c r="C1579" s="215" t="s">
        <v>2654</v>
      </c>
      <c r="D1579" s="215" t="s">
        <v>2657</v>
      </c>
      <c r="E1579" s="215" t="s">
        <v>2658</v>
      </c>
      <c r="F1579" s="65" t="s">
        <v>2659</v>
      </c>
      <c r="G1579" s="65" t="s">
        <v>168</v>
      </c>
      <c r="H1579" s="65" t="s">
        <v>168</v>
      </c>
      <c r="I1579" s="65"/>
      <c r="J1579" s="65" t="s">
        <v>9</v>
      </c>
      <c r="K1579" s="65" t="s">
        <v>9</v>
      </c>
      <c r="L1579" s="128">
        <v>1.0</v>
      </c>
      <c r="M1579" s="180">
        <f t="shared" si="912"/>
        <v>1.75</v>
      </c>
      <c r="N1579" s="128">
        <v>2.5</v>
      </c>
      <c r="O1579" s="129">
        <f t="shared" ref="O1579:O1581" si="991">IF(COUNT(L1579:N1579)=0,"",(L1579+4*M1579+N1579)/6)</f>
        <v>1.75</v>
      </c>
      <c r="P1579" s="159">
        <v>0.1</v>
      </c>
      <c r="Q1579" s="208">
        <f t="shared" ref="Q1579:Q1581" si="992">IF(O1579="","",IF(P1579="",O1579,O1579*(1+P1579)))</f>
        <v>1.925</v>
      </c>
      <c r="R1579" s="132">
        <v>4.0</v>
      </c>
      <c r="S1579" s="132">
        <v>2.0</v>
      </c>
      <c r="T1579" s="65" t="s">
        <v>31</v>
      </c>
      <c r="U1579" s="26"/>
      <c r="V1579" s="26"/>
      <c r="W1579" s="26"/>
      <c r="X1579" s="26"/>
      <c r="Y1579" s="26"/>
      <c r="Z1579" s="26"/>
      <c r="AA1579" s="26"/>
      <c r="AB1579" s="26"/>
      <c r="AC1579" s="26"/>
    </row>
    <row r="1580" ht="33.75" customHeight="1">
      <c r="A1580" s="65" t="s">
        <v>2661</v>
      </c>
      <c r="B1580" s="215" t="s">
        <v>2429</v>
      </c>
      <c r="C1580" s="215" t="s">
        <v>2654</v>
      </c>
      <c r="D1580" s="215" t="s">
        <v>2657</v>
      </c>
      <c r="E1580" s="215" t="s">
        <v>2658</v>
      </c>
      <c r="F1580" s="65" t="s">
        <v>2659</v>
      </c>
      <c r="G1580" s="65" t="s">
        <v>168</v>
      </c>
      <c r="H1580" s="65" t="s">
        <v>168</v>
      </c>
      <c r="I1580" s="65"/>
      <c r="J1580" s="65" t="s">
        <v>9</v>
      </c>
      <c r="K1580" s="65" t="s">
        <v>9</v>
      </c>
      <c r="L1580" s="128">
        <v>1.0</v>
      </c>
      <c r="M1580" s="180">
        <f t="shared" si="912"/>
        <v>1.75</v>
      </c>
      <c r="N1580" s="128">
        <v>2.5</v>
      </c>
      <c r="O1580" s="129">
        <f t="shared" si="991"/>
        <v>1.75</v>
      </c>
      <c r="P1580" s="159">
        <v>0.1</v>
      </c>
      <c r="Q1580" s="208">
        <f t="shared" si="992"/>
        <v>1.925</v>
      </c>
      <c r="R1580" s="132">
        <v>4.0</v>
      </c>
      <c r="S1580" s="132">
        <v>2.0</v>
      </c>
      <c r="T1580" s="65" t="s">
        <v>32</v>
      </c>
      <c r="U1580" s="26"/>
      <c r="V1580" s="26"/>
      <c r="W1580" s="26"/>
      <c r="X1580" s="26"/>
      <c r="Y1580" s="26"/>
      <c r="Z1580" s="26"/>
      <c r="AA1580" s="26"/>
      <c r="AB1580" s="26"/>
      <c r="AC1580" s="26"/>
    </row>
    <row r="1581" ht="33.75" customHeight="1">
      <c r="A1581" s="65" t="s">
        <v>2662</v>
      </c>
      <c r="B1581" s="215" t="s">
        <v>2429</v>
      </c>
      <c r="C1581" s="215" t="s">
        <v>2654</v>
      </c>
      <c r="D1581" s="215" t="s">
        <v>2657</v>
      </c>
      <c r="E1581" s="215" t="s">
        <v>2658</v>
      </c>
      <c r="F1581" s="65" t="s">
        <v>2659</v>
      </c>
      <c r="G1581" s="65" t="s">
        <v>168</v>
      </c>
      <c r="H1581" s="65" t="s">
        <v>168</v>
      </c>
      <c r="I1581" s="65"/>
      <c r="J1581" s="65" t="s">
        <v>9</v>
      </c>
      <c r="K1581" s="65" t="s">
        <v>9</v>
      </c>
      <c r="L1581" s="128">
        <v>0.5</v>
      </c>
      <c r="M1581" s="180">
        <f t="shared" si="912"/>
        <v>1</v>
      </c>
      <c r="N1581" s="128">
        <v>1.5</v>
      </c>
      <c r="O1581" s="129">
        <f t="shared" si="991"/>
        <v>1</v>
      </c>
      <c r="P1581" s="159">
        <v>0.1</v>
      </c>
      <c r="Q1581" s="208">
        <f t="shared" si="992"/>
        <v>1.1</v>
      </c>
      <c r="R1581" s="132">
        <v>4.0</v>
      </c>
      <c r="S1581" s="132">
        <v>2.0</v>
      </c>
      <c r="T1581" s="65" t="s">
        <v>70</v>
      </c>
      <c r="U1581" s="26"/>
      <c r="V1581" s="26"/>
      <c r="W1581" s="26"/>
      <c r="X1581" s="26"/>
      <c r="Y1581" s="26"/>
      <c r="Z1581" s="26"/>
      <c r="AA1581" s="26"/>
      <c r="AB1581" s="26"/>
      <c r="AC1581" s="26"/>
    </row>
    <row r="1582" ht="33.75" customHeight="1">
      <c r="A1582" s="54" t="s">
        <v>2663</v>
      </c>
      <c r="B1582" s="209" t="s">
        <v>2429</v>
      </c>
      <c r="C1582" s="209" t="s">
        <v>2654</v>
      </c>
      <c r="D1582" s="209" t="s">
        <v>2664</v>
      </c>
      <c r="E1582" s="209" t="s">
        <v>2665</v>
      </c>
      <c r="F1582" s="54" t="s">
        <v>2656</v>
      </c>
      <c r="G1582" s="54" t="s">
        <v>168</v>
      </c>
      <c r="H1582" s="54" t="s">
        <v>168</v>
      </c>
      <c r="I1582" s="54"/>
      <c r="J1582" s="54" t="s">
        <v>9</v>
      </c>
      <c r="K1582" s="54" t="s">
        <v>9</v>
      </c>
      <c r="L1582" s="202">
        <f>IF(COUNT(L1583:N1585)=0,"",SUM(L1583:L1585))</f>
        <v>1.5</v>
      </c>
      <c r="M1582" s="174">
        <f t="shared" si="912"/>
        <v>3.25</v>
      </c>
      <c r="N1582" s="202">
        <f>IF(COUNT(L1583:N1585)=0,"",SUM(N1583:N1585))</f>
        <v>5</v>
      </c>
      <c r="O1582" s="202">
        <f>IF(COUNT(O1583:O1585)=0,"",SUM(O1583:O1585))</f>
        <v>3.25</v>
      </c>
      <c r="P1582" s="210"/>
      <c r="Q1582" s="202">
        <f>IF(COUNT(Q1583:Q1585)=0,"",SUM(Q1583:Q1585))</f>
        <v>3.575</v>
      </c>
      <c r="R1582" s="163"/>
      <c r="S1582" s="163"/>
      <c r="T1582" s="54" t="s">
        <v>65</v>
      </c>
      <c r="U1582" s="26"/>
      <c r="V1582" s="26"/>
      <c r="W1582" s="26"/>
      <c r="X1582" s="105"/>
      <c r="Y1582" s="105"/>
      <c r="Z1582" s="105"/>
      <c r="AA1582" s="105"/>
      <c r="AB1582" s="105"/>
      <c r="AC1582" s="105"/>
    </row>
    <row r="1583" ht="33.75" customHeight="1">
      <c r="A1583" s="65" t="s">
        <v>2666</v>
      </c>
      <c r="B1583" s="215" t="s">
        <v>2429</v>
      </c>
      <c r="C1583" s="215" t="s">
        <v>2654</v>
      </c>
      <c r="D1583" s="215" t="s">
        <v>2664</v>
      </c>
      <c r="E1583" s="215" t="s">
        <v>2665</v>
      </c>
      <c r="F1583" s="65" t="s">
        <v>2656</v>
      </c>
      <c r="G1583" s="65" t="s">
        <v>168</v>
      </c>
      <c r="H1583" s="65" t="s">
        <v>168</v>
      </c>
      <c r="I1583" s="65"/>
      <c r="J1583" s="65" t="s">
        <v>9</v>
      </c>
      <c r="K1583" s="65" t="s">
        <v>9</v>
      </c>
      <c r="L1583" s="128">
        <v>0.75</v>
      </c>
      <c r="M1583" s="180">
        <f t="shared" si="912"/>
        <v>1.625</v>
      </c>
      <c r="N1583" s="128">
        <v>2.5</v>
      </c>
      <c r="O1583" s="129">
        <f t="shared" ref="O1583:O1585" si="993">IF(COUNT(L1583:N1583)=0,"",(L1583+4*M1583+N1583)/6)</f>
        <v>1.625</v>
      </c>
      <c r="P1583" s="159">
        <v>0.1</v>
      </c>
      <c r="Q1583" s="208">
        <f t="shared" ref="Q1583:Q1585" si="994">IF(O1583="","",IF(P1583="",O1583,O1583*(1+P1583)))</f>
        <v>1.7875</v>
      </c>
      <c r="R1583" s="132">
        <v>4.0</v>
      </c>
      <c r="S1583" s="132">
        <v>2.0</v>
      </c>
      <c r="T1583" s="65" t="s">
        <v>31</v>
      </c>
      <c r="U1583" s="26"/>
      <c r="V1583" s="26"/>
      <c r="W1583" s="26"/>
      <c r="X1583" s="26"/>
      <c r="Y1583" s="26"/>
      <c r="Z1583" s="26"/>
      <c r="AA1583" s="26"/>
      <c r="AB1583" s="26"/>
      <c r="AC1583" s="26"/>
    </row>
    <row r="1584" ht="33.75" customHeight="1">
      <c r="A1584" s="65" t="s">
        <v>2667</v>
      </c>
      <c r="B1584" s="215" t="s">
        <v>2429</v>
      </c>
      <c r="C1584" s="215" t="s">
        <v>2654</v>
      </c>
      <c r="D1584" s="215" t="s">
        <v>2664</v>
      </c>
      <c r="E1584" s="215" t="s">
        <v>2665</v>
      </c>
      <c r="F1584" s="65" t="s">
        <v>2656</v>
      </c>
      <c r="G1584" s="65" t="s">
        <v>168</v>
      </c>
      <c r="H1584" s="65" t="s">
        <v>168</v>
      </c>
      <c r="I1584" s="65"/>
      <c r="J1584" s="65" t="s">
        <v>9</v>
      </c>
      <c r="K1584" s="65" t="s">
        <v>9</v>
      </c>
      <c r="L1584" s="128">
        <v>0.5</v>
      </c>
      <c r="M1584" s="180">
        <f t="shared" si="912"/>
        <v>1</v>
      </c>
      <c r="N1584" s="128">
        <v>1.5</v>
      </c>
      <c r="O1584" s="129">
        <f t="shared" si="993"/>
        <v>1</v>
      </c>
      <c r="P1584" s="159">
        <v>0.1</v>
      </c>
      <c r="Q1584" s="208">
        <f t="shared" si="994"/>
        <v>1.1</v>
      </c>
      <c r="R1584" s="132">
        <v>4.0</v>
      </c>
      <c r="S1584" s="132">
        <v>2.0</v>
      </c>
      <c r="T1584" s="65" t="s">
        <v>32</v>
      </c>
      <c r="U1584" s="26"/>
      <c r="V1584" s="26"/>
      <c r="W1584" s="26"/>
      <c r="X1584" s="26"/>
      <c r="Y1584" s="26"/>
      <c r="Z1584" s="26"/>
      <c r="AA1584" s="26"/>
      <c r="AB1584" s="26"/>
      <c r="AC1584" s="26"/>
    </row>
    <row r="1585" ht="33.75" customHeight="1">
      <c r="A1585" s="65" t="s">
        <v>2668</v>
      </c>
      <c r="B1585" s="215" t="s">
        <v>2429</v>
      </c>
      <c r="C1585" s="215" t="s">
        <v>2654</v>
      </c>
      <c r="D1585" s="215" t="s">
        <v>2664</v>
      </c>
      <c r="E1585" s="215" t="s">
        <v>2665</v>
      </c>
      <c r="F1585" s="65" t="s">
        <v>2656</v>
      </c>
      <c r="G1585" s="65" t="s">
        <v>168</v>
      </c>
      <c r="H1585" s="65" t="s">
        <v>168</v>
      </c>
      <c r="I1585" s="65"/>
      <c r="J1585" s="65" t="s">
        <v>9</v>
      </c>
      <c r="K1585" s="65" t="s">
        <v>9</v>
      </c>
      <c r="L1585" s="128">
        <v>0.25</v>
      </c>
      <c r="M1585" s="180">
        <f t="shared" si="912"/>
        <v>0.625</v>
      </c>
      <c r="N1585" s="128">
        <v>1.0</v>
      </c>
      <c r="O1585" s="129">
        <f t="shared" si="993"/>
        <v>0.625</v>
      </c>
      <c r="P1585" s="159">
        <v>0.1</v>
      </c>
      <c r="Q1585" s="208">
        <f t="shared" si="994"/>
        <v>0.6875</v>
      </c>
      <c r="R1585" s="132">
        <v>4.0</v>
      </c>
      <c r="S1585" s="132">
        <v>2.0</v>
      </c>
      <c r="T1585" s="65" t="s">
        <v>70</v>
      </c>
      <c r="U1585" s="26"/>
      <c r="V1585" s="26"/>
      <c r="W1585" s="26"/>
      <c r="X1585" s="26"/>
      <c r="Y1585" s="26"/>
      <c r="Z1585" s="26"/>
      <c r="AA1585" s="26"/>
      <c r="AB1585" s="26"/>
      <c r="AC1585" s="26"/>
    </row>
    <row r="1586" ht="33.75" customHeight="1">
      <c r="A1586" s="98" t="s">
        <v>2669</v>
      </c>
      <c r="B1586" s="99" t="s">
        <v>2429</v>
      </c>
      <c r="C1586" s="99" t="s">
        <v>2654</v>
      </c>
      <c r="D1586" s="99" t="s">
        <v>2670</v>
      </c>
      <c r="E1586" s="99" t="s">
        <v>2671</v>
      </c>
      <c r="F1586" s="98" t="s">
        <v>2672</v>
      </c>
      <c r="G1586" s="98" t="s">
        <v>168</v>
      </c>
      <c r="H1586" s="98" t="s">
        <v>168</v>
      </c>
      <c r="I1586" s="98"/>
      <c r="J1586" s="98" t="s">
        <v>12</v>
      </c>
      <c r="K1586" s="100" t="s">
        <v>12</v>
      </c>
      <c r="L1586" s="101">
        <f>IF(COUNT(L1587:N1589)=0,"",SUM(L1587:L1589))</f>
        <v>0</v>
      </c>
      <c r="M1586" s="102">
        <f t="shared" si="912"/>
        <v>0</v>
      </c>
      <c r="N1586" s="101">
        <f>IF(COUNT(L1587:N1589)=0,"",SUM(N1587:N1589))</f>
        <v>0</v>
      </c>
      <c r="O1586" s="101">
        <f>IF(COUNT(O1587:O1589)=0,"",SUM(O1587:O1589))</f>
        <v>0</v>
      </c>
      <c r="P1586" s="103"/>
      <c r="Q1586" s="101">
        <f>IF(COUNT(Q1587:Q1589)=0,"",SUM(Q1587:Q1589))</f>
        <v>0</v>
      </c>
      <c r="R1586" s="104"/>
      <c r="S1586" s="104"/>
      <c r="T1586" s="98" t="s">
        <v>65</v>
      </c>
      <c r="U1586" s="26"/>
      <c r="V1586" s="26"/>
      <c r="W1586" s="26"/>
      <c r="X1586" s="105"/>
      <c r="Y1586" s="105"/>
      <c r="Z1586" s="105"/>
      <c r="AA1586" s="105"/>
      <c r="AB1586" s="105"/>
      <c r="AC1586" s="105"/>
    </row>
    <row r="1587" ht="33.75" customHeight="1">
      <c r="A1587" s="106" t="s">
        <v>2673</v>
      </c>
      <c r="B1587" s="107" t="s">
        <v>2429</v>
      </c>
      <c r="C1587" s="107" t="s">
        <v>2654</v>
      </c>
      <c r="D1587" s="107" t="s">
        <v>2670</v>
      </c>
      <c r="E1587" s="107" t="s">
        <v>2671</v>
      </c>
      <c r="F1587" s="106" t="s">
        <v>2672</v>
      </c>
      <c r="G1587" s="106" t="s">
        <v>168</v>
      </c>
      <c r="H1587" s="106" t="s">
        <v>168</v>
      </c>
      <c r="I1587" s="106"/>
      <c r="J1587" s="106" t="s">
        <v>12</v>
      </c>
      <c r="K1587" s="108" t="s">
        <v>12</v>
      </c>
      <c r="L1587" s="109"/>
      <c r="M1587" s="109">
        <f t="shared" si="912"/>
        <v>0</v>
      </c>
      <c r="N1587" s="109"/>
      <c r="O1587" s="109">
        <f t="shared" ref="O1587:O1589" si="995">IF(COUNT(L1587:N1587)=0,"",(L1587+4*M1587+N1587)/6)</f>
        <v>0</v>
      </c>
      <c r="P1587" s="110"/>
      <c r="Q1587" s="109">
        <f t="shared" ref="Q1587:Q1589" si="996">IF(O1587="","",IF(P1587="",O1587,O1587*(1+P1587)))</f>
        <v>0</v>
      </c>
      <c r="R1587" s="111"/>
      <c r="S1587" s="111"/>
      <c r="T1587" s="106" t="s">
        <v>31</v>
      </c>
      <c r="U1587" s="26"/>
      <c r="V1587" s="26"/>
      <c r="W1587" s="26"/>
      <c r="X1587" s="26"/>
      <c r="Y1587" s="26"/>
      <c r="Z1587" s="26"/>
      <c r="AA1587" s="26"/>
      <c r="AB1587" s="26"/>
      <c r="AC1587" s="26"/>
    </row>
    <row r="1588" ht="33.75" customHeight="1">
      <c r="A1588" s="106" t="s">
        <v>2674</v>
      </c>
      <c r="B1588" s="107" t="s">
        <v>2429</v>
      </c>
      <c r="C1588" s="107" t="s">
        <v>2654</v>
      </c>
      <c r="D1588" s="107" t="s">
        <v>2670</v>
      </c>
      <c r="E1588" s="107" t="s">
        <v>2671</v>
      </c>
      <c r="F1588" s="106" t="s">
        <v>2672</v>
      </c>
      <c r="G1588" s="106" t="s">
        <v>168</v>
      </c>
      <c r="H1588" s="106" t="s">
        <v>168</v>
      </c>
      <c r="I1588" s="106"/>
      <c r="J1588" s="106" t="s">
        <v>12</v>
      </c>
      <c r="K1588" s="108" t="s">
        <v>12</v>
      </c>
      <c r="L1588" s="109"/>
      <c r="M1588" s="109">
        <f t="shared" si="912"/>
        <v>0</v>
      </c>
      <c r="N1588" s="109"/>
      <c r="O1588" s="109">
        <f t="shared" si="995"/>
        <v>0</v>
      </c>
      <c r="P1588" s="110"/>
      <c r="Q1588" s="109">
        <f t="shared" si="996"/>
        <v>0</v>
      </c>
      <c r="R1588" s="111"/>
      <c r="S1588" s="111"/>
      <c r="T1588" s="106" t="s">
        <v>32</v>
      </c>
      <c r="U1588" s="26"/>
      <c r="V1588" s="26"/>
      <c r="W1588" s="26"/>
      <c r="X1588" s="26"/>
      <c r="Y1588" s="26"/>
      <c r="Z1588" s="26"/>
      <c r="AA1588" s="26"/>
      <c r="AB1588" s="26"/>
      <c r="AC1588" s="26"/>
    </row>
    <row r="1589" ht="33.75" customHeight="1">
      <c r="A1589" s="106" t="s">
        <v>2675</v>
      </c>
      <c r="B1589" s="107" t="s">
        <v>2429</v>
      </c>
      <c r="C1589" s="107" t="s">
        <v>2654</v>
      </c>
      <c r="D1589" s="107" t="s">
        <v>2670</v>
      </c>
      <c r="E1589" s="107" t="s">
        <v>2671</v>
      </c>
      <c r="F1589" s="106" t="s">
        <v>2672</v>
      </c>
      <c r="G1589" s="106" t="s">
        <v>168</v>
      </c>
      <c r="H1589" s="106" t="s">
        <v>168</v>
      </c>
      <c r="I1589" s="106"/>
      <c r="J1589" s="106" t="s">
        <v>12</v>
      </c>
      <c r="K1589" s="108" t="s">
        <v>12</v>
      </c>
      <c r="L1589" s="109"/>
      <c r="M1589" s="109">
        <f t="shared" si="912"/>
        <v>0</v>
      </c>
      <c r="N1589" s="109"/>
      <c r="O1589" s="109">
        <f t="shared" si="995"/>
        <v>0</v>
      </c>
      <c r="P1589" s="110"/>
      <c r="Q1589" s="109">
        <f t="shared" si="996"/>
        <v>0</v>
      </c>
      <c r="R1589" s="111"/>
      <c r="S1589" s="111"/>
      <c r="T1589" s="106" t="s">
        <v>70</v>
      </c>
      <c r="U1589" s="26"/>
      <c r="V1589" s="26"/>
      <c r="W1589" s="26"/>
      <c r="X1589" s="26"/>
      <c r="Y1589" s="26"/>
      <c r="Z1589" s="26"/>
      <c r="AA1589" s="26"/>
      <c r="AB1589" s="26"/>
      <c r="AC1589" s="26"/>
    </row>
    <row r="1590" ht="33.75" customHeight="1">
      <c r="A1590" s="27" t="s">
        <v>2676</v>
      </c>
      <c r="B1590" s="28"/>
      <c r="C1590" s="28"/>
      <c r="D1590" s="28"/>
      <c r="E1590" s="29"/>
      <c r="F1590" s="30"/>
      <c r="G1590" s="30"/>
      <c r="H1590" s="30"/>
      <c r="I1590" s="30"/>
      <c r="J1590" s="30"/>
      <c r="K1590" s="31"/>
      <c r="L1590" s="32">
        <f t="shared" ref="L1590:O1590" si="997">SUM(X1591:X1721)</f>
        <v>25.5</v>
      </c>
      <c r="M1590" s="32">
        <f t="shared" si="997"/>
        <v>39.625</v>
      </c>
      <c r="N1590" s="32">
        <f t="shared" si="997"/>
        <v>53.75</v>
      </c>
      <c r="O1590" s="32">
        <f t="shared" si="997"/>
        <v>39.625</v>
      </c>
      <c r="P1590" s="32"/>
      <c r="Q1590" s="32">
        <f>SUM(AC1591:AC1721)</f>
        <v>39.625</v>
      </c>
      <c r="R1590" s="34"/>
      <c r="S1590" s="34"/>
      <c r="T1590" s="35" t="s">
        <v>59</v>
      </c>
      <c r="U1590" s="26"/>
      <c r="V1590" s="26"/>
      <c r="W1590" s="26"/>
      <c r="X1590" s="26"/>
      <c r="Y1590" s="26"/>
      <c r="Z1590" s="26"/>
      <c r="AA1590" s="26"/>
      <c r="AB1590" s="26"/>
      <c r="AC1590" s="26"/>
    </row>
    <row r="1591" ht="33.75" customHeight="1">
      <c r="A1591" s="112" t="s">
        <v>2677</v>
      </c>
      <c r="B1591" s="38" t="s">
        <v>2678</v>
      </c>
      <c r="C1591" s="38" t="s">
        <v>2679</v>
      </c>
      <c r="D1591" s="38" t="s">
        <v>2679</v>
      </c>
      <c r="E1591" s="113" t="s">
        <v>2680</v>
      </c>
      <c r="F1591" s="114"/>
      <c r="G1591" s="114"/>
      <c r="H1591" s="45"/>
      <c r="I1591" s="45"/>
      <c r="J1591" s="114"/>
      <c r="K1591" s="115"/>
      <c r="L1591" s="42">
        <f>IF(COUNT(L1592,L1596,L1600,L1604,L1608)=0,"",SUM(L1592,L1596,L1600,L1604,L1608))</f>
        <v>6</v>
      </c>
      <c r="M1591" s="42">
        <f t="shared" ref="M1591:M1621" si="1000">(N1591+L1591)/2</f>
        <v>9.125</v>
      </c>
      <c r="N1591" s="42">
        <f t="shared" ref="N1591:O1591" si="998">IF(COUNT(N1592,N1596,N1600,N1604,N1608)=0,"",SUM(N1592,N1596,N1600,N1604,N1608))</f>
        <v>12.25</v>
      </c>
      <c r="O1591" s="42">
        <f t="shared" si="998"/>
        <v>9.125</v>
      </c>
      <c r="P1591" s="42"/>
      <c r="Q1591" s="42">
        <f>IF(COUNT(Q1592,Q1596,Q1600,Q1604,Q1608)=0,"",SUM(Q1592,Q1596,Q1600,Q1604,Q1608))</f>
        <v>9.125</v>
      </c>
      <c r="R1591" s="44"/>
      <c r="S1591" s="44"/>
      <c r="T1591" s="45" t="s">
        <v>62</v>
      </c>
      <c r="U1591" s="26"/>
      <c r="V1591" s="26"/>
      <c r="W1591" s="26"/>
      <c r="X1591" s="46">
        <f t="shared" ref="X1591:AA1591" si="999">L1591</f>
        <v>6</v>
      </c>
      <c r="Y1591" s="46">
        <f t="shared" si="999"/>
        <v>9.125</v>
      </c>
      <c r="Z1591" s="46">
        <f t="shared" si="999"/>
        <v>12.25</v>
      </c>
      <c r="AA1591" s="46">
        <f t="shared" si="999"/>
        <v>9.125</v>
      </c>
      <c r="AB1591" s="26"/>
      <c r="AC1591" s="46">
        <f>Q1591</f>
        <v>9.125</v>
      </c>
    </row>
    <row r="1592" ht="33.75" customHeight="1">
      <c r="A1592" s="116" t="s">
        <v>2681</v>
      </c>
      <c r="B1592" s="77" t="s">
        <v>2678</v>
      </c>
      <c r="C1592" s="77" t="s">
        <v>2679</v>
      </c>
      <c r="D1592" s="77" t="s">
        <v>2682</v>
      </c>
      <c r="E1592" s="117" t="s">
        <v>2683</v>
      </c>
      <c r="F1592" s="118" t="s">
        <v>2684</v>
      </c>
      <c r="G1592" s="118" t="s">
        <v>168</v>
      </c>
      <c r="H1592" s="119" t="s">
        <v>168</v>
      </c>
      <c r="I1592" s="54"/>
      <c r="J1592" s="118" t="s">
        <v>9</v>
      </c>
      <c r="K1592" s="120" t="s">
        <v>9</v>
      </c>
      <c r="L1592" s="51">
        <f>IF(COUNT(L1593:N1595)=0,"",SUM(L1593:L1595))</f>
        <v>0.5</v>
      </c>
      <c r="M1592" s="51">
        <f t="shared" si="1000"/>
        <v>0.75</v>
      </c>
      <c r="N1592" s="51">
        <f>IF(COUNT(L1593:N1595)=0,"",SUM(N1593:N1595))</f>
        <v>1</v>
      </c>
      <c r="O1592" s="51">
        <f>IF(COUNT(O1593:O1595)=0,"",SUM(O1593:O1595))</f>
        <v>0.75</v>
      </c>
      <c r="P1592" s="52"/>
      <c r="Q1592" s="51">
        <f>IF(COUNT(Q1593:Q1595)=0,"",SUM(Q1593:Q1595))</f>
        <v>0.75</v>
      </c>
      <c r="R1592" s="53"/>
      <c r="S1592" s="53"/>
      <c r="T1592" s="54" t="s">
        <v>65</v>
      </c>
      <c r="U1592" s="26"/>
      <c r="V1592" s="26"/>
      <c r="W1592" s="26"/>
      <c r="X1592" s="46"/>
      <c r="Y1592" s="46"/>
      <c r="Z1592" s="46"/>
      <c r="AA1592" s="46"/>
      <c r="AB1592" s="232"/>
      <c r="AC1592" s="46"/>
    </row>
    <row r="1593" ht="33.75" customHeight="1">
      <c r="A1593" s="65" t="s">
        <v>2685</v>
      </c>
      <c r="B1593" s="215" t="s">
        <v>2678</v>
      </c>
      <c r="C1593" s="215" t="s">
        <v>2679</v>
      </c>
      <c r="D1593" s="215" t="s">
        <v>2682</v>
      </c>
      <c r="E1593" s="215" t="s">
        <v>2683</v>
      </c>
      <c r="F1593" s="65" t="s">
        <v>2684</v>
      </c>
      <c r="G1593" s="65" t="s">
        <v>168</v>
      </c>
      <c r="H1593" s="65" t="s">
        <v>168</v>
      </c>
      <c r="I1593" s="65"/>
      <c r="J1593" s="65" t="s">
        <v>9</v>
      </c>
      <c r="K1593" s="65" t="s">
        <v>9</v>
      </c>
      <c r="L1593" s="128">
        <v>0.0</v>
      </c>
      <c r="M1593" s="180">
        <f t="shared" si="1000"/>
        <v>0</v>
      </c>
      <c r="N1593" s="128">
        <v>0.0</v>
      </c>
      <c r="O1593" s="129">
        <f t="shared" ref="O1593:O1595" si="1001">IF(COUNT(L1593:N1593)=0,"",(L1593+4*M1593+N1593)/6)</f>
        <v>0</v>
      </c>
      <c r="P1593" s="159"/>
      <c r="Q1593" s="208">
        <f t="shared" ref="Q1593:Q1595" si="1002">IF(O1593="","",IF(P1593="",O1593,O1593*(1+P1593)))</f>
        <v>0</v>
      </c>
      <c r="R1593" s="132"/>
      <c r="S1593" s="132"/>
      <c r="T1593" s="65" t="s">
        <v>31</v>
      </c>
      <c r="U1593" s="26"/>
      <c r="V1593" s="26"/>
      <c r="W1593" s="26"/>
      <c r="X1593" s="26"/>
      <c r="Y1593" s="26"/>
      <c r="Z1593" s="26"/>
      <c r="AA1593" s="26"/>
      <c r="AB1593" s="26"/>
      <c r="AC1593" s="26"/>
    </row>
    <row r="1594" ht="33.75" customHeight="1">
      <c r="A1594" s="65" t="s">
        <v>2686</v>
      </c>
      <c r="B1594" s="215" t="s">
        <v>2678</v>
      </c>
      <c r="C1594" s="215" t="s">
        <v>2679</v>
      </c>
      <c r="D1594" s="215" t="s">
        <v>2682</v>
      </c>
      <c r="E1594" s="215" t="s">
        <v>2683</v>
      </c>
      <c r="F1594" s="65" t="s">
        <v>2684</v>
      </c>
      <c r="G1594" s="65" t="s">
        <v>168</v>
      </c>
      <c r="H1594" s="65" t="s">
        <v>168</v>
      </c>
      <c r="I1594" s="65"/>
      <c r="J1594" s="65" t="s">
        <v>9</v>
      </c>
      <c r="K1594" s="65" t="s">
        <v>9</v>
      </c>
      <c r="L1594" s="128">
        <v>0.25</v>
      </c>
      <c r="M1594" s="180">
        <f t="shared" si="1000"/>
        <v>0.375</v>
      </c>
      <c r="N1594" s="128">
        <v>0.5</v>
      </c>
      <c r="O1594" s="129">
        <f t="shared" si="1001"/>
        <v>0.375</v>
      </c>
      <c r="P1594" s="159"/>
      <c r="Q1594" s="208">
        <f t="shared" si="1002"/>
        <v>0.375</v>
      </c>
      <c r="R1594" s="132"/>
      <c r="S1594" s="132"/>
      <c r="T1594" s="65" t="s">
        <v>32</v>
      </c>
      <c r="U1594" s="26"/>
      <c r="V1594" s="26"/>
      <c r="W1594" s="26"/>
      <c r="X1594" s="26"/>
      <c r="Y1594" s="26"/>
      <c r="Z1594" s="26"/>
      <c r="AA1594" s="26"/>
      <c r="AB1594" s="26"/>
      <c r="AC1594" s="26"/>
    </row>
    <row r="1595" ht="33.75" customHeight="1">
      <c r="A1595" s="65" t="s">
        <v>2687</v>
      </c>
      <c r="B1595" s="215" t="s">
        <v>2678</v>
      </c>
      <c r="C1595" s="215" t="s">
        <v>2679</v>
      </c>
      <c r="D1595" s="215" t="s">
        <v>2682</v>
      </c>
      <c r="E1595" s="215" t="s">
        <v>2683</v>
      </c>
      <c r="F1595" s="65" t="s">
        <v>2684</v>
      </c>
      <c r="G1595" s="65" t="s">
        <v>168</v>
      </c>
      <c r="H1595" s="65" t="s">
        <v>168</v>
      </c>
      <c r="I1595" s="65"/>
      <c r="J1595" s="65" t="s">
        <v>9</v>
      </c>
      <c r="K1595" s="65" t="s">
        <v>9</v>
      </c>
      <c r="L1595" s="128">
        <v>0.25</v>
      </c>
      <c r="M1595" s="180">
        <f t="shared" si="1000"/>
        <v>0.375</v>
      </c>
      <c r="N1595" s="128">
        <v>0.5</v>
      </c>
      <c r="O1595" s="129">
        <f t="shared" si="1001"/>
        <v>0.375</v>
      </c>
      <c r="P1595" s="159"/>
      <c r="Q1595" s="208">
        <f t="shared" si="1002"/>
        <v>0.375</v>
      </c>
      <c r="R1595" s="132"/>
      <c r="S1595" s="132"/>
      <c r="T1595" s="65" t="s">
        <v>70</v>
      </c>
      <c r="U1595" s="26"/>
      <c r="V1595" s="26"/>
      <c r="W1595" s="26"/>
      <c r="X1595" s="26"/>
      <c r="Y1595" s="26"/>
      <c r="Z1595" s="26"/>
      <c r="AA1595" s="26"/>
      <c r="AB1595" s="26"/>
      <c r="AC1595" s="26"/>
    </row>
    <row r="1596" ht="33.75" customHeight="1">
      <c r="A1596" s="54" t="s">
        <v>2688</v>
      </c>
      <c r="B1596" s="209" t="s">
        <v>2678</v>
      </c>
      <c r="C1596" s="209" t="s">
        <v>2679</v>
      </c>
      <c r="D1596" s="209" t="s">
        <v>2689</v>
      </c>
      <c r="E1596" s="209" t="s">
        <v>2690</v>
      </c>
      <c r="F1596" s="54" t="s">
        <v>2681</v>
      </c>
      <c r="G1596" s="54" t="s">
        <v>168</v>
      </c>
      <c r="H1596" s="54" t="s">
        <v>168</v>
      </c>
      <c r="I1596" s="54"/>
      <c r="J1596" s="54" t="s">
        <v>9</v>
      </c>
      <c r="K1596" s="54" t="s">
        <v>9</v>
      </c>
      <c r="L1596" s="202">
        <f>IF(COUNT(L1597:N1599)=0,"",SUM(L1597:L1599))</f>
        <v>0.75</v>
      </c>
      <c r="M1596" s="174">
        <f t="shared" si="1000"/>
        <v>1.375</v>
      </c>
      <c r="N1596" s="202">
        <f>IF(COUNT(L1597:N1599)=0,"",SUM(N1597:N1599))</f>
        <v>2</v>
      </c>
      <c r="O1596" s="202">
        <f>IF(COUNT(O1597:O1599)=0,"",SUM(O1597:O1599))</f>
        <v>1.375</v>
      </c>
      <c r="P1596" s="210"/>
      <c r="Q1596" s="202">
        <f>IF(COUNT(Q1597:Q1599)=0,"",SUM(Q1597:Q1599))</f>
        <v>1.375</v>
      </c>
      <c r="R1596" s="163"/>
      <c r="S1596" s="163"/>
      <c r="T1596" s="54" t="s">
        <v>65</v>
      </c>
      <c r="U1596" s="26"/>
      <c r="V1596" s="26"/>
      <c r="W1596" s="26"/>
      <c r="X1596" s="105"/>
      <c r="Y1596" s="105"/>
      <c r="Z1596" s="105"/>
      <c r="AA1596" s="105"/>
      <c r="AB1596" s="105"/>
      <c r="AC1596" s="105"/>
    </row>
    <row r="1597" ht="33.75" customHeight="1">
      <c r="A1597" s="65" t="s">
        <v>2691</v>
      </c>
      <c r="B1597" s="215" t="s">
        <v>2678</v>
      </c>
      <c r="C1597" s="215" t="s">
        <v>2679</v>
      </c>
      <c r="D1597" s="215" t="s">
        <v>2689</v>
      </c>
      <c r="E1597" s="215" t="s">
        <v>2690</v>
      </c>
      <c r="F1597" s="65" t="s">
        <v>2681</v>
      </c>
      <c r="G1597" s="65" t="s">
        <v>168</v>
      </c>
      <c r="H1597" s="65" t="s">
        <v>168</v>
      </c>
      <c r="I1597" s="65"/>
      <c r="J1597" s="65" t="s">
        <v>9</v>
      </c>
      <c r="K1597" s="65" t="s">
        <v>9</v>
      </c>
      <c r="L1597" s="128">
        <v>0.0</v>
      </c>
      <c r="M1597" s="180">
        <f t="shared" si="1000"/>
        <v>0</v>
      </c>
      <c r="N1597" s="128">
        <v>0.0</v>
      </c>
      <c r="O1597" s="129">
        <f t="shared" ref="O1597:O1599" si="1003">IF(COUNT(L1597:N1597)=0,"",(L1597+4*M1597+N1597)/6)</f>
        <v>0</v>
      </c>
      <c r="P1597" s="159"/>
      <c r="Q1597" s="208">
        <f t="shared" ref="Q1597:Q1599" si="1004">IF(O1597="","",IF(P1597="",O1597,O1597*(1+P1597)))</f>
        <v>0</v>
      </c>
      <c r="R1597" s="132"/>
      <c r="S1597" s="132"/>
      <c r="T1597" s="65" t="s">
        <v>31</v>
      </c>
      <c r="U1597" s="26"/>
      <c r="V1597" s="26"/>
      <c r="W1597" s="26"/>
      <c r="X1597" s="26"/>
      <c r="Y1597" s="26"/>
      <c r="Z1597" s="26"/>
      <c r="AA1597" s="26"/>
      <c r="AB1597" s="26"/>
      <c r="AC1597" s="26"/>
    </row>
    <row r="1598" ht="33.75" customHeight="1">
      <c r="A1598" s="65" t="s">
        <v>2692</v>
      </c>
      <c r="B1598" s="215" t="s">
        <v>2678</v>
      </c>
      <c r="C1598" s="215" t="s">
        <v>2679</v>
      </c>
      <c r="D1598" s="215" t="s">
        <v>2689</v>
      </c>
      <c r="E1598" s="215" t="s">
        <v>2690</v>
      </c>
      <c r="F1598" s="65" t="s">
        <v>2681</v>
      </c>
      <c r="G1598" s="65" t="s">
        <v>168</v>
      </c>
      <c r="H1598" s="65" t="s">
        <v>168</v>
      </c>
      <c r="I1598" s="65"/>
      <c r="J1598" s="65" t="s">
        <v>9</v>
      </c>
      <c r="K1598" s="65" t="s">
        <v>9</v>
      </c>
      <c r="L1598" s="128">
        <v>0.5</v>
      </c>
      <c r="M1598" s="180">
        <f t="shared" si="1000"/>
        <v>0.75</v>
      </c>
      <c r="N1598" s="128">
        <v>1.0</v>
      </c>
      <c r="O1598" s="129">
        <f t="shared" si="1003"/>
        <v>0.75</v>
      </c>
      <c r="P1598" s="159"/>
      <c r="Q1598" s="208">
        <f t="shared" si="1004"/>
        <v>0.75</v>
      </c>
      <c r="R1598" s="132"/>
      <c r="S1598" s="132"/>
      <c r="T1598" s="65" t="s">
        <v>32</v>
      </c>
      <c r="U1598" s="26"/>
      <c r="V1598" s="26"/>
      <c r="W1598" s="26"/>
      <c r="X1598" s="26"/>
      <c r="Y1598" s="26"/>
      <c r="Z1598" s="26"/>
      <c r="AA1598" s="26"/>
      <c r="AB1598" s="26"/>
      <c r="AC1598" s="26"/>
    </row>
    <row r="1599" ht="33.75" customHeight="1">
      <c r="A1599" s="65" t="s">
        <v>2693</v>
      </c>
      <c r="B1599" s="215" t="s">
        <v>2678</v>
      </c>
      <c r="C1599" s="215" t="s">
        <v>2679</v>
      </c>
      <c r="D1599" s="215" t="s">
        <v>2689</v>
      </c>
      <c r="E1599" s="215" t="s">
        <v>2690</v>
      </c>
      <c r="F1599" s="65" t="s">
        <v>2681</v>
      </c>
      <c r="G1599" s="65" t="s">
        <v>168</v>
      </c>
      <c r="H1599" s="65" t="s">
        <v>168</v>
      </c>
      <c r="I1599" s="65"/>
      <c r="J1599" s="65" t="s">
        <v>9</v>
      </c>
      <c r="K1599" s="65" t="s">
        <v>9</v>
      </c>
      <c r="L1599" s="128">
        <v>0.25</v>
      </c>
      <c r="M1599" s="180">
        <f t="shared" si="1000"/>
        <v>0.625</v>
      </c>
      <c r="N1599" s="128">
        <v>1.0</v>
      </c>
      <c r="O1599" s="129">
        <f t="shared" si="1003"/>
        <v>0.625</v>
      </c>
      <c r="P1599" s="159"/>
      <c r="Q1599" s="208">
        <f t="shared" si="1004"/>
        <v>0.625</v>
      </c>
      <c r="R1599" s="132"/>
      <c r="S1599" s="132"/>
      <c r="T1599" s="65" t="s">
        <v>70</v>
      </c>
      <c r="U1599" s="26"/>
      <c r="V1599" s="26"/>
      <c r="W1599" s="26"/>
      <c r="X1599" s="26"/>
      <c r="Y1599" s="26"/>
      <c r="Z1599" s="26"/>
      <c r="AA1599" s="26"/>
      <c r="AB1599" s="26"/>
      <c r="AC1599" s="26"/>
    </row>
    <row r="1600" ht="33.75" customHeight="1">
      <c r="A1600" s="54" t="s">
        <v>2694</v>
      </c>
      <c r="B1600" s="209" t="s">
        <v>2678</v>
      </c>
      <c r="C1600" s="209" t="s">
        <v>2679</v>
      </c>
      <c r="D1600" s="209" t="s">
        <v>2695</v>
      </c>
      <c r="E1600" s="209" t="s">
        <v>2696</v>
      </c>
      <c r="F1600" s="54" t="s">
        <v>2681</v>
      </c>
      <c r="G1600" s="54" t="s">
        <v>154</v>
      </c>
      <c r="H1600" s="54" t="s">
        <v>154</v>
      </c>
      <c r="I1600" s="54"/>
      <c r="J1600" s="54" t="s">
        <v>9</v>
      </c>
      <c r="K1600" s="54" t="s">
        <v>9</v>
      </c>
      <c r="L1600" s="202">
        <f>IF(COUNT(L1601:N1603)=0,"",SUM(L1601:L1603))</f>
        <v>0.75</v>
      </c>
      <c r="M1600" s="174">
        <f t="shared" si="1000"/>
        <v>1.125</v>
      </c>
      <c r="N1600" s="202">
        <f>IF(COUNT(L1601:N1603)=0,"",SUM(N1601:N1603))</f>
        <v>1.5</v>
      </c>
      <c r="O1600" s="202">
        <f>IF(COUNT(O1601:O1603)=0,"",SUM(O1601:O1603))</f>
        <v>1.125</v>
      </c>
      <c r="P1600" s="210"/>
      <c r="Q1600" s="202">
        <f>IF(COUNT(Q1601:Q1603)=0,"",SUM(Q1601:Q1603))</f>
        <v>1.125</v>
      </c>
      <c r="R1600" s="163"/>
      <c r="S1600" s="163"/>
      <c r="T1600" s="54" t="s">
        <v>65</v>
      </c>
      <c r="U1600" s="26"/>
      <c r="V1600" s="26"/>
      <c r="W1600" s="26"/>
      <c r="X1600" s="105"/>
      <c r="Y1600" s="105"/>
      <c r="Z1600" s="105"/>
      <c r="AA1600" s="105"/>
      <c r="AB1600" s="105"/>
      <c r="AC1600" s="105"/>
    </row>
    <row r="1601" ht="33.75" customHeight="1">
      <c r="A1601" s="65" t="s">
        <v>2697</v>
      </c>
      <c r="B1601" s="215" t="s">
        <v>2678</v>
      </c>
      <c r="C1601" s="215" t="s">
        <v>2679</v>
      </c>
      <c r="D1601" s="215" t="s">
        <v>2695</v>
      </c>
      <c r="E1601" s="215" t="s">
        <v>2696</v>
      </c>
      <c r="F1601" s="65" t="s">
        <v>2681</v>
      </c>
      <c r="G1601" s="65" t="s">
        <v>154</v>
      </c>
      <c r="H1601" s="65" t="s">
        <v>154</v>
      </c>
      <c r="I1601" s="65"/>
      <c r="J1601" s="65" t="s">
        <v>9</v>
      </c>
      <c r="K1601" s="65" t="s">
        <v>9</v>
      </c>
      <c r="L1601" s="128">
        <v>0.25</v>
      </c>
      <c r="M1601" s="180">
        <f t="shared" si="1000"/>
        <v>0.375</v>
      </c>
      <c r="N1601" s="128">
        <v>0.5</v>
      </c>
      <c r="O1601" s="129">
        <f t="shared" ref="O1601:O1603" si="1005">IF(COUNT(L1601:N1601)=0,"",(L1601+4*M1601+N1601)/6)</f>
        <v>0.375</v>
      </c>
      <c r="P1601" s="159"/>
      <c r="Q1601" s="208">
        <f t="shared" ref="Q1601:Q1603" si="1006">IF(O1601="","",IF(P1601="",O1601,O1601*(1+P1601)))</f>
        <v>0.375</v>
      </c>
      <c r="R1601" s="132"/>
      <c r="S1601" s="132"/>
      <c r="T1601" s="65" t="s">
        <v>31</v>
      </c>
      <c r="U1601" s="26"/>
      <c r="V1601" s="26"/>
      <c r="W1601" s="26"/>
      <c r="X1601" s="26"/>
      <c r="Y1601" s="26"/>
      <c r="Z1601" s="26"/>
      <c r="AA1601" s="26"/>
      <c r="AB1601" s="26"/>
      <c r="AC1601" s="26"/>
    </row>
    <row r="1602" ht="33.75" customHeight="1">
      <c r="A1602" s="65" t="s">
        <v>2698</v>
      </c>
      <c r="B1602" s="215" t="s">
        <v>2678</v>
      </c>
      <c r="C1602" s="215" t="s">
        <v>2679</v>
      </c>
      <c r="D1602" s="215" t="s">
        <v>2695</v>
      </c>
      <c r="E1602" s="215" t="s">
        <v>2696</v>
      </c>
      <c r="F1602" s="65" t="s">
        <v>2681</v>
      </c>
      <c r="G1602" s="65" t="s">
        <v>154</v>
      </c>
      <c r="H1602" s="65" t="s">
        <v>154</v>
      </c>
      <c r="I1602" s="65"/>
      <c r="J1602" s="65" t="s">
        <v>9</v>
      </c>
      <c r="K1602" s="65" t="s">
        <v>9</v>
      </c>
      <c r="L1602" s="128">
        <v>0.25</v>
      </c>
      <c r="M1602" s="180">
        <f t="shared" si="1000"/>
        <v>0.375</v>
      </c>
      <c r="N1602" s="128">
        <v>0.5</v>
      </c>
      <c r="O1602" s="129">
        <f t="shared" si="1005"/>
        <v>0.375</v>
      </c>
      <c r="P1602" s="159"/>
      <c r="Q1602" s="208">
        <f t="shared" si="1006"/>
        <v>0.375</v>
      </c>
      <c r="R1602" s="132"/>
      <c r="S1602" s="132"/>
      <c r="T1602" s="65" t="s">
        <v>32</v>
      </c>
      <c r="U1602" s="26"/>
      <c r="V1602" s="26"/>
      <c r="W1602" s="26"/>
      <c r="X1602" s="26"/>
      <c r="Y1602" s="26"/>
      <c r="Z1602" s="26"/>
      <c r="AA1602" s="26"/>
      <c r="AB1602" s="26"/>
      <c r="AC1602" s="26"/>
    </row>
    <row r="1603" ht="33.75" customHeight="1">
      <c r="A1603" s="65" t="s">
        <v>2699</v>
      </c>
      <c r="B1603" s="215" t="s">
        <v>2678</v>
      </c>
      <c r="C1603" s="215" t="s">
        <v>2679</v>
      </c>
      <c r="D1603" s="215" t="s">
        <v>2695</v>
      </c>
      <c r="E1603" s="215" t="s">
        <v>2696</v>
      </c>
      <c r="F1603" s="65" t="s">
        <v>2681</v>
      </c>
      <c r="G1603" s="65" t="s">
        <v>154</v>
      </c>
      <c r="H1603" s="65" t="s">
        <v>154</v>
      </c>
      <c r="I1603" s="65"/>
      <c r="J1603" s="65" t="s">
        <v>9</v>
      </c>
      <c r="K1603" s="65" t="s">
        <v>9</v>
      </c>
      <c r="L1603" s="128">
        <v>0.25</v>
      </c>
      <c r="M1603" s="180">
        <f t="shared" si="1000"/>
        <v>0.375</v>
      </c>
      <c r="N1603" s="128">
        <v>0.5</v>
      </c>
      <c r="O1603" s="129">
        <f t="shared" si="1005"/>
        <v>0.375</v>
      </c>
      <c r="P1603" s="159"/>
      <c r="Q1603" s="208">
        <f t="shared" si="1006"/>
        <v>0.375</v>
      </c>
      <c r="R1603" s="132"/>
      <c r="S1603" s="132"/>
      <c r="T1603" s="65" t="s">
        <v>70</v>
      </c>
      <c r="U1603" s="26"/>
      <c r="V1603" s="26"/>
      <c r="W1603" s="26"/>
      <c r="X1603" s="26"/>
      <c r="Y1603" s="26"/>
      <c r="Z1603" s="26"/>
      <c r="AA1603" s="26"/>
      <c r="AB1603" s="26"/>
      <c r="AC1603" s="26"/>
    </row>
    <row r="1604" ht="33.75" customHeight="1">
      <c r="A1604" s="54" t="s">
        <v>2700</v>
      </c>
      <c r="B1604" s="209" t="s">
        <v>2678</v>
      </c>
      <c r="C1604" s="209" t="s">
        <v>2679</v>
      </c>
      <c r="D1604" s="209" t="s">
        <v>2701</v>
      </c>
      <c r="E1604" s="209" t="s">
        <v>2702</v>
      </c>
      <c r="F1604" s="54" t="s">
        <v>2703</v>
      </c>
      <c r="G1604" s="54" t="s">
        <v>168</v>
      </c>
      <c r="H1604" s="54" t="s">
        <v>168</v>
      </c>
      <c r="I1604" s="54"/>
      <c r="J1604" s="54" t="s">
        <v>9</v>
      </c>
      <c r="K1604" s="54" t="s">
        <v>9</v>
      </c>
      <c r="L1604" s="202">
        <f>IF(COUNT(L1605:N1607)=0,"",SUM(L1605:L1607))</f>
        <v>2.5</v>
      </c>
      <c r="M1604" s="174">
        <f t="shared" si="1000"/>
        <v>3.625</v>
      </c>
      <c r="N1604" s="202">
        <f>IF(COUNT(L1605:N1607)=0,"",SUM(N1605:N1607))</f>
        <v>4.75</v>
      </c>
      <c r="O1604" s="202">
        <f>IF(COUNT(O1605:O1607)=0,"",SUM(O1605:O1607))</f>
        <v>3.625</v>
      </c>
      <c r="P1604" s="210"/>
      <c r="Q1604" s="202">
        <f>IF(COUNT(Q1605:Q1607)=0,"",SUM(Q1605:Q1607))</f>
        <v>3.625</v>
      </c>
      <c r="R1604" s="163"/>
      <c r="S1604" s="163"/>
      <c r="T1604" s="54" t="s">
        <v>65</v>
      </c>
      <c r="U1604" s="26"/>
      <c r="V1604" s="26"/>
      <c r="W1604" s="26"/>
      <c r="X1604" s="105"/>
      <c r="Y1604" s="105"/>
      <c r="Z1604" s="105"/>
      <c r="AA1604" s="105"/>
      <c r="AB1604" s="105"/>
      <c r="AC1604" s="105"/>
    </row>
    <row r="1605" ht="33.75" customHeight="1">
      <c r="A1605" s="65" t="s">
        <v>2704</v>
      </c>
      <c r="B1605" s="215" t="s">
        <v>2678</v>
      </c>
      <c r="C1605" s="215" t="s">
        <v>2679</v>
      </c>
      <c r="D1605" s="215" t="s">
        <v>2701</v>
      </c>
      <c r="E1605" s="215" t="s">
        <v>2702</v>
      </c>
      <c r="F1605" s="65" t="s">
        <v>2703</v>
      </c>
      <c r="G1605" s="65" t="s">
        <v>168</v>
      </c>
      <c r="H1605" s="65" t="s">
        <v>168</v>
      </c>
      <c r="I1605" s="65"/>
      <c r="J1605" s="65" t="s">
        <v>9</v>
      </c>
      <c r="K1605" s="65" t="s">
        <v>9</v>
      </c>
      <c r="L1605" s="128">
        <v>0.0</v>
      </c>
      <c r="M1605" s="180">
        <f t="shared" si="1000"/>
        <v>0</v>
      </c>
      <c r="N1605" s="128">
        <v>0.0</v>
      </c>
      <c r="O1605" s="129">
        <f t="shared" ref="O1605:O1607" si="1007">IF(COUNT(L1605:N1605)=0,"",(L1605+4*M1605+N1605)/6)</f>
        <v>0</v>
      </c>
      <c r="P1605" s="159"/>
      <c r="Q1605" s="208">
        <f t="shared" ref="Q1605:Q1607" si="1008">IF(O1605="","",IF(P1605="",O1605,O1605*(1+P1605)))</f>
        <v>0</v>
      </c>
      <c r="R1605" s="132"/>
      <c r="S1605" s="132"/>
      <c r="T1605" s="65" t="s">
        <v>31</v>
      </c>
      <c r="U1605" s="26"/>
      <c r="V1605" s="26"/>
      <c r="W1605" s="26"/>
      <c r="X1605" s="26"/>
      <c r="Y1605" s="26"/>
      <c r="Z1605" s="26"/>
      <c r="AA1605" s="26"/>
      <c r="AB1605" s="26"/>
      <c r="AC1605" s="26"/>
    </row>
    <row r="1606" ht="33.75" customHeight="1">
      <c r="A1606" s="65" t="s">
        <v>2705</v>
      </c>
      <c r="B1606" s="215" t="s">
        <v>2678</v>
      </c>
      <c r="C1606" s="215" t="s">
        <v>2679</v>
      </c>
      <c r="D1606" s="215" t="s">
        <v>2701</v>
      </c>
      <c r="E1606" s="215" t="s">
        <v>2702</v>
      </c>
      <c r="F1606" s="65" t="s">
        <v>2703</v>
      </c>
      <c r="G1606" s="65" t="s">
        <v>168</v>
      </c>
      <c r="H1606" s="65" t="s">
        <v>168</v>
      </c>
      <c r="I1606" s="65"/>
      <c r="J1606" s="65" t="s">
        <v>9</v>
      </c>
      <c r="K1606" s="65" t="s">
        <v>9</v>
      </c>
      <c r="L1606" s="128">
        <v>2.0</v>
      </c>
      <c r="M1606" s="180">
        <f t="shared" si="1000"/>
        <v>3</v>
      </c>
      <c r="N1606" s="128">
        <v>4.0</v>
      </c>
      <c r="O1606" s="129">
        <f t="shared" si="1007"/>
        <v>3</v>
      </c>
      <c r="P1606" s="159"/>
      <c r="Q1606" s="208">
        <f t="shared" si="1008"/>
        <v>3</v>
      </c>
      <c r="R1606" s="132"/>
      <c r="S1606" s="132"/>
      <c r="T1606" s="65" t="s">
        <v>32</v>
      </c>
      <c r="U1606" s="26"/>
      <c r="V1606" s="26"/>
      <c r="W1606" s="26"/>
      <c r="X1606" s="26"/>
      <c r="Y1606" s="26"/>
      <c r="Z1606" s="26"/>
      <c r="AA1606" s="26"/>
      <c r="AB1606" s="26"/>
      <c r="AC1606" s="26"/>
    </row>
    <row r="1607" ht="33.75" customHeight="1">
      <c r="A1607" s="65" t="s">
        <v>2706</v>
      </c>
      <c r="B1607" s="215" t="s">
        <v>2678</v>
      </c>
      <c r="C1607" s="215" t="s">
        <v>2679</v>
      </c>
      <c r="D1607" s="215" t="s">
        <v>2701</v>
      </c>
      <c r="E1607" s="215" t="s">
        <v>2702</v>
      </c>
      <c r="F1607" s="65" t="s">
        <v>2703</v>
      </c>
      <c r="G1607" s="65" t="s">
        <v>168</v>
      </c>
      <c r="H1607" s="65" t="s">
        <v>168</v>
      </c>
      <c r="I1607" s="65"/>
      <c r="J1607" s="65" t="s">
        <v>9</v>
      </c>
      <c r="K1607" s="65" t="s">
        <v>9</v>
      </c>
      <c r="L1607" s="128">
        <v>0.5</v>
      </c>
      <c r="M1607" s="180">
        <f t="shared" si="1000"/>
        <v>0.625</v>
      </c>
      <c r="N1607" s="128">
        <v>0.75</v>
      </c>
      <c r="O1607" s="129">
        <f t="shared" si="1007"/>
        <v>0.625</v>
      </c>
      <c r="P1607" s="159"/>
      <c r="Q1607" s="208">
        <f t="shared" si="1008"/>
        <v>0.625</v>
      </c>
      <c r="R1607" s="132"/>
      <c r="S1607" s="132"/>
      <c r="T1607" s="65" t="s">
        <v>70</v>
      </c>
      <c r="U1607" s="26"/>
      <c r="V1607" s="26"/>
      <c r="W1607" s="26"/>
      <c r="X1607" s="26"/>
      <c r="Y1607" s="26"/>
      <c r="Z1607" s="26"/>
      <c r="AA1607" s="26"/>
      <c r="AB1607" s="26"/>
      <c r="AC1607" s="26"/>
    </row>
    <row r="1608" ht="33.75" customHeight="1">
      <c r="A1608" s="54" t="s">
        <v>2707</v>
      </c>
      <c r="B1608" s="209" t="s">
        <v>2678</v>
      </c>
      <c r="C1608" s="209" t="s">
        <v>2679</v>
      </c>
      <c r="D1608" s="209" t="s">
        <v>2708</v>
      </c>
      <c r="E1608" s="209" t="s">
        <v>2709</v>
      </c>
      <c r="F1608" s="54" t="s">
        <v>2681</v>
      </c>
      <c r="G1608" s="54" t="s">
        <v>154</v>
      </c>
      <c r="H1608" s="54" t="s">
        <v>154</v>
      </c>
      <c r="I1608" s="54"/>
      <c r="J1608" s="54" t="s">
        <v>9</v>
      </c>
      <c r="K1608" s="54" t="s">
        <v>9</v>
      </c>
      <c r="L1608" s="202">
        <f>IF(COUNT(L1609:N1611)=0,"",SUM(L1609:L1611))</f>
        <v>1.5</v>
      </c>
      <c r="M1608" s="174">
        <f t="shared" si="1000"/>
        <v>2.25</v>
      </c>
      <c r="N1608" s="202">
        <f>IF(COUNT(L1609:N1611)=0,"",SUM(N1609:N1611))</f>
        <v>3</v>
      </c>
      <c r="O1608" s="202">
        <f>IF(COUNT(O1609:O1611)=0,"",SUM(O1609:O1611))</f>
        <v>2.25</v>
      </c>
      <c r="P1608" s="210"/>
      <c r="Q1608" s="202">
        <f>IF(COUNT(Q1609:Q1611)=0,"",SUM(Q1609:Q1611))</f>
        <v>2.25</v>
      </c>
      <c r="R1608" s="163"/>
      <c r="S1608" s="163"/>
      <c r="T1608" s="54" t="s">
        <v>65</v>
      </c>
      <c r="U1608" s="26"/>
      <c r="V1608" s="26"/>
      <c r="W1608" s="26"/>
      <c r="X1608" s="105"/>
      <c r="Y1608" s="105"/>
      <c r="Z1608" s="105"/>
      <c r="AA1608" s="105"/>
      <c r="AB1608" s="105"/>
      <c r="AC1608" s="105"/>
    </row>
    <row r="1609" ht="33.75" customHeight="1">
      <c r="A1609" s="65" t="s">
        <v>2710</v>
      </c>
      <c r="B1609" s="215" t="s">
        <v>2678</v>
      </c>
      <c r="C1609" s="215" t="s">
        <v>2679</v>
      </c>
      <c r="D1609" s="215" t="s">
        <v>2708</v>
      </c>
      <c r="E1609" s="215" t="s">
        <v>2709</v>
      </c>
      <c r="F1609" s="65" t="s">
        <v>2681</v>
      </c>
      <c r="G1609" s="65" t="s">
        <v>154</v>
      </c>
      <c r="H1609" s="65" t="s">
        <v>154</v>
      </c>
      <c r="I1609" s="65"/>
      <c r="J1609" s="65" t="s">
        <v>9</v>
      </c>
      <c r="K1609" s="65" t="s">
        <v>9</v>
      </c>
      <c r="L1609" s="128">
        <v>0.0</v>
      </c>
      <c r="M1609" s="180">
        <f t="shared" si="1000"/>
        <v>0</v>
      </c>
      <c r="N1609" s="128">
        <v>0.0</v>
      </c>
      <c r="O1609" s="129">
        <f t="shared" ref="O1609:O1611" si="1009">IF(COUNT(L1609:N1609)=0,"",(L1609+4*M1609+N1609)/6)</f>
        <v>0</v>
      </c>
      <c r="P1609" s="159"/>
      <c r="Q1609" s="208">
        <f t="shared" ref="Q1609:Q1611" si="1010">IF(O1609="","",IF(P1609="",O1609,O1609*(1+P1609)))</f>
        <v>0</v>
      </c>
      <c r="R1609" s="132"/>
      <c r="S1609" s="132"/>
      <c r="T1609" s="65" t="s">
        <v>31</v>
      </c>
      <c r="U1609" s="26"/>
      <c r="V1609" s="26"/>
      <c r="W1609" s="26"/>
      <c r="X1609" s="26"/>
      <c r="Y1609" s="26"/>
      <c r="Z1609" s="26"/>
      <c r="AA1609" s="26"/>
      <c r="AB1609" s="26"/>
      <c r="AC1609" s="26"/>
    </row>
    <row r="1610" ht="33.75" customHeight="1">
      <c r="A1610" s="65" t="s">
        <v>2711</v>
      </c>
      <c r="B1610" s="215" t="s">
        <v>2678</v>
      </c>
      <c r="C1610" s="215" t="s">
        <v>2679</v>
      </c>
      <c r="D1610" s="215" t="s">
        <v>2708</v>
      </c>
      <c r="E1610" s="215" t="s">
        <v>2709</v>
      </c>
      <c r="F1610" s="65" t="s">
        <v>2681</v>
      </c>
      <c r="G1610" s="65" t="s">
        <v>154</v>
      </c>
      <c r="H1610" s="65" t="s">
        <v>154</v>
      </c>
      <c r="I1610" s="65"/>
      <c r="J1610" s="65" t="s">
        <v>9</v>
      </c>
      <c r="K1610" s="65" t="s">
        <v>9</v>
      </c>
      <c r="L1610" s="128">
        <v>1.0</v>
      </c>
      <c r="M1610" s="180">
        <f t="shared" si="1000"/>
        <v>1.5</v>
      </c>
      <c r="N1610" s="128">
        <v>2.0</v>
      </c>
      <c r="O1610" s="129">
        <f t="shared" si="1009"/>
        <v>1.5</v>
      </c>
      <c r="P1610" s="159"/>
      <c r="Q1610" s="208">
        <f t="shared" si="1010"/>
        <v>1.5</v>
      </c>
      <c r="R1610" s="132"/>
      <c r="S1610" s="132"/>
      <c r="T1610" s="65" t="s">
        <v>32</v>
      </c>
      <c r="U1610" s="26"/>
      <c r="V1610" s="26"/>
      <c r="W1610" s="26"/>
      <c r="X1610" s="26"/>
      <c r="Y1610" s="26"/>
      <c r="Z1610" s="26"/>
      <c r="AA1610" s="26"/>
      <c r="AB1610" s="26"/>
      <c r="AC1610" s="26"/>
    </row>
    <row r="1611" ht="33.75" customHeight="1">
      <c r="A1611" s="65" t="s">
        <v>2712</v>
      </c>
      <c r="B1611" s="215" t="s">
        <v>2678</v>
      </c>
      <c r="C1611" s="215" t="s">
        <v>2679</v>
      </c>
      <c r="D1611" s="215" t="s">
        <v>2708</v>
      </c>
      <c r="E1611" s="215" t="s">
        <v>2709</v>
      </c>
      <c r="F1611" s="65" t="s">
        <v>2681</v>
      </c>
      <c r="G1611" s="65" t="s">
        <v>154</v>
      </c>
      <c r="H1611" s="65" t="s">
        <v>154</v>
      </c>
      <c r="I1611" s="65"/>
      <c r="J1611" s="65" t="s">
        <v>9</v>
      </c>
      <c r="K1611" s="65" t="s">
        <v>9</v>
      </c>
      <c r="L1611" s="128">
        <v>0.5</v>
      </c>
      <c r="M1611" s="180">
        <f t="shared" si="1000"/>
        <v>0.75</v>
      </c>
      <c r="N1611" s="128">
        <v>1.0</v>
      </c>
      <c r="O1611" s="129">
        <f t="shared" si="1009"/>
        <v>0.75</v>
      </c>
      <c r="P1611" s="159"/>
      <c r="Q1611" s="208">
        <f t="shared" si="1010"/>
        <v>0.75</v>
      </c>
      <c r="R1611" s="132"/>
      <c r="S1611" s="132"/>
      <c r="T1611" s="65" t="s">
        <v>70</v>
      </c>
      <c r="U1611" s="26"/>
      <c r="V1611" s="26"/>
      <c r="W1611" s="26"/>
      <c r="X1611" s="26"/>
      <c r="Y1611" s="26"/>
      <c r="Z1611" s="26"/>
      <c r="AA1611" s="26"/>
      <c r="AB1611" s="26"/>
      <c r="AC1611" s="26"/>
    </row>
    <row r="1612" ht="33.75" customHeight="1">
      <c r="A1612" s="112" t="s">
        <v>2713</v>
      </c>
      <c r="B1612" s="38" t="s">
        <v>2678</v>
      </c>
      <c r="C1612" s="38" t="s">
        <v>2714</v>
      </c>
      <c r="D1612" s="38" t="s">
        <v>2714</v>
      </c>
      <c r="E1612" s="113" t="s">
        <v>2715</v>
      </c>
      <c r="F1612" s="114"/>
      <c r="G1612" s="114"/>
      <c r="H1612" s="45"/>
      <c r="I1612" s="45"/>
      <c r="J1612" s="114"/>
      <c r="K1612" s="115"/>
      <c r="L1612" s="42">
        <f>IF(COUNT(L1613,L1617,L1621,L1625,L1629,L1633,L1637)=0,"",SUM(L1613,L1617,L1621,L1625,L1629,L1633,L1637))</f>
        <v>5</v>
      </c>
      <c r="M1612" s="42">
        <f t="shared" si="1000"/>
        <v>7.75</v>
      </c>
      <c r="N1612" s="42">
        <f t="shared" ref="N1612:O1612" si="1011">IF(COUNT(N1613,N1617,N1621,N1625,N1629,N1633,N1637)=0,"",SUM(N1613,N1617,N1621,N1625,N1629,N1633,N1637))</f>
        <v>10.5</v>
      </c>
      <c r="O1612" s="42">
        <f t="shared" si="1011"/>
        <v>7.75</v>
      </c>
      <c r="P1612" s="43"/>
      <c r="Q1612" s="42">
        <f>IF(COUNT(Q1613,Q1617,Q1621,Q1625,Q1629,Q1633,Q1637)=0,"",SUM(Q1613,Q1617,Q1621,Q1625,Q1629,Q1633,Q1637))</f>
        <v>7.75</v>
      </c>
      <c r="R1612" s="44"/>
      <c r="S1612" s="44"/>
      <c r="T1612" s="45" t="s">
        <v>62</v>
      </c>
      <c r="U1612" s="26"/>
      <c r="V1612" s="26"/>
      <c r="W1612" s="26"/>
      <c r="X1612" s="46">
        <f t="shared" ref="X1612:AA1612" si="1012">L1612</f>
        <v>5</v>
      </c>
      <c r="Y1612" s="46">
        <f t="shared" si="1012"/>
        <v>7.75</v>
      </c>
      <c r="Z1612" s="46">
        <f t="shared" si="1012"/>
        <v>10.5</v>
      </c>
      <c r="AA1612" s="46">
        <f t="shared" si="1012"/>
        <v>7.75</v>
      </c>
      <c r="AB1612" s="26"/>
      <c r="AC1612" s="46">
        <f>Q1612</f>
        <v>7.75</v>
      </c>
    </row>
    <row r="1613" ht="33.75" customHeight="1">
      <c r="A1613" s="116" t="s">
        <v>2716</v>
      </c>
      <c r="B1613" s="77" t="s">
        <v>2678</v>
      </c>
      <c r="C1613" s="77" t="s">
        <v>2714</v>
      </c>
      <c r="D1613" s="77" t="s">
        <v>2717</v>
      </c>
      <c r="E1613" s="117" t="s">
        <v>2718</v>
      </c>
      <c r="F1613" s="118" t="s">
        <v>583</v>
      </c>
      <c r="G1613" s="118" t="s">
        <v>168</v>
      </c>
      <c r="H1613" s="119" t="s">
        <v>168</v>
      </c>
      <c r="I1613" s="54"/>
      <c r="J1613" s="118" t="s">
        <v>9</v>
      </c>
      <c r="K1613" s="120" t="s">
        <v>9</v>
      </c>
      <c r="L1613" s="51">
        <f>IF(COUNT(L1614:N1616)=0,"",SUM(L1614:L1616))</f>
        <v>0.75</v>
      </c>
      <c r="M1613" s="51">
        <f t="shared" si="1000"/>
        <v>1.125</v>
      </c>
      <c r="N1613" s="51">
        <f>IF(COUNT(L1614:N1616)=0,"",SUM(N1614:N1616))</f>
        <v>1.5</v>
      </c>
      <c r="O1613" s="51">
        <f>IF(COUNT(O1614:O1616)=0,"",SUM(O1614:O1616))</f>
        <v>1.125</v>
      </c>
      <c r="P1613" s="52"/>
      <c r="Q1613" s="51">
        <f>IF(COUNT(Q1614:Q1616)=0,"",SUM(Q1614:Q1616))</f>
        <v>1.125</v>
      </c>
      <c r="R1613" s="53"/>
      <c r="S1613" s="53"/>
      <c r="T1613" s="54" t="s">
        <v>65</v>
      </c>
      <c r="U1613" s="26"/>
      <c r="V1613" s="26"/>
      <c r="W1613" s="26"/>
      <c r="X1613" s="46"/>
      <c r="Y1613" s="46"/>
      <c r="Z1613" s="46"/>
      <c r="AA1613" s="46"/>
      <c r="AB1613" s="232"/>
      <c r="AC1613" s="46"/>
    </row>
    <row r="1614" ht="33.75" customHeight="1">
      <c r="A1614" s="65" t="s">
        <v>2719</v>
      </c>
      <c r="B1614" s="215" t="s">
        <v>2678</v>
      </c>
      <c r="C1614" s="215" t="s">
        <v>2714</v>
      </c>
      <c r="D1614" s="215" t="s">
        <v>2717</v>
      </c>
      <c r="E1614" s="215" t="s">
        <v>2718</v>
      </c>
      <c r="F1614" s="65" t="s">
        <v>583</v>
      </c>
      <c r="G1614" s="65" t="s">
        <v>168</v>
      </c>
      <c r="H1614" s="65" t="s">
        <v>168</v>
      </c>
      <c r="I1614" s="65"/>
      <c r="J1614" s="65" t="s">
        <v>9</v>
      </c>
      <c r="K1614" s="65" t="s">
        <v>9</v>
      </c>
      <c r="L1614" s="128">
        <v>0.25</v>
      </c>
      <c r="M1614" s="180">
        <f t="shared" si="1000"/>
        <v>0.375</v>
      </c>
      <c r="N1614" s="128">
        <v>0.5</v>
      </c>
      <c r="O1614" s="129">
        <f t="shared" ref="O1614:O1616" si="1013">IF(COUNT(L1614:N1614)=0,"",(L1614+4*M1614+N1614)/6)</f>
        <v>0.375</v>
      </c>
      <c r="P1614" s="159"/>
      <c r="Q1614" s="208">
        <f t="shared" ref="Q1614:Q1616" si="1014">IF(O1614="","",IF(P1614="",O1614,O1614*(1+P1614)))</f>
        <v>0.375</v>
      </c>
      <c r="R1614" s="132"/>
      <c r="S1614" s="132"/>
      <c r="T1614" s="65" t="s">
        <v>31</v>
      </c>
      <c r="U1614" s="26"/>
      <c r="V1614" s="26"/>
      <c r="W1614" s="26"/>
      <c r="X1614" s="26"/>
      <c r="Y1614" s="26"/>
      <c r="Z1614" s="26"/>
      <c r="AA1614" s="26"/>
      <c r="AB1614" s="26"/>
      <c r="AC1614" s="26"/>
    </row>
    <row r="1615" ht="33.75" customHeight="1">
      <c r="A1615" s="65" t="s">
        <v>2720</v>
      </c>
      <c r="B1615" s="215" t="s">
        <v>2678</v>
      </c>
      <c r="C1615" s="215" t="s">
        <v>2714</v>
      </c>
      <c r="D1615" s="215" t="s">
        <v>2717</v>
      </c>
      <c r="E1615" s="215" t="s">
        <v>2718</v>
      </c>
      <c r="F1615" s="65" t="s">
        <v>583</v>
      </c>
      <c r="G1615" s="65" t="s">
        <v>168</v>
      </c>
      <c r="H1615" s="65" t="s">
        <v>168</v>
      </c>
      <c r="I1615" s="65"/>
      <c r="J1615" s="65" t="s">
        <v>9</v>
      </c>
      <c r="K1615" s="65" t="s">
        <v>9</v>
      </c>
      <c r="L1615" s="128">
        <v>0.25</v>
      </c>
      <c r="M1615" s="180">
        <f t="shared" si="1000"/>
        <v>0.375</v>
      </c>
      <c r="N1615" s="128">
        <v>0.5</v>
      </c>
      <c r="O1615" s="129">
        <f t="shared" si="1013"/>
        <v>0.375</v>
      </c>
      <c r="P1615" s="159"/>
      <c r="Q1615" s="208">
        <f t="shared" si="1014"/>
        <v>0.375</v>
      </c>
      <c r="R1615" s="132"/>
      <c r="S1615" s="132"/>
      <c r="T1615" s="65" t="s">
        <v>32</v>
      </c>
      <c r="U1615" s="26"/>
      <c r="V1615" s="26"/>
      <c r="W1615" s="26"/>
      <c r="X1615" s="26"/>
      <c r="Y1615" s="26"/>
      <c r="Z1615" s="26"/>
      <c r="AA1615" s="26"/>
      <c r="AB1615" s="26"/>
      <c r="AC1615" s="26"/>
    </row>
    <row r="1616" ht="33.75" customHeight="1">
      <c r="A1616" s="65" t="s">
        <v>2721</v>
      </c>
      <c r="B1616" s="215" t="s">
        <v>2678</v>
      </c>
      <c r="C1616" s="215" t="s">
        <v>2714</v>
      </c>
      <c r="D1616" s="215" t="s">
        <v>2717</v>
      </c>
      <c r="E1616" s="215" t="s">
        <v>2718</v>
      </c>
      <c r="F1616" s="65" t="s">
        <v>583</v>
      </c>
      <c r="G1616" s="65" t="s">
        <v>168</v>
      </c>
      <c r="H1616" s="65" t="s">
        <v>168</v>
      </c>
      <c r="I1616" s="65"/>
      <c r="J1616" s="65" t="s">
        <v>9</v>
      </c>
      <c r="K1616" s="65" t="s">
        <v>9</v>
      </c>
      <c r="L1616" s="128">
        <v>0.25</v>
      </c>
      <c r="M1616" s="180">
        <f t="shared" si="1000"/>
        <v>0.375</v>
      </c>
      <c r="N1616" s="128">
        <v>0.5</v>
      </c>
      <c r="O1616" s="129">
        <f t="shared" si="1013"/>
        <v>0.375</v>
      </c>
      <c r="P1616" s="159"/>
      <c r="Q1616" s="208">
        <f t="shared" si="1014"/>
        <v>0.375</v>
      </c>
      <c r="R1616" s="132"/>
      <c r="S1616" s="132"/>
      <c r="T1616" s="65" t="s">
        <v>70</v>
      </c>
      <c r="U1616" s="26"/>
      <c r="V1616" s="26"/>
      <c r="W1616" s="26"/>
      <c r="X1616" s="26"/>
      <c r="Y1616" s="26"/>
      <c r="Z1616" s="26"/>
      <c r="AA1616" s="26"/>
      <c r="AB1616" s="26"/>
      <c r="AC1616" s="26"/>
    </row>
    <row r="1617" ht="33.75" customHeight="1">
      <c r="A1617" s="54" t="s">
        <v>2722</v>
      </c>
      <c r="B1617" s="209" t="s">
        <v>2678</v>
      </c>
      <c r="C1617" s="209" t="s">
        <v>2714</v>
      </c>
      <c r="D1617" s="209" t="s">
        <v>2723</v>
      </c>
      <c r="E1617" s="209" t="s">
        <v>2724</v>
      </c>
      <c r="F1617" s="54" t="s">
        <v>2716</v>
      </c>
      <c r="G1617" s="54" t="s">
        <v>168</v>
      </c>
      <c r="H1617" s="54" t="s">
        <v>168</v>
      </c>
      <c r="I1617" s="54"/>
      <c r="J1617" s="54" t="s">
        <v>9</v>
      </c>
      <c r="K1617" s="54" t="s">
        <v>9</v>
      </c>
      <c r="L1617" s="202">
        <f>IF(COUNT(L1618:N1620)=0,"",SUM(L1618:L1620))</f>
        <v>0.75</v>
      </c>
      <c r="M1617" s="174">
        <f t="shared" si="1000"/>
        <v>1.125</v>
      </c>
      <c r="N1617" s="202">
        <f>IF(COUNT(L1618:N1620)=0,"",SUM(N1618:N1620))</f>
        <v>1.5</v>
      </c>
      <c r="O1617" s="202">
        <f>IF(COUNT(O1618:O1620)=0,"",SUM(O1618:O1620))</f>
        <v>1.125</v>
      </c>
      <c r="P1617" s="210"/>
      <c r="Q1617" s="202">
        <f>IF(COUNT(Q1618:Q1620)=0,"",SUM(Q1618:Q1620))</f>
        <v>1.125</v>
      </c>
      <c r="R1617" s="163"/>
      <c r="S1617" s="163"/>
      <c r="T1617" s="54" t="s">
        <v>65</v>
      </c>
      <c r="U1617" s="26"/>
      <c r="V1617" s="26"/>
      <c r="W1617" s="26"/>
      <c r="X1617" s="105"/>
      <c r="Y1617" s="105"/>
      <c r="Z1617" s="105"/>
      <c r="AA1617" s="105"/>
      <c r="AB1617" s="105"/>
      <c r="AC1617" s="105"/>
    </row>
    <row r="1618" ht="33.75" customHeight="1">
      <c r="A1618" s="65" t="s">
        <v>2725</v>
      </c>
      <c r="B1618" s="215" t="s">
        <v>2678</v>
      </c>
      <c r="C1618" s="215" t="s">
        <v>2714</v>
      </c>
      <c r="D1618" s="215" t="s">
        <v>2723</v>
      </c>
      <c r="E1618" s="215" t="s">
        <v>2724</v>
      </c>
      <c r="F1618" s="65" t="s">
        <v>2716</v>
      </c>
      <c r="G1618" s="65" t="s">
        <v>168</v>
      </c>
      <c r="H1618" s="65" t="s">
        <v>168</v>
      </c>
      <c r="I1618" s="65"/>
      <c r="J1618" s="65" t="s">
        <v>9</v>
      </c>
      <c r="K1618" s="65" t="s">
        <v>9</v>
      </c>
      <c r="L1618" s="128">
        <v>0.25</v>
      </c>
      <c r="M1618" s="180">
        <f t="shared" si="1000"/>
        <v>0.375</v>
      </c>
      <c r="N1618" s="128">
        <v>0.5</v>
      </c>
      <c r="O1618" s="129">
        <f t="shared" ref="O1618:O1620" si="1015">IF(COUNT(L1618:N1618)=0,"",(L1618+4*M1618+N1618)/6)</f>
        <v>0.375</v>
      </c>
      <c r="P1618" s="159"/>
      <c r="Q1618" s="208">
        <f t="shared" ref="Q1618:Q1620" si="1016">IF(O1618="","",IF(P1618="",O1618,O1618*(1+P1618)))</f>
        <v>0.375</v>
      </c>
      <c r="R1618" s="132"/>
      <c r="S1618" s="132"/>
      <c r="T1618" s="65" t="s">
        <v>31</v>
      </c>
      <c r="U1618" s="26"/>
      <c r="V1618" s="26"/>
      <c r="W1618" s="26"/>
      <c r="X1618" s="26"/>
      <c r="Y1618" s="26"/>
      <c r="Z1618" s="26"/>
      <c r="AA1618" s="26"/>
      <c r="AB1618" s="26"/>
      <c r="AC1618" s="26"/>
    </row>
    <row r="1619" ht="33.75" customHeight="1">
      <c r="A1619" s="65" t="s">
        <v>2726</v>
      </c>
      <c r="B1619" s="215" t="s">
        <v>2678</v>
      </c>
      <c r="C1619" s="215" t="s">
        <v>2714</v>
      </c>
      <c r="D1619" s="215" t="s">
        <v>2723</v>
      </c>
      <c r="E1619" s="215" t="s">
        <v>2724</v>
      </c>
      <c r="F1619" s="65" t="s">
        <v>2716</v>
      </c>
      <c r="G1619" s="65" t="s">
        <v>168</v>
      </c>
      <c r="H1619" s="65" t="s">
        <v>168</v>
      </c>
      <c r="I1619" s="65"/>
      <c r="J1619" s="65" t="s">
        <v>9</v>
      </c>
      <c r="K1619" s="65" t="s">
        <v>9</v>
      </c>
      <c r="L1619" s="128">
        <v>0.25</v>
      </c>
      <c r="M1619" s="180">
        <f t="shared" si="1000"/>
        <v>0.375</v>
      </c>
      <c r="N1619" s="128">
        <v>0.5</v>
      </c>
      <c r="O1619" s="129">
        <f t="shared" si="1015"/>
        <v>0.375</v>
      </c>
      <c r="P1619" s="159"/>
      <c r="Q1619" s="208">
        <f t="shared" si="1016"/>
        <v>0.375</v>
      </c>
      <c r="R1619" s="132"/>
      <c r="S1619" s="132"/>
      <c r="T1619" s="65" t="s">
        <v>32</v>
      </c>
      <c r="U1619" s="26"/>
      <c r="V1619" s="26"/>
      <c r="W1619" s="26"/>
      <c r="X1619" s="26"/>
      <c r="Y1619" s="26"/>
      <c r="Z1619" s="26"/>
      <c r="AA1619" s="26"/>
      <c r="AB1619" s="26"/>
      <c r="AC1619" s="26"/>
    </row>
    <row r="1620" ht="33.75" customHeight="1">
      <c r="A1620" s="65" t="s">
        <v>2727</v>
      </c>
      <c r="B1620" s="215" t="s">
        <v>2678</v>
      </c>
      <c r="C1620" s="215" t="s">
        <v>2714</v>
      </c>
      <c r="D1620" s="215" t="s">
        <v>2723</v>
      </c>
      <c r="E1620" s="215" t="s">
        <v>2724</v>
      </c>
      <c r="F1620" s="65" t="s">
        <v>2716</v>
      </c>
      <c r="G1620" s="65" t="s">
        <v>168</v>
      </c>
      <c r="H1620" s="65" t="s">
        <v>168</v>
      </c>
      <c r="I1620" s="65"/>
      <c r="J1620" s="65" t="s">
        <v>9</v>
      </c>
      <c r="K1620" s="65" t="s">
        <v>9</v>
      </c>
      <c r="L1620" s="128">
        <v>0.25</v>
      </c>
      <c r="M1620" s="180">
        <f t="shared" si="1000"/>
        <v>0.375</v>
      </c>
      <c r="N1620" s="128">
        <v>0.5</v>
      </c>
      <c r="O1620" s="129">
        <f t="shared" si="1015"/>
        <v>0.375</v>
      </c>
      <c r="P1620" s="159"/>
      <c r="Q1620" s="208">
        <f t="shared" si="1016"/>
        <v>0.375</v>
      </c>
      <c r="R1620" s="132"/>
      <c r="S1620" s="132"/>
      <c r="T1620" s="65" t="s">
        <v>70</v>
      </c>
      <c r="U1620" s="26"/>
      <c r="V1620" s="26"/>
      <c r="W1620" s="26"/>
      <c r="X1620" s="26"/>
      <c r="Y1620" s="26"/>
      <c r="Z1620" s="26"/>
      <c r="AA1620" s="26"/>
      <c r="AB1620" s="26"/>
      <c r="AC1620" s="26"/>
    </row>
    <row r="1621" ht="33.75" customHeight="1">
      <c r="A1621" s="54" t="s">
        <v>2728</v>
      </c>
      <c r="B1621" s="209" t="s">
        <v>2678</v>
      </c>
      <c r="C1621" s="209" t="s">
        <v>2714</v>
      </c>
      <c r="D1621" s="209" t="s">
        <v>2729</v>
      </c>
      <c r="E1621" s="209" t="s">
        <v>2730</v>
      </c>
      <c r="F1621" s="54" t="s">
        <v>2731</v>
      </c>
      <c r="G1621" s="54" t="s">
        <v>168</v>
      </c>
      <c r="H1621" s="54" t="s">
        <v>168</v>
      </c>
      <c r="I1621" s="54"/>
      <c r="J1621" s="54" t="s">
        <v>9</v>
      </c>
      <c r="K1621" s="54" t="s">
        <v>9</v>
      </c>
      <c r="L1621" s="202">
        <f>IF(COUNT(L1622:N1624)=0,"",SUM(L1622:L1624))</f>
        <v>0.75</v>
      </c>
      <c r="M1621" s="174">
        <f t="shared" si="1000"/>
        <v>1.125</v>
      </c>
      <c r="N1621" s="202">
        <f>IF(COUNT(L1622:N1624)=0,"",SUM(N1622:N1624))</f>
        <v>1.5</v>
      </c>
      <c r="O1621" s="202">
        <f>IF(COUNT(O1622:O1624)=0,"",SUM(O1622:O1624))</f>
        <v>1.125</v>
      </c>
      <c r="P1621" s="210"/>
      <c r="Q1621" s="202">
        <f>IF(COUNT(Q1622:Q1624)=0,"",SUM(Q1622:Q1624))</f>
        <v>1.125</v>
      </c>
      <c r="R1621" s="163"/>
      <c r="S1621" s="163"/>
      <c r="T1621" s="54" t="s">
        <v>65</v>
      </c>
      <c r="U1621" s="26"/>
      <c r="V1621" s="26"/>
      <c r="W1621" s="26"/>
      <c r="X1621" s="105"/>
      <c r="Y1621" s="105"/>
      <c r="Z1621" s="105"/>
      <c r="AA1621" s="105"/>
      <c r="AB1621" s="105"/>
      <c r="AC1621" s="105"/>
    </row>
    <row r="1622" ht="33.75" customHeight="1">
      <c r="A1622" s="65" t="s">
        <v>2732</v>
      </c>
      <c r="B1622" s="215" t="s">
        <v>2678</v>
      </c>
      <c r="C1622" s="215" t="s">
        <v>2714</v>
      </c>
      <c r="D1622" s="215" t="s">
        <v>2729</v>
      </c>
      <c r="E1622" s="215" t="s">
        <v>2730</v>
      </c>
      <c r="F1622" s="65" t="s">
        <v>2731</v>
      </c>
      <c r="G1622" s="65" t="s">
        <v>168</v>
      </c>
      <c r="H1622" s="65" t="s">
        <v>168</v>
      </c>
      <c r="I1622" s="65"/>
      <c r="J1622" s="65" t="s">
        <v>9</v>
      </c>
      <c r="K1622" s="65" t="s">
        <v>9</v>
      </c>
      <c r="L1622" s="180">
        <v>0.25</v>
      </c>
      <c r="M1622" s="180">
        <f t="shared" ref="M1622:M1624" si="1017">(N1622+L1622)/2</f>
        <v>0.375</v>
      </c>
      <c r="N1622" s="180">
        <v>0.5</v>
      </c>
      <c r="O1622" s="129">
        <f t="shared" ref="O1622:O1624" si="1018">IF(COUNT(L1622:N1622)=0,"",(L1622+4*M1622+N1622)/6)</f>
        <v>0.375</v>
      </c>
      <c r="P1622" s="159"/>
      <c r="Q1622" s="208">
        <f t="shared" ref="Q1622:Q1624" si="1019">IF(O1622="","",IF(P1622="",O1622,O1622*(1+P1622)))</f>
        <v>0.375</v>
      </c>
      <c r="R1622" s="132"/>
      <c r="S1622" s="132"/>
      <c r="T1622" s="65" t="s">
        <v>31</v>
      </c>
      <c r="U1622" s="26"/>
      <c r="V1622" s="26"/>
      <c r="W1622" s="26"/>
      <c r="X1622" s="26"/>
      <c r="Y1622" s="26"/>
      <c r="Z1622" s="26"/>
      <c r="AA1622" s="26"/>
      <c r="AB1622" s="26"/>
      <c r="AC1622" s="26"/>
    </row>
    <row r="1623" ht="33.75" customHeight="1">
      <c r="A1623" s="65" t="s">
        <v>2733</v>
      </c>
      <c r="B1623" s="215" t="s">
        <v>2678</v>
      </c>
      <c r="C1623" s="215" t="s">
        <v>2714</v>
      </c>
      <c r="D1623" s="215" t="s">
        <v>2729</v>
      </c>
      <c r="E1623" s="215" t="s">
        <v>2730</v>
      </c>
      <c r="F1623" s="65" t="s">
        <v>2731</v>
      </c>
      <c r="G1623" s="65" t="s">
        <v>168</v>
      </c>
      <c r="H1623" s="65" t="s">
        <v>168</v>
      </c>
      <c r="I1623" s="65"/>
      <c r="J1623" s="65" t="s">
        <v>9</v>
      </c>
      <c r="K1623" s="65" t="s">
        <v>9</v>
      </c>
      <c r="L1623" s="180">
        <v>0.25</v>
      </c>
      <c r="M1623" s="180">
        <f t="shared" si="1017"/>
        <v>0.375</v>
      </c>
      <c r="N1623" s="180">
        <v>0.5</v>
      </c>
      <c r="O1623" s="129">
        <f t="shared" si="1018"/>
        <v>0.375</v>
      </c>
      <c r="P1623" s="159"/>
      <c r="Q1623" s="208">
        <f t="shared" si="1019"/>
        <v>0.375</v>
      </c>
      <c r="R1623" s="132"/>
      <c r="S1623" s="132"/>
      <c r="T1623" s="65" t="s">
        <v>32</v>
      </c>
      <c r="U1623" s="26"/>
      <c r="V1623" s="26"/>
      <c r="W1623" s="26"/>
      <c r="X1623" s="26"/>
      <c r="Y1623" s="26"/>
      <c r="Z1623" s="26"/>
      <c r="AA1623" s="26"/>
      <c r="AB1623" s="26"/>
      <c r="AC1623" s="26"/>
    </row>
    <row r="1624" ht="33.75" customHeight="1">
      <c r="A1624" s="65" t="s">
        <v>2734</v>
      </c>
      <c r="B1624" s="215" t="s">
        <v>2678</v>
      </c>
      <c r="C1624" s="215" t="s">
        <v>2714</v>
      </c>
      <c r="D1624" s="215" t="s">
        <v>2729</v>
      </c>
      <c r="E1624" s="215" t="s">
        <v>2730</v>
      </c>
      <c r="F1624" s="65" t="s">
        <v>2731</v>
      </c>
      <c r="G1624" s="65" t="s">
        <v>168</v>
      </c>
      <c r="H1624" s="65" t="s">
        <v>168</v>
      </c>
      <c r="I1624" s="65"/>
      <c r="J1624" s="65" t="s">
        <v>9</v>
      </c>
      <c r="K1624" s="65" t="s">
        <v>9</v>
      </c>
      <c r="L1624" s="180">
        <v>0.25</v>
      </c>
      <c r="M1624" s="180">
        <f t="shared" si="1017"/>
        <v>0.375</v>
      </c>
      <c r="N1624" s="180">
        <v>0.5</v>
      </c>
      <c r="O1624" s="129">
        <f t="shared" si="1018"/>
        <v>0.375</v>
      </c>
      <c r="P1624" s="159"/>
      <c r="Q1624" s="208">
        <f t="shared" si="1019"/>
        <v>0.375</v>
      </c>
      <c r="R1624" s="132"/>
      <c r="S1624" s="132"/>
      <c r="T1624" s="65" t="s">
        <v>70</v>
      </c>
      <c r="U1624" s="26"/>
      <c r="V1624" s="26"/>
      <c r="W1624" s="26"/>
      <c r="X1624" s="26"/>
      <c r="Y1624" s="26"/>
      <c r="Z1624" s="26"/>
      <c r="AA1624" s="26"/>
      <c r="AB1624" s="26"/>
      <c r="AC1624" s="26"/>
    </row>
    <row r="1625" ht="33.75" customHeight="1">
      <c r="A1625" s="54" t="s">
        <v>2735</v>
      </c>
      <c r="B1625" s="209" t="s">
        <v>2678</v>
      </c>
      <c r="C1625" s="209" t="s">
        <v>2714</v>
      </c>
      <c r="D1625" s="209" t="s">
        <v>2736</v>
      </c>
      <c r="E1625" s="209" t="s">
        <v>2737</v>
      </c>
      <c r="F1625" s="54" t="s">
        <v>2738</v>
      </c>
      <c r="G1625" s="54" t="s">
        <v>154</v>
      </c>
      <c r="H1625" s="54" t="s">
        <v>154</v>
      </c>
      <c r="I1625" s="54"/>
      <c r="J1625" s="54" t="s">
        <v>9</v>
      </c>
      <c r="K1625" s="54" t="s">
        <v>9</v>
      </c>
      <c r="L1625" s="202">
        <f>IF(COUNT(L1626:N1628)=0,"",SUM(L1626:L1628))</f>
        <v>0.75</v>
      </c>
      <c r="M1625" s="174">
        <f>(N1625+L1625)/2</f>
        <v>1.125</v>
      </c>
      <c r="N1625" s="202">
        <f>IF(COUNT(L1626:N1628)=0,"",SUM(N1626:N1628))</f>
        <v>1.5</v>
      </c>
      <c r="O1625" s="202">
        <f>IF(COUNT(O1626:O1628)=0,"",SUM(O1626:O1628))</f>
        <v>1.125</v>
      </c>
      <c r="P1625" s="210"/>
      <c r="Q1625" s="202">
        <f>IF(COUNT(Q1626:Q1628)=0,"",SUM(Q1626:Q1628))</f>
        <v>1.125</v>
      </c>
      <c r="R1625" s="163"/>
      <c r="S1625" s="163"/>
      <c r="T1625" s="54" t="s">
        <v>65</v>
      </c>
      <c r="U1625" s="26"/>
      <c r="V1625" s="26"/>
      <c r="W1625" s="26"/>
      <c r="X1625" s="105"/>
      <c r="Y1625" s="105"/>
      <c r="Z1625" s="105"/>
      <c r="AA1625" s="105"/>
      <c r="AB1625" s="105"/>
      <c r="AC1625" s="105"/>
    </row>
    <row r="1626" ht="33.75" customHeight="1">
      <c r="A1626" s="65" t="s">
        <v>2739</v>
      </c>
      <c r="B1626" s="215" t="s">
        <v>2678</v>
      </c>
      <c r="C1626" s="215" t="s">
        <v>2714</v>
      </c>
      <c r="D1626" s="215" t="s">
        <v>2736</v>
      </c>
      <c r="E1626" s="215" t="s">
        <v>2737</v>
      </c>
      <c r="F1626" s="65" t="s">
        <v>2738</v>
      </c>
      <c r="G1626" s="65" t="s">
        <v>154</v>
      </c>
      <c r="H1626" s="65" t="s">
        <v>154</v>
      </c>
      <c r="I1626" s="65"/>
      <c r="J1626" s="65" t="s">
        <v>9</v>
      </c>
      <c r="K1626" s="65" t="s">
        <v>9</v>
      </c>
      <c r="L1626" s="180">
        <v>0.25</v>
      </c>
      <c r="M1626" s="180">
        <f t="shared" ref="M1626:M1628" si="1020">(N1626+L1626)/2</f>
        <v>0.375</v>
      </c>
      <c r="N1626" s="180">
        <v>0.5</v>
      </c>
      <c r="O1626" s="129">
        <f t="shared" ref="O1626:O1628" si="1021">IF(COUNT(L1626:N1626)=0,"",(L1626+4*M1626+N1626)/6)</f>
        <v>0.375</v>
      </c>
      <c r="P1626" s="159"/>
      <c r="Q1626" s="208">
        <f t="shared" ref="Q1626:Q1628" si="1022">IF(O1626="","",IF(P1626="",O1626,O1626*(1+P1626)))</f>
        <v>0.375</v>
      </c>
      <c r="R1626" s="132"/>
      <c r="S1626" s="132"/>
      <c r="T1626" s="65" t="s">
        <v>31</v>
      </c>
      <c r="U1626" s="26"/>
      <c r="V1626" s="26"/>
      <c r="W1626" s="26"/>
      <c r="X1626" s="26"/>
      <c r="Y1626" s="26"/>
      <c r="Z1626" s="26"/>
      <c r="AA1626" s="26"/>
      <c r="AB1626" s="26"/>
      <c r="AC1626" s="26"/>
    </row>
    <row r="1627" ht="33.75" customHeight="1">
      <c r="A1627" s="65" t="s">
        <v>2740</v>
      </c>
      <c r="B1627" s="215" t="s">
        <v>2678</v>
      </c>
      <c r="C1627" s="215" t="s">
        <v>2714</v>
      </c>
      <c r="D1627" s="215" t="s">
        <v>2736</v>
      </c>
      <c r="E1627" s="215" t="s">
        <v>2737</v>
      </c>
      <c r="F1627" s="65" t="s">
        <v>2738</v>
      </c>
      <c r="G1627" s="65" t="s">
        <v>154</v>
      </c>
      <c r="H1627" s="65" t="s">
        <v>154</v>
      </c>
      <c r="I1627" s="65"/>
      <c r="J1627" s="65" t="s">
        <v>9</v>
      </c>
      <c r="K1627" s="65" t="s">
        <v>9</v>
      </c>
      <c r="L1627" s="180">
        <v>0.25</v>
      </c>
      <c r="M1627" s="180">
        <f t="shared" si="1020"/>
        <v>0.375</v>
      </c>
      <c r="N1627" s="180">
        <v>0.5</v>
      </c>
      <c r="O1627" s="129">
        <f t="shared" si="1021"/>
        <v>0.375</v>
      </c>
      <c r="P1627" s="159"/>
      <c r="Q1627" s="208">
        <f t="shared" si="1022"/>
        <v>0.375</v>
      </c>
      <c r="R1627" s="132"/>
      <c r="S1627" s="132"/>
      <c r="T1627" s="65" t="s">
        <v>32</v>
      </c>
      <c r="U1627" s="26"/>
      <c r="V1627" s="26"/>
      <c r="W1627" s="26"/>
      <c r="X1627" s="26"/>
      <c r="Y1627" s="26"/>
      <c r="Z1627" s="26"/>
      <c r="AA1627" s="26"/>
      <c r="AB1627" s="26"/>
      <c r="AC1627" s="26"/>
    </row>
    <row r="1628" ht="33.75" customHeight="1">
      <c r="A1628" s="65" t="s">
        <v>2741</v>
      </c>
      <c r="B1628" s="215" t="s">
        <v>2678</v>
      </c>
      <c r="C1628" s="215" t="s">
        <v>2714</v>
      </c>
      <c r="D1628" s="215" t="s">
        <v>2736</v>
      </c>
      <c r="E1628" s="215" t="s">
        <v>2737</v>
      </c>
      <c r="F1628" s="65" t="s">
        <v>2738</v>
      </c>
      <c r="G1628" s="65" t="s">
        <v>154</v>
      </c>
      <c r="H1628" s="65" t="s">
        <v>154</v>
      </c>
      <c r="I1628" s="65"/>
      <c r="J1628" s="65" t="s">
        <v>9</v>
      </c>
      <c r="K1628" s="65" t="s">
        <v>9</v>
      </c>
      <c r="L1628" s="180">
        <v>0.25</v>
      </c>
      <c r="M1628" s="180">
        <f t="shared" si="1020"/>
        <v>0.375</v>
      </c>
      <c r="N1628" s="180">
        <v>0.5</v>
      </c>
      <c r="O1628" s="129">
        <f t="shared" si="1021"/>
        <v>0.375</v>
      </c>
      <c r="P1628" s="159"/>
      <c r="Q1628" s="208">
        <f t="shared" si="1022"/>
        <v>0.375</v>
      </c>
      <c r="R1628" s="132"/>
      <c r="S1628" s="132"/>
      <c r="T1628" s="65" t="s">
        <v>70</v>
      </c>
      <c r="U1628" s="26"/>
      <c r="V1628" s="26"/>
      <c r="W1628" s="26"/>
      <c r="X1628" s="26"/>
      <c r="Y1628" s="26"/>
      <c r="Z1628" s="26"/>
      <c r="AA1628" s="26"/>
      <c r="AB1628" s="26"/>
      <c r="AC1628" s="26"/>
    </row>
    <row r="1629" ht="33.75" customHeight="1">
      <c r="A1629" s="54" t="s">
        <v>2742</v>
      </c>
      <c r="B1629" s="209" t="s">
        <v>2678</v>
      </c>
      <c r="C1629" s="209" t="s">
        <v>2714</v>
      </c>
      <c r="D1629" s="209" t="s">
        <v>2743</v>
      </c>
      <c r="E1629" s="209" t="s">
        <v>2744</v>
      </c>
      <c r="F1629" s="54" t="s">
        <v>2745</v>
      </c>
      <c r="G1629" s="54" t="s">
        <v>168</v>
      </c>
      <c r="H1629" s="54" t="s">
        <v>168</v>
      </c>
      <c r="I1629" s="54"/>
      <c r="J1629" s="54" t="s">
        <v>9</v>
      </c>
      <c r="K1629" s="54" t="s">
        <v>9</v>
      </c>
      <c r="L1629" s="202">
        <f>IF(COUNT(L1630:N1632)=0,"",SUM(L1630:L1632))</f>
        <v>0.75</v>
      </c>
      <c r="M1629" s="174">
        <f>(N1629+L1629)/2</f>
        <v>1.125</v>
      </c>
      <c r="N1629" s="202">
        <f>IF(COUNT(L1630:N1632)=0,"",SUM(N1630:N1632))</f>
        <v>1.5</v>
      </c>
      <c r="O1629" s="202">
        <f>IF(COUNT(O1630:O1632)=0,"",SUM(O1630:O1632))</f>
        <v>1.125</v>
      </c>
      <c r="P1629" s="210"/>
      <c r="Q1629" s="202">
        <f>IF(COUNT(Q1630:Q1632)=0,"",SUM(Q1630:Q1632))</f>
        <v>1.125</v>
      </c>
      <c r="R1629" s="163"/>
      <c r="S1629" s="163"/>
      <c r="T1629" s="54" t="s">
        <v>65</v>
      </c>
      <c r="U1629" s="26"/>
      <c r="V1629" s="26"/>
      <c r="W1629" s="26"/>
      <c r="X1629" s="105"/>
      <c r="Y1629" s="105"/>
      <c r="Z1629" s="105"/>
      <c r="AA1629" s="105"/>
      <c r="AB1629" s="105"/>
      <c r="AC1629" s="105"/>
    </row>
    <row r="1630" ht="33.75" customHeight="1">
      <c r="A1630" s="65" t="s">
        <v>2746</v>
      </c>
      <c r="B1630" s="215" t="s">
        <v>2678</v>
      </c>
      <c r="C1630" s="215" t="s">
        <v>2714</v>
      </c>
      <c r="D1630" s="215" t="s">
        <v>2743</v>
      </c>
      <c r="E1630" s="215" t="s">
        <v>2744</v>
      </c>
      <c r="F1630" s="65" t="s">
        <v>2745</v>
      </c>
      <c r="G1630" s="65" t="s">
        <v>168</v>
      </c>
      <c r="H1630" s="65" t="s">
        <v>168</v>
      </c>
      <c r="I1630" s="65"/>
      <c r="J1630" s="65" t="s">
        <v>9</v>
      </c>
      <c r="K1630" s="65" t="s">
        <v>9</v>
      </c>
      <c r="L1630" s="180">
        <v>0.25</v>
      </c>
      <c r="M1630" s="180">
        <f t="shared" ref="M1630:M1632" si="1023">(N1630+L1630)/2</f>
        <v>0.375</v>
      </c>
      <c r="N1630" s="180">
        <v>0.5</v>
      </c>
      <c r="O1630" s="129">
        <f t="shared" ref="O1630:O1632" si="1024">IF(COUNT(L1630:N1630)=0,"",(L1630+4*M1630+N1630)/6)</f>
        <v>0.375</v>
      </c>
      <c r="P1630" s="159"/>
      <c r="Q1630" s="208">
        <f t="shared" ref="Q1630:Q1632" si="1025">IF(O1630="","",IF(P1630="",O1630,O1630*(1+P1630)))</f>
        <v>0.375</v>
      </c>
      <c r="R1630" s="132"/>
      <c r="S1630" s="132"/>
      <c r="T1630" s="65" t="s">
        <v>31</v>
      </c>
      <c r="U1630" s="26"/>
      <c r="V1630" s="26"/>
      <c r="W1630" s="26"/>
      <c r="X1630" s="26"/>
      <c r="Y1630" s="26"/>
      <c r="Z1630" s="26"/>
      <c r="AA1630" s="26"/>
      <c r="AB1630" s="26"/>
      <c r="AC1630" s="26"/>
    </row>
    <row r="1631" ht="33.75" customHeight="1">
      <c r="A1631" s="65" t="s">
        <v>2747</v>
      </c>
      <c r="B1631" s="215" t="s">
        <v>2678</v>
      </c>
      <c r="C1631" s="215" t="s">
        <v>2714</v>
      </c>
      <c r="D1631" s="215" t="s">
        <v>2743</v>
      </c>
      <c r="E1631" s="215" t="s">
        <v>2744</v>
      </c>
      <c r="F1631" s="65" t="s">
        <v>2745</v>
      </c>
      <c r="G1631" s="65" t="s">
        <v>168</v>
      </c>
      <c r="H1631" s="65" t="s">
        <v>168</v>
      </c>
      <c r="I1631" s="65"/>
      <c r="J1631" s="65" t="s">
        <v>9</v>
      </c>
      <c r="K1631" s="65" t="s">
        <v>9</v>
      </c>
      <c r="L1631" s="180">
        <v>0.25</v>
      </c>
      <c r="M1631" s="180">
        <f t="shared" si="1023"/>
        <v>0.375</v>
      </c>
      <c r="N1631" s="180">
        <v>0.5</v>
      </c>
      <c r="O1631" s="129">
        <f t="shared" si="1024"/>
        <v>0.375</v>
      </c>
      <c r="P1631" s="159"/>
      <c r="Q1631" s="208">
        <f t="shared" si="1025"/>
        <v>0.375</v>
      </c>
      <c r="R1631" s="132"/>
      <c r="S1631" s="132"/>
      <c r="T1631" s="65" t="s">
        <v>32</v>
      </c>
      <c r="U1631" s="26"/>
      <c r="V1631" s="26"/>
      <c r="W1631" s="26"/>
      <c r="X1631" s="26"/>
      <c r="Y1631" s="26"/>
      <c r="Z1631" s="26"/>
      <c r="AA1631" s="26"/>
      <c r="AB1631" s="26"/>
      <c r="AC1631" s="26"/>
    </row>
    <row r="1632" ht="33.75" customHeight="1">
      <c r="A1632" s="65" t="s">
        <v>2748</v>
      </c>
      <c r="B1632" s="215" t="s">
        <v>2678</v>
      </c>
      <c r="C1632" s="215" t="s">
        <v>2714</v>
      </c>
      <c r="D1632" s="215" t="s">
        <v>2743</v>
      </c>
      <c r="E1632" s="215" t="s">
        <v>2744</v>
      </c>
      <c r="F1632" s="65" t="s">
        <v>2745</v>
      </c>
      <c r="G1632" s="65" t="s">
        <v>168</v>
      </c>
      <c r="H1632" s="65" t="s">
        <v>168</v>
      </c>
      <c r="I1632" s="65"/>
      <c r="J1632" s="65" t="s">
        <v>9</v>
      </c>
      <c r="K1632" s="65" t="s">
        <v>9</v>
      </c>
      <c r="L1632" s="180">
        <v>0.25</v>
      </c>
      <c r="M1632" s="180">
        <f t="shared" si="1023"/>
        <v>0.375</v>
      </c>
      <c r="N1632" s="180">
        <v>0.5</v>
      </c>
      <c r="O1632" s="129">
        <f t="shared" si="1024"/>
        <v>0.375</v>
      </c>
      <c r="P1632" s="159"/>
      <c r="Q1632" s="208">
        <f t="shared" si="1025"/>
        <v>0.375</v>
      </c>
      <c r="R1632" s="132"/>
      <c r="S1632" s="132"/>
      <c r="T1632" s="65" t="s">
        <v>70</v>
      </c>
      <c r="U1632" s="26"/>
      <c r="V1632" s="26"/>
      <c r="W1632" s="26"/>
      <c r="X1632" s="26"/>
      <c r="Y1632" s="26"/>
      <c r="Z1632" s="26"/>
      <c r="AA1632" s="26"/>
      <c r="AB1632" s="26"/>
      <c r="AC1632" s="26"/>
    </row>
    <row r="1633" ht="33.75" customHeight="1">
      <c r="A1633" s="54" t="s">
        <v>2749</v>
      </c>
      <c r="B1633" s="209" t="s">
        <v>2678</v>
      </c>
      <c r="C1633" s="209" t="s">
        <v>2714</v>
      </c>
      <c r="D1633" s="209" t="s">
        <v>2750</v>
      </c>
      <c r="E1633" s="209" t="s">
        <v>2751</v>
      </c>
      <c r="F1633" s="54"/>
      <c r="G1633" s="54" t="s">
        <v>168</v>
      </c>
      <c r="H1633" s="54" t="s">
        <v>168</v>
      </c>
      <c r="I1633" s="54"/>
      <c r="J1633" s="54" t="s">
        <v>9</v>
      </c>
      <c r="K1633" s="54" t="s">
        <v>9</v>
      </c>
      <c r="L1633" s="202">
        <f>IF(COUNT(L1634:N1636)=0,"",SUM(L1634:L1636))</f>
        <v>0.5</v>
      </c>
      <c r="M1633" s="174">
        <f t="shared" ref="M1633:M1637" si="1026">(N1633+L1633)/2</f>
        <v>1</v>
      </c>
      <c r="N1633" s="202">
        <f>IF(COUNT(L1634:N1636)=0,"",SUM(N1634:N1636))</f>
        <v>1.5</v>
      </c>
      <c r="O1633" s="202">
        <f>IF(COUNT(O1634:O1636)=0,"",SUM(O1634:O1636))</f>
        <v>1</v>
      </c>
      <c r="P1633" s="210"/>
      <c r="Q1633" s="202">
        <f>IF(COUNT(Q1634:Q1636)=0,"",SUM(Q1634:Q1636))</f>
        <v>1</v>
      </c>
      <c r="R1633" s="163"/>
      <c r="S1633" s="163"/>
      <c r="T1633" s="54" t="s">
        <v>65</v>
      </c>
      <c r="U1633" s="26"/>
      <c r="V1633" s="26"/>
      <c r="W1633" s="26"/>
      <c r="X1633" s="105"/>
      <c r="Y1633" s="105"/>
      <c r="Z1633" s="105"/>
      <c r="AA1633" s="105"/>
      <c r="AB1633" s="105"/>
      <c r="AC1633" s="105"/>
    </row>
    <row r="1634" ht="33.75" customHeight="1">
      <c r="A1634" s="65" t="s">
        <v>2752</v>
      </c>
      <c r="B1634" s="215" t="s">
        <v>2678</v>
      </c>
      <c r="C1634" s="215" t="s">
        <v>2714</v>
      </c>
      <c r="D1634" s="215" t="s">
        <v>2750</v>
      </c>
      <c r="E1634" s="215" t="s">
        <v>2751</v>
      </c>
      <c r="F1634" s="65"/>
      <c r="G1634" s="65" t="s">
        <v>168</v>
      </c>
      <c r="H1634" s="65" t="s">
        <v>168</v>
      </c>
      <c r="I1634" s="65"/>
      <c r="J1634" s="65" t="s">
        <v>9</v>
      </c>
      <c r="K1634" s="65" t="s">
        <v>9</v>
      </c>
      <c r="L1634" s="128">
        <v>0.0</v>
      </c>
      <c r="M1634" s="180">
        <f t="shared" si="1026"/>
        <v>0</v>
      </c>
      <c r="N1634" s="128">
        <v>0.0</v>
      </c>
      <c r="O1634" s="129">
        <f t="shared" ref="O1634:O1636" si="1027">IF(COUNT(L1634:N1634)=0,"",(L1634+4*M1634+N1634)/6)</f>
        <v>0</v>
      </c>
      <c r="P1634" s="159"/>
      <c r="Q1634" s="208">
        <f t="shared" ref="Q1634:Q1636" si="1028">IF(O1634="","",IF(P1634="",O1634,O1634*(1+P1634)))</f>
        <v>0</v>
      </c>
      <c r="R1634" s="132"/>
      <c r="S1634" s="132"/>
      <c r="T1634" s="65" t="s">
        <v>31</v>
      </c>
      <c r="U1634" s="26"/>
      <c r="V1634" s="26"/>
      <c r="W1634" s="26"/>
      <c r="X1634" s="26"/>
      <c r="Y1634" s="26"/>
      <c r="Z1634" s="26"/>
      <c r="AA1634" s="26"/>
      <c r="AB1634" s="26"/>
      <c r="AC1634" s="26"/>
    </row>
    <row r="1635" ht="33.75" customHeight="1">
      <c r="A1635" s="65" t="s">
        <v>2753</v>
      </c>
      <c r="B1635" s="215" t="s">
        <v>2678</v>
      </c>
      <c r="C1635" s="215" t="s">
        <v>2714</v>
      </c>
      <c r="D1635" s="215" t="s">
        <v>2750</v>
      </c>
      <c r="E1635" s="215" t="s">
        <v>2751</v>
      </c>
      <c r="F1635" s="65"/>
      <c r="G1635" s="65" t="s">
        <v>168</v>
      </c>
      <c r="H1635" s="65" t="s">
        <v>168</v>
      </c>
      <c r="I1635" s="65"/>
      <c r="J1635" s="65" t="s">
        <v>9</v>
      </c>
      <c r="K1635" s="65" t="s">
        <v>9</v>
      </c>
      <c r="L1635" s="128">
        <v>0.25</v>
      </c>
      <c r="M1635" s="180">
        <f t="shared" si="1026"/>
        <v>0.625</v>
      </c>
      <c r="N1635" s="128">
        <v>1.0</v>
      </c>
      <c r="O1635" s="129">
        <f t="shared" si="1027"/>
        <v>0.625</v>
      </c>
      <c r="P1635" s="159"/>
      <c r="Q1635" s="208">
        <f t="shared" si="1028"/>
        <v>0.625</v>
      </c>
      <c r="R1635" s="132"/>
      <c r="S1635" s="132"/>
      <c r="T1635" s="65" t="s">
        <v>32</v>
      </c>
      <c r="U1635" s="26"/>
      <c r="V1635" s="26"/>
      <c r="W1635" s="26"/>
      <c r="X1635" s="26"/>
      <c r="Y1635" s="26"/>
      <c r="Z1635" s="26"/>
      <c r="AA1635" s="26"/>
      <c r="AB1635" s="26"/>
      <c r="AC1635" s="26"/>
    </row>
    <row r="1636" ht="33.75" customHeight="1">
      <c r="A1636" s="65" t="s">
        <v>2754</v>
      </c>
      <c r="B1636" s="215" t="s">
        <v>2678</v>
      </c>
      <c r="C1636" s="215" t="s">
        <v>2714</v>
      </c>
      <c r="D1636" s="215" t="s">
        <v>2750</v>
      </c>
      <c r="E1636" s="215" t="s">
        <v>2751</v>
      </c>
      <c r="F1636" s="65"/>
      <c r="G1636" s="65" t="s">
        <v>168</v>
      </c>
      <c r="H1636" s="65" t="s">
        <v>168</v>
      </c>
      <c r="I1636" s="65"/>
      <c r="J1636" s="65" t="s">
        <v>9</v>
      </c>
      <c r="K1636" s="65" t="s">
        <v>9</v>
      </c>
      <c r="L1636" s="128">
        <v>0.25</v>
      </c>
      <c r="M1636" s="180">
        <f t="shared" si="1026"/>
        <v>0.375</v>
      </c>
      <c r="N1636" s="128">
        <v>0.5</v>
      </c>
      <c r="O1636" s="129">
        <f t="shared" si="1027"/>
        <v>0.375</v>
      </c>
      <c r="P1636" s="159"/>
      <c r="Q1636" s="208">
        <f t="shared" si="1028"/>
        <v>0.375</v>
      </c>
      <c r="R1636" s="132"/>
      <c r="S1636" s="132"/>
      <c r="T1636" s="65" t="s">
        <v>70</v>
      </c>
      <c r="U1636" s="26"/>
      <c r="V1636" s="26"/>
      <c r="W1636" s="26"/>
      <c r="X1636" s="26"/>
      <c r="Y1636" s="26"/>
      <c r="Z1636" s="26"/>
      <c r="AA1636" s="26"/>
      <c r="AB1636" s="26"/>
      <c r="AC1636" s="26"/>
    </row>
    <row r="1637" ht="33.75" customHeight="1">
      <c r="A1637" s="54" t="s">
        <v>2755</v>
      </c>
      <c r="B1637" s="209" t="s">
        <v>2678</v>
      </c>
      <c r="C1637" s="209" t="s">
        <v>2714</v>
      </c>
      <c r="D1637" s="209" t="s">
        <v>2756</v>
      </c>
      <c r="E1637" s="209" t="s">
        <v>2757</v>
      </c>
      <c r="F1637" s="54" t="s">
        <v>2722</v>
      </c>
      <c r="G1637" s="54" t="s">
        <v>154</v>
      </c>
      <c r="H1637" s="54" t="s">
        <v>154</v>
      </c>
      <c r="I1637" s="54"/>
      <c r="J1637" s="54" t="s">
        <v>9</v>
      </c>
      <c r="K1637" s="54" t="s">
        <v>9</v>
      </c>
      <c r="L1637" s="202">
        <f>IF(COUNT(L1638:N1640)=0,"",SUM(L1638:L1640))</f>
        <v>0.75</v>
      </c>
      <c r="M1637" s="174">
        <f t="shared" si="1026"/>
        <v>1.125</v>
      </c>
      <c r="N1637" s="202">
        <f>IF(COUNT(L1638:N1640)=0,"",SUM(N1638:N1640))</f>
        <v>1.5</v>
      </c>
      <c r="O1637" s="202">
        <f>IF(COUNT(O1638:O1640)=0,"",SUM(O1638:O1640))</f>
        <v>1.125</v>
      </c>
      <c r="P1637" s="210"/>
      <c r="Q1637" s="202">
        <f>IF(COUNT(Q1638:Q1640)=0,"",SUM(Q1638:Q1640))</f>
        <v>1.125</v>
      </c>
      <c r="R1637" s="163"/>
      <c r="S1637" s="163"/>
      <c r="T1637" s="54" t="s">
        <v>65</v>
      </c>
      <c r="U1637" s="26"/>
      <c r="V1637" s="26"/>
      <c r="W1637" s="26"/>
      <c r="X1637" s="105"/>
      <c r="Y1637" s="105"/>
      <c r="Z1637" s="105"/>
      <c r="AA1637" s="105"/>
      <c r="AB1637" s="105"/>
      <c r="AC1637" s="105"/>
    </row>
    <row r="1638" ht="33.75" customHeight="1">
      <c r="A1638" s="65" t="s">
        <v>2758</v>
      </c>
      <c r="B1638" s="215" t="s">
        <v>2678</v>
      </c>
      <c r="C1638" s="215" t="s">
        <v>2714</v>
      </c>
      <c r="D1638" s="215" t="s">
        <v>2756</v>
      </c>
      <c r="E1638" s="215" t="s">
        <v>2757</v>
      </c>
      <c r="F1638" s="65" t="s">
        <v>2722</v>
      </c>
      <c r="G1638" s="65" t="s">
        <v>154</v>
      </c>
      <c r="H1638" s="65" t="s">
        <v>154</v>
      </c>
      <c r="I1638" s="65"/>
      <c r="J1638" s="65" t="s">
        <v>9</v>
      </c>
      <c r="K1638" s="65" t="s">
        <v>9</v>
      </c>
      <c r="L1638" s="180">
        <v>0.25</v>
      </c>
      <c r="M1638" s="180">
        <f t="shared" ref="M1638:M1640" si="1029">(N1638+L1638)/2</f>
        <v>0.375</v>
      </c>
      <c r="N1638" s="180">
        <v>0.5</v>
      </c>
      <c r="O1638" s="129">
        <f t="shared" ref="O1638:O1640" si="1030">IF(COUNT(L1638:N1638)=0,"",(L1638+4*M1638+N1638)/6)</f>
        <v>0.375</v>
      </c>
      <c r="P1638" s="159"/>
      <c r="Q1638" s="208">
        <f t="shared" ref="Q1638:Q1640" si="1031">IF(O1638="","",IF(P1638="",O1638,O1638*(1+P1638)))</f>
        <v>0.375</v>
      </c>
      <c r="R1638" s="132"/>
      <c r="S1638" s="132"/>
      <c r="T1638" s="65" t="s">
        <v>31</v>
      </c>
      <c r="U1638" s="26"/>
      <c r="V1638" s="26"/>
      <c r="W1638" s="26"/>
      <c r="X1638" s="26"/>
      <c r="Y1638" s="26"/>
      <c r="Z1638" s="26"/>
      <c r="AA1638" s="26"/>
      <c r="AB1638" s="26"/>
      <c r="AC1638" s="26"/>
    </row>
    <row r="1639" ht="33.75" customHeight="1">
      <c r="A1639" s="65" t="s">
        <v>2759</v>
      </c>
      <c r="B1639" s="215" t="s">
        <v>2678</v>
      </c>
      <c r="C1639" s="215" t="s">
        <v>2714</v>
      </c>
      <c r="D1639" s="215" t="s">
        <v>2756</v>
      </c>
      <c r="E1639" s="215" t="s">
        <v>2757</v>
      </c>
      <c r="F1639" s="65" t="s">
        <v>2722</v>
      </c>
      <c r="G1639" s="65" t="s">
        <v>154</v>
      </c>
      <c r="H1639" s="65" t="s">
        <v>154</v>
      </c>
      <c r="I1639" s="65"/>
      <c r="J1639" s="65" t="s">
        <v>9</v>
      </c>
      <c r="K1639" s="65" t="s">
        <v>9</v>
      </c>
      <c r="L1639" s="180">
        <v>0.25</v>
      </c>
      <c r="M1639" s="180">
        <f t="shared" si="1029"/>
        <v>0.375</v>
      </c>
      <c r="N1639" s="180">
        <v>0.5</v>
      </c>
      <c r="O1639" s="129">
        <f t="shared" si="1030"/>
        <v>0.375</v>
      </c>
      <c r="P1639" s="159"/>
      <c r="Q1639" s="208">
        <f t="shared" si="1031"/>
        <v>0.375</v>
      </c>
      <c r="R1639" s="132"/>
      <c r="S1639" s="132"/>
      <c r="T1639" s="65" t="s">
        <v>32</v>
      </c>
      <c r="U1639" s="26"/>
      <c r="V1639" s="26"/>
      <c r="W1639" s="26"/>
      <c r="X1639" s="26"/>
      <c r="Y1639" s="26"/>
      <c r="Z1639" s="26"/>
      <c r="AA1639" s="26"/>
      <c r="AB1639" s="26"/>
      <c r="AC1639" s="26"/>
    </row>
    <row r="1640" ht="33.75" customHeight="1">
      <c r="A1640" s="65" t="s">
        <v>2760</v>
      </c>
      <c r="B1640" s="215" t="s">
        <v>2678</v>
      </c>
      <c r="C1640" s="215" t="s">
        <v>2714</v>
      </c>
      <c r="D1640" s="215" t="s">
        <v>2756</v>
      </c>
      <c r="E1640" s="215" t="s">
        <v>2757</v>
      </c>
      <c r="F1640" s="65" t="s">
        <v>2722</v>
      </c>
      <c r="G1640" s="65" t="s">
        <v>154</v>
      </c>
      <c r="H1640" s="65" t="s">
        <v>154</v>
      </c>
      <c r="I1640" s="65"/>
      <c r="J1640" s="65" t="s">
        <v>9</v>
      </c>
      <c r="K1640" s="65" t="s">
        <v>9</v>
      </c>
      <c r="L1640" s="180">
        <v>0.25</v>
      </c>
      <c r="M1640" s="180">
        <f t="shared" si="1029"/>
        <v>0.375</v>
      </c>
      <c r="N1640" s="180">
        <v>0.5</v>
      </c>
      <c r="O1640" s="129">
        <f t="shared" si="1030"/>
        <v>0.375</v>
      </c>
      <c r="P1640" s="159"/>
      <c r="Q1640" s="208">
        <f t="shared" si="1031"/>
        <v>0.375</v>
      </c>
      <c r="R1640" s="132"/>
      <c r="S1640" s="132"/>
      <c r="T1640" s="65" t="s">
        <v>70</v>
      </c>
      <c r="U1640" s="26"/>
      <c r="V1640" s="26"/>
      <c r="W1640" s="26"/>
      <c r="X1640" s="26"/>
      <c r="Y1640" s="26"/>
      <c r="Z1640" s="26"/>
      <c r="AA1640" s="26"/>
      <c r="AB1640" s="26"/>
      <c r="AC1640" s="26"/>
    </row>
    <row r="1641" ht="33.75" customHeight="1">
      <c r="A1641" s="112" t="s">
        <v>2761</v>
      </c>
      <c r="B1641" s="38" t="s">
        <v>2678</v>
      </c>
      <c r="C1641" s="38" t="s">
        <v>2762</v>
      </c>
      <c r="D1641" s="38" t="s">
        <v>2762</v>
      </c>
      <c r="E1641" s="113" t="s">
        <v>2763</v>
      </c>
      <c r="F1641" s="114"/>
      <c r="G1641" s="114"/>
      <c r="H1641" s="45"/>
      <c r="I1641" s="45"/>
      <c r="J1641" s="114"/>
      <c r="K1641" s="115"/>
      <c r="L1641" s="42">
        <f>IF(COUNT(L1642,L1646,L1650,L1654,L1658)=0,"",SUM(L1642,L1646,L1650,L1654,L1658))</f>
        <v>2.75</v>
      </c>
      <c r="M1641" s="42">
        <f t="shared" ref="M1641:M1642" si="1034">(N1641+L1641)/2</f>
        <v>4.875</v>
      </c>
      <c r="N1641" s="42">
        <f t="shared" ref="N1641:O1641" si="1032">IF(COUNT(N1642,N1646,N1650,N1654,N1658)=0,"",SUM(N1642,N1646,N1650,N1654,N1658))</f>
        <v>7</v>
      </c>
      <c r="O1641" s="42">
        <f t="shared" si="1032"/>
        <v>4.875</v>
      </c>
      <c r="P1641" s="43"/>
      <c r="Q1641" s="42">
        <f>IF(COUNT(Q1642,Q1646,Q1650,Q1654,Q1658)=0,"",SUM(Q1642,Q1646,Q1650,Q1654,Q1658))</f>
        <v>4.875</v>
      </c>
      <c r="R1641" s="44"/>
      <c r="S1641" s="44"/>
      <c r="T1641" s="45" t="s">
        <v>62</v>
      </c>
      <c r="U1641" s="26"/>
      <c r="V1641" s="26"/>
      <c r="W1641" s="26"/>
      <c r="X1641" s="46">
        <f t="shared" ref="X1641:AA1641" si="1033">L1641</f>
        <v>2.75</v>
      </c>
      <c r="Y1641" s="46">
        <f t="shared" si="1033"/>
        <v>4.875</v>
      </c>
      <c r="Z1641" s="46">
        <f t="shared" si="1033"/>
        <v>7</v>
      </c>
      <c r="AA1641" s="46">
        <f t="shared" si="1033"/>
        <v>4.875</v>
      </c>
      <c r="AB1641" s="26"/>
      <c r="AC1641" s="46">
        <f>Q1641</f>
        <v>4.875</v>
      </c>
    </row>
    <row r="1642" ht="33.75" customHeight="1">
      <c r="A1642" s="116" t="s">
        <v>2764</v>
      </c>
      <c r="B1642" s="77" t="s">
        <v>2678</v>
      </c>
      <c r="C1642" s="77" t="s">
        <v>2762</v>
      </c>
      <c r="D1642" s="77" t="s">
        <v>2765</v>
      </c>
      <c r="E1642" s="117" t="s">
        <v>2766</v>
      </c>
      <c r="F1642" s="118" t="s">
        <v>2767</v>
      </c>
      <c r="G1642" s="118" t="s">
        <v>168</v>
      </c>
      <c r="H1642" s="119" t="s">
        <v>168</v>
      </c>
      <c r="I1642" s="54"/>
      <c r="J1642" s="118" t="s">
        <v>9</v>
      </c>
      <c r="K1642" s="120" t="s">
        <v>9</v>
      </c>
      <c r="L1642" s="202">
        <f>IF(COUNT(L1643:N1645)=0,"",SUM(L1643:L1645))</f>
        <v>0.75</v>
      </c>
      <c r="M1642" s="174">
        <f t="shared" si="1034"/>
        <v>1.125</v>
      </c>
      <c r="N1642" s="202">
        <f>IF(COUNT(L1643:N1645)=0,"",SUM(N1643:N1645))</f>
        <v>1.5</v>
      </c>
      <c r="O1642" s="202">
        <f>IF(COUNT(O1643:O1645)=0,"",SUM(O1643:O1645))</f>
        <v>1.125</v>
      </c>
      <c r="P1642" s="210"/>
      <c r="Q1642" s="202">
        <f>IF(COUNT(Q1643:Q1645)=0,"",SUM(Q1643:Q1645))</f>
        <v>1.125</v>
      </c>
      <c r="R1642" s="163"/>
      <c r="S1642" s="163"/>
      <c r="T1642" s="54" t="s">
        <v>65</v>
      </c>
      <c r="U1642" s="26"/>
      <c r="V1642" s="26"/>
      <c r="W1642" s="26"/>
      <c r="X1642" s="46"/>
      <c r="Y1642" s="46"/>
      <c r="Z1642" s="46"/>
      <c r="AA1642" s="46"/>
      <c r="AB1642" s="232"/>
      <c r="AC1642" s="46"/>
    </row>
    <row r="1643" ht="33.75" customHeight="1">
      <c r="A1643" s="65" t="s">
        <v>2768</v>
      </c>
      <c r="B1643" s="215" t="s">
        <v>2678</v>
      </c>
      <c r="C1643" s="215" t="s">
        <v>2762</v>
      </c>
      <c r="D1643" s="215" t="s">
        <v>2765</v>
      </c>
      <c r="E1643" s="215" t="s">
        <v>2766</v>
      </c>
      <c r="F1643" s="65" t="s">
        <v>2767</v>
      </c>
      <c r="G1643" s="65" t="s">
        <v>168</v>
      </c>
      <c r="H1643" s="65" t="s">
        <v>168</v>
      </c>
      <c r="I1643" s="65"/>
      <c r="J1643" s="65" t="s">
        <v>9</v>
      </c>
      <c r="K1643" s="65" t="s">
        <v>9</v>
      </c>
      <c r="L1643" s="180">
        <v>0.25</v>
      </c>
      <c r="M1643" s="180">
        <f t="shared" ref="M1643:M1645" si="1035">(N1643+L1643)/2</f>
        <v>0.375</v>
      </c>
      <c r="N1643" s="180">
        <v>0.5</v>
      </c>
      <c r="O1643" s="129">
        <f t="shared" ref="O1643:O1645" si="1036">IF(COUNT(L1643:N1643)=0,"",(L1643+4*M1643+N1643)/6)</f>
        <v>0.375</v>
      </c>
      <c r="P1643" s="159"/>
      <c r="Q1643" s="208">
        <f t="shared" ref="Q1643:Q1645" si="1037">IF(O1643="","",IF(P1643="",O1643,O1643*(1+P1643)))</f>
        <v>0.375</v>
      </c>
      <c r="R1643" s="132"/>
      <c r="S1643" s="132"/>
      <c r="T1643" s="65" t="s">
        <v>31</v>
      </c>
      <c r="U1643" s="26"/>
      <c r="V1643" s="26"/>
      <c r="W1643" s="26"/>
      <c r="X1643" s="26"/>
      <c r="Y1643" s="26"/>
      <c r="Z1643" s="26"/>
      <c r="AA1643" s="26"/>
      <c r="AB1643" s="26"/>
      <c r="AC1643" s="26"/>
    </row>
    <row r="1644" ht="33.75" customHeight="1">
      <c r="A1644" s="65" t="s">
        <v>2769</v>
      </c>
      <c r="B1644" s="215" t="s">
        <v>2678</v>
      </c>
      <c r="C1644" s="215" t="s">
        <v>2762</v>
      </c>
      <c r="D1644" s="215" t="s">
        <v>2765</v>
      </c>
      <c r="E1644" s="215" t="s">
        <v>2766</v>
      </c>
      <c r="F1644" s="65" t="s">
        <v>2767</v>
      </c>
      <c r="G1644" s="65" t="s">
        <v>168</v>
      </c>
      <c r="H1644" s="65" t="s">
        <v>168</v>
      </c>
      <c r="I1644" s="65"/>
      <c r="J1644" s="65" t="s">
        <v>9</v>
      </c>
      <c r="K1644" s="65" t="s">
        <v>9</v>
      </c>
      <c r="L1644" s="180">
        <v>0.25</v>
      </c>
      <c r="M1644" s="180">
        <f t="shared" si="1035"/>
        <v>0.375</v>
      </c>
      <c r="N1644" s="180">
        <v>0.5</v>
      </c>
      <c r="O1644" s="129">
        <f t="shared" si="1036"/>
        <v>0.375</v>
      </c>
      <c r="P1644" s="159"/>
      <c r="Q1644" s="208">
        <f t="shared" si="1037"/>
        <v>0.375</v>
      </c>
      <c r="R1644" s="132"/>
      <c r="S1644" s="132"/>
      <c r="T1644" s="65" t="s">
        <v>32</v>
      </c>
      <c r="U1644" s="26"/>
      <c r="V1644" s="26"/>
      <c r="W1644" s="26"/>
      <c r="X1644" s="26"/>
      <c r="Y1644" s="26"/>
      <c r="Z1644" s="26"/>
      <c r="AA1644" s="26"/>
      <c r="AB1644" s="26"/>
      <c r="AC1644" s="26"/>
    </row>
    <row r="1645" ht="33.75" customHeight="1">
      <c r="A1645" s="65" t="s">
        <v>2770</v>
      </c>
      <c r="B1645" s="215" t="s">
        <v>2678</v>
      </c>
      <c r="C1645" s="215" t="s">
        <v>2762</v>
      </c>
      <c r="D1645" s="215" t="s">
        <v>2765</v>
      </c>
      <c r="E1645" s="215" t="s">
        <v>2766</v>
      </c>
      <c r="F1645" s="65" t="s">
        <v>2767</v>
      </c>
      <c r="G1645" s="65" t="s">
        <v>168</v>
      </c>
      <c r="H1645" s="65" t="s">
        <v>168</v>
      </c>
      <c r="I1645" s="65"/>
      <c r="J1645" s="65" t="s">
        <v>9</v>
      </c>
      <c r="K1645" s="65" t="s">
        <v>9</v>
      </c>
      <c r="L1645" s="180">
        <v>0.25</v>
      </c>
      <c r="M1645" s="180">
        <f t="shared" si="1035"/>
        <v>0.375</v>
      </c>
      <c r="N1645" s="180">
        <v>0.5</v>
      </c>
      <c r="O1645" s="129">
        <f t="shared" si="1036"/>
        <v>0.375</v>
      </c>
      <c r="P1645" s="159"/>
      <c r="Q1645" s="208">
        <f t="shared" si="1037"/>
        <v>0.375</v>
      </c>
      <c r="R1645" s="132"/>
      <c r="S1645" s="132"/>
      <c r="T1645" s="65" t="s">
        <v>70</v>
      </c>
      <c r="U1645" s="26"/>
      <c r="V1645" s="26"/>
      <c r="W1645" s="26"/>
      <c r="X1645" s="26"/>
      <c r="Y1645" s="26"/>
      <c r="Z1645" s="26"/>
      <c r="AA1645" s="26"/>
      <c r="AB1645" s="26"/>
      <c r="AC1645" s="26"/>
    </row>
    <row r="1646" ht="33.75" customHeight="1">
      <c r="A1646" s="54" t="s">
        <v>2771</v>
      </c>
      <c r="B1646" s="209" t="s">
        <v>2678</v>
      </c>
      <c r="C1646" s="209" t="s">
        <v>2762</v>
      </c>
      <c r="D1646" s="209" t="s">
        <v>2772</v>
      </c>
      <c r="E1646" s="209" t="s">
        <v>2773</v>
      </c>
      <c r="F1646" s="54" t="s">
        <v>2774</v>
      </c>
      <c r="G1646" s="54" t="s">
        <v>168</v>
      </c>
      <c r="H1646" s="54" t="s">
        <v>168</v>
      </c>
      <c r="I1646" s="54"/>
      <c r="J1646" s="54" t="s">
        <v>9</v>
      </c>
      <c r="K1646" s="54" t="s">
        <v>9</v>
      </c>
      <c r="L1646" s="202">
        <f>IF(COUNT(L1647:N1649)=0,"",SUM(L1647:L1649))</f>
        <v>0.75</v>
      </c>
      <c r="M1646" s="174">
        <f>(N1646+L1646)/2</f>
        <v>1.125</v>
      </c>
      <c r="N1646" s="202">
        <f>IF(COUNT(L1647:N1649)=0,"",SUM(N1647:N1649))</f>
        <v>1.5</v>
      </c>
      <c r="O1646" s="202">
        <f>IF(COUNT(O1647:O1649)=0,"",SUM(O1647:O1649))</f>
        <v>1.125</v>
      </c>
      <c r="P1646" s="210"/>
      <c r="Q1646" s="202">
        <f>IF(COUNT(Q1647:Q1649)=0,"",SUM(Q1647:Q1649))</f>
        <v>1.125</v>
      </c>
      <c r="R1646" s="163"/>
      <c r="S1646" s="163"/>
      <c r="T1646" s="54" t="s">
        <v>65</v>
      </c>
      <c r="U1646" s="26"/>
      <c r="V1646" s="26"/>
      <c r="W1646" s="26"/>
      <c r="X1646" s="105"/>
      <c r="Y1646" s="105"/>
      <c r="Z1646" s="105"/>
      <c r="AA1646" s="105"/>
      <c r="AB1646" s="105"/>
      <c r="AC1646" s="105"/>
    </row>
    <row r="1647" ht="33.75" customHeight="1">
      <c r="A1647" s="65" t="s">
        <v>2775</v>
      </c>
      <c r="B1647" s="215" t="s">
        <v>2678</v>
      </c>
      <c r="C1647" s="215" t="s">
        <v>2762</v>
      </c>
      <c r="D1647" s="215" t="s">
        <v>2772</v>
      </c>
      <c r="E1647" s="215" t="s">
        <v>2773</v>
      </c>
      <c r="F1647" s="65" t="s">
        <v>2774</v>
      </c>
      <c r="G1647" s="65" t="s">
        <v>168</v>
      </c>
      <c r="H1647" s="65" t="s">
        <v>168</v>
      </c>
      <c r="I1647" s="65"/>
      <c r="J1647" s="65" t="s">
        <v>9</v>
      </c>
      <c r="K1647" s="65" t="s">
        <v>9</v>
      </c>
      <c r="L1647" s="180">
        <v>0.25</v>
      </c>
      <c r="M1647" s="180">
        <f t="shared" ref="M1647:M1649" si="1038">(N1647+L1647)/2</f>
        <v>0.375</v>
      </c>
      <c r="N1647" s="180">
        <v>0.5</v>
      </c>
      <c r="O1647" s="129">
        <f t="shared" ref="O1647:O1649" si="1039">IF(COUNT(L1647:N1647)=0,"",(L1647+4*M1647+N1647)/6)</f>
        <v>0.375</v>
      </c>
      <c r="P1647" s="159"/>
      <c r="Q1647" s="208">
        <f t="shared" ref="Q1647:Q1649" si="1040">IF(O1647="","",IF(P1647="",O1647,O1647*(1+P1647)))</f>
        <v>0.375</v>
      </c>
      <c r="R1647" s="132"/>
      <c r="S1647" s="132"/>
      <c r="T1647" s="65" t="s">
        <v>31</v>
      </c>
      <c r="U1647" s="26"/>
      <c r="V1647" s="26"/>
      <c r="W1647" s="26"/>
      <c r="X1647" s="26"/>
      <c r="Y1647" s="26"/>
      <c r="Z1647" s="26"/>
      <c r="AA1647" s="26"/>
      <c r="AB1647" s="26"/>
      <c r="AC1647" s="26"/>
    </row>
    <row r="1648" ht="33.75" customHeight="1">
      <c r="A1648" s="65" t="s">
        <v>2776</v>
      </c>
      <c r="B1648" s="215" t="s">
        <v>2678</v>
      </c>
      <c r="C1648" s="215" t="s">
        <v>2762</v>
      </c>
      <c r="D1648" s="215" t="s">
        <v>2772</v>
      </c>
      <c r="E1648" s="215" t="s">
        <v>2773</v>
      </c>
      <c r="F1648" s="65" t="s">
        <v>2774</v>
      </c>
      <c r="G1648" s="65" t="s">
        <v>168</v>
      </c>
      <c r="H1648" s="65" t="s">
        <v>168</v>
      </c>
      <c r="I1648" s="65"/>
      <c r="J1648" s="65" t="s">
        <v>9</v>
      </c>
      <c r="K1648" s="65" t="s">
        <v>9</v>
      </c>
      <c r="L1648" s="180">
        <v>0.25</v>
      </c>
      <c r="M1648" s="180">
        <f t="shared" si="1038"/>
        <v>0.375</v>
      </c>
      <c r="N1648" s="180">
        <v>0.5</v>
      </c>
      <c r="O1648" s="129">
        <f t="shared" si="1039"/>
        <v>0.375</v>
      </c>
      <c r="P1648" s="159"/>
      <c r="Q1648" s="208">
        <f t="shared" si="1040"/>
        <v>0.375</v>
      </c>
      <c r="R1648" s="132"/>
      <c r="S1648" s="132"/>
      <c r="T1648" s="65" t="s">
        <v>32</v>
      </c>
      <c r="U1648" s="26"/>
      <c r="V1648" s="26"/>
      <c r="W1648" s="26"/>
      <c r="X1648" s="26"/>
      <c r="Y1648" s="26"/>
      <c r="Z1648" s="26"/>
      <c r="AA1648" s="26"/>
      <c r="AB1648" s="26"/>
      <c r="AC1648" s="26"/>
    </row>
    <row r="1649" ht="33.75" customHeight="1">
      <c r="A1649" s="65" t="s">
        <v>2777</v>
      </c>
      <c r="B1649" s="215" t="s">
        <v>2678</v>
      </c>
      <c r="C1649" s="215" t="s">
        <v>2762</v>
      </c>
      <c r="D1649" s="215" t="s">
        <v>2772</v>
      </c>
      <c r="E1649" s="215" t="s">
        <v>2773</v>
      </c>
      <c r="F1649" s="65" t="s">
        <v>2774</v>
      </c>
      <c r="G1649" s="65" t="s">
        <v>168</v>
      </c>
      <c r="H1649" s="65" t="s">
        <v>168</v>
      </c>
      <c r="I1649" s="65"/>
      <c r="J1649" s="65" t="s">
        <v>9</v>
      </c>
      <c r="K1649" s="65" t="s">
        <v>9</v>
      </c>
      <c r="L1649" s="180">
        <v>0.25</v>
      </c>
      <c r="M1649" s="180">
        <f t="shared" si="1038"/>
        <v>0.375</v>
      </c>
      <c r="N1649" s="180">
        <v>0.5</v>
      </c>
      <c r="O1649" s="129">
        <f t="shared" si="1039"/>
        <v>0.375</v>
      </c>
      <c r="P1649" s="159"/>
      <c r="Q1649" s="208">
        <f t="shared" si="1040"/>
        <v>0.375</v>
      </c>
      <c r="R1649" s="132"/>
      <c r="S1649" s="132"/>
      <c r="T1649" s="65" t="s">
        <v>70</v>
      </c>
      <c r="U1649" s="26"/>
      <c r="V1649" s="26"/>
      <c r="W1649" s="26"/>
      <c r="X1649" s="26"/>
      <c r="Y1649" s="26"/>
      <c r="Z1649" s="26"/>
      <c r="AA1649" s="26"/>
      <c r="AB1649" s="26"/>
      <c r="AC1649" s="26"/>
    </row>
    <row r="1650" ht="33.75" customHeight="1">
      <c r="A1650" s="54" t="s">
        <v>2778</v>
      </c>
      <c r="B1650" s="209" t="s">
        <v>2678</v>
      </c>
      <c r="C1650" s="209" t="s">
        <v>2762</v>
      </c>
      <c r="D1650" s="209" t="s">
        <v>2779</v>
      </c>
      <c r="E1650" s="209" t="s">
        <v>2780</v>
      </c>
      <c r="F1650" s="54" t="s">
        <v>2764</v>
      </c>
      <c r="G1650" s="54" t="s">
        <v>168</v>
      </c>
      <c r="H1650" s="54" t="s">
        <v>168</v>
      </c>
      <c r="I1650" s="54"/>
      <c r="J1650" s="54" t="s">
        <v>9</v>
      </c>
      <c r="K1650" s="54" t="s">
        <v>9</v>
      </c>
      <c r="L1650" s="202">
        <f>IF(COUNT(L1651:N1653)=0,"",SUM(L1651:L1653))</f>
        <v>0.5</v>
      </c>
      <c r="M1650" s="174">
        <f>(N1650+L1650)/2</f>
        <v>1.5</v>
      </c>
      <c r="N1650" s="202">
        <f>IF(COUNT(L1651:N1653)=0,"",SUM(N1651:N1653))</f>
        <v>2.5</v>
      </c>
      <c r="O1650" s="202">
        <f>IF(COUNT(O1651:O1653)=0,"",SUM(O1651:O1653))</f>
        <v>1.5</v>
      </c>
      <c r="P1650" s="210"/>
      <c r="Q1650" s="202">
        <f>IF(COUNT(Q1651:Q1653)=0,"",SUM(Q1651:Q1653))</f>
        <v>1.5</v>
      </c>
      <c r="R1650" s="163"/>
      <c r="S1650" s="163"/>
      <c r="T1650" s="54" t="s">
        <v>65</v>
      </c>
      <c r="U1650" s="26"/>
      <c r="V1650" s="26"/>
      <c r="W1650" s="26"/>
      <c r="X1650" s="105"/>
      <c r="Y1650" s="105"/>
      <c r="Z1650" s="105"/>
      <c r="AA1650" s="105"/>
      <c r="AB1650" s="105"/>
      <c r="AC1650" s="105"/>
    </row>
    <row r="1651" ht="33.75" customHeight="1">
      <c r="A1651" s="65" t="s">
        <v>2781</v>
      </c>
      <c r="B1651" s="215" t="s">
        <v>2678</v>
      </c>
      <c r="C1651" s="215" t="s">
        <v>2762</v>
      </c>
      <c r="D1651" s="215" t="s">
        <v>2779</v>
      </c>
      <c r="E1651" s="215" t="s">
        <v>2780</v>
      </c>
      <c r="F1651" s="65" t="s">
        <v>2764</v>
      </c>
      <c r="G1651" s="65" t="s">
        <v>168</v>
      </c>
      <c r="H1651" s="65" t="s">
        <v>168</v>
      </c>
      <c r="I1651" s="65"/>
      <c r="J1651" s="65" t="s">
        <v>9</v>
      </c>
      <c r="K1651" s="65" t="s">
        <v>9</v>
      </c>
      <c r="L1651" s="180">
        <v>0.0</v>
      </c>
      <c r="M1651" s="180">
        <v>0.0</v>
      </c>
      <c r="N1651" s="180">
        <v>0.0</v>
      </c>
      <c r="O1651" s="129">
        <v>0.0</v>
      </c>
      <c r="P1651" s="159"/>
      <c r="Q1651" s="208">
        <f t="shared" ref="Q1651:Q1653" si="1041">IF(O1651="","",IF(P1651="",O1651,O1651*(1+P1651)))</f>
        <v>0</v>
      </c>
      <c r="R1651" s="132"/>
      <c r="S1651" s="132"/>
      <c r="T1651" s="65" t="s">
        <v>31</v>
      </c>
      <c r="U1651" s="26"/>
      <c r="V1651" s="26"/>
      <c r="W1651" s="26"/>
      <c r="X1651" s="26"/>
      <c r="Y1651" s="26"/>
      <c r="Z1651" s="26"/>
      <c r="AA1651" s="26"/>
      <c r="AB1651" s="26"/>
      <c r="AC1651" s="26"/>
    </row>
    <row r="1652" ht="33.75" customHeight="1">
      <c r="A1652" s="65" t="s">
        <v>2782</v>
      </c>
      <c r="B1652" s="215" t="s">
        <v>2678</v>
      </c>
      <c r="C1652" s="215" t="s">
        <v>2762</v>
      </c>
      <c r="D1652" s="215" t="s">
        <v>2779</v>
      </c>
      <c r="E1652" s="215" t="s">
        <v>2780</v>
      </c>
      <c r="F1652" s="65" t="s">
        <v>2764</v>
      </c>
      <c r="G1652" s="65" t="s">
        <v>168</v>
      </c>
      <c r="H1652" s="65" t="s">
        <v>168</v>
      </c>
      <c r="I1652" s="65"/>
      <c r="J1652" s="65" t="s">
        <v>9</v>
      </c>
      <c r="K1652" s="65" t="s">
        <v>9</v>
      </c>
      <c r="L1652" s="180">
        <v>0.25</v>
      </c>
      <c r="M1652" s="180">
        <f t="shared" ref="M1652:M1653" si="1042">(N1652+L1652)/2</f>
        <v>1.125</v>
      </c>
      <c r="N1652" s="180">
        <v>2.0</v>
      </c>
      <c r="O1652" s="129">
        <f t="shared" ref="O1652:O1653" si="1043">IF(COUNT(L1652:N1652)=0,"",(L1652+4*M1652+N1652)/6)</f>
        <v>1.125</v>
      </c>
      <c r="P1652" s="159"/>
      <c r="Q1652" s="208">
        <f t="shared" si="1041"/>
        <v>1.125</v>
      </c>
      <c r="R1652" s="132"/>
      <c r="S1652" s="132"/>
      <c r="T1652" s="65" t="s">
        <v>32</v>
      </c>
      <c r="U1652" s="26"/>
      <c r="V1652" s="26"/>
      <c r="W1652" s="26"/>
      <c r="X1652" s="26"/>
      <c r="Y1652" s="26"/>
      <c r="Z1652" s="26"/>
      <c r="AA1652" s="26"/>
      <c r="AB1652" s="26"/>
      <c r="AC1652" s="26"/>
    </row>
    <row r="1653" ht="33.75" customHeight="1">
      <c r="A1653" s="65" t="s">
        <v>2783</v>
      </c>
      <c r="B1653" s="215" t="s">
        <v>2678</v>
      </c>
      <c r="C1653" s="215" t="s">
        <v>2762</v>
      </c>
      <c r="D1653" s="215" t="s">
        <v>2779</v>
      </c>
      <c r="E1653" s="215" t="s">
        <v>2780</v>
      </c>
      <c r="F1653" s="65" t="s">
        <v>2764</v>
      </c>
      <c r="G1653" s="65" t="s">
        <v>168</v>
      </c>
      <c r="H1653" s="65" t="s">
        <v>168</v>
      </c>
      <c r="I1653" s="65"/>
      <c r="J1653" s="65" t="s">
        <v>9</v>
      </c>
      <c r="K1653" s="65" t="s">
        <v>9</v>
      </c>
      <c r="L1653" s="180">
        <v>0.25</v>
      </c>
      <c r="M1653" s="180">
        <f t="shared" si="1042"/>
        <v>0.375</v>
      </c>
      <c r="N1653" s="180">
        <v>0.5</v>
      </c>
      <c r="O1653" s="129">
        <f t="shared" si="1043"/>
        <v>0.375</v>
      </c>
      <c r="P1653" s="159"/>
      <c r="Q1653" s="208">
        <f t="shared" si="1041"/>
        <v>0.375</v>
      </c>
      <c r="R1653" s="132"/>
      <c r="S1653" s="132"/>
      <c r="T1653" s="65" t="s">
        <v>70</v>
      </c>
      <c r="U1653" s="26"/>
      <c r="V1653" s="26"/>
      <c r="W1653" s="26"/>
      <c r="X1653" s="26"/>
      <c r="Y1653" s="26"/>
      <c r="Z1653" s="26"/>
      <c r="AA1653" s="26"/>
      <c r="AB1653" s="26"/>
      <c r="AC1653" s="26"/>
    </row>
    <row r="1654" ht="33.75" customHeight="1">
      <c r="A1654" s="54" t="s">
        <v>2784</v>
      </c>
      <c r="B1654" s="209" t="s">
        <v>2678</v>
      </c>
      <c r="C1654" s="209" t="s">
        <v>2762</v>
      </c>
      <c r="D1654" s="209" t="s">
        <v>2785</v>
      </c>
      <c r="E1654" s="209" t="s">
        <v>2786</v>
      </c>
      <c r="F1654" s="54" t="s">
        <v>2787</v>
      </c>
      <c r="G1654" s="54" t="s">
        <v>154</v>
      </c>
      <c r="H1654" s="54" t="s">
        <v>154</v>
      </c>
      <c r="I1654" s="54"/>
      <c r="J1654" s="54" t="s">
        <v>9</v>
      </c>
      <c r="K1654" s="54" t="s">
        <v>9</v>
      </c>
      <c r="L1654" s="202">
        <f>IF(COUNT(L1655:N1657)=0,"",SUM(L1655:L1657))</f>
        <v>0.75</v>
      </c>
      <c r="M1654" s="174">
        <f>(N1654+L1654)/2</f>
        <v>1.125</v>
      </c>
      <c r="N1654" s="202">
        <f>IF(COUNT(L1655:N1657)=0,"",SUM(N1655:N1657))</f>
        <v>1.5</v>
      </c>
      <c r="O1654" s="202">
        <f>IF(COUNT(O1655:O1657)=0,"",SUM(O1655:O1657))</f>
        <v>1.125</v>
      </c>
      <c r="P1654" s="210"/>
      <c r="Q1654" s="202">
        <f>IF(COUNT(Q1655:Q1657)=0,"",SUM(Q1655:Q1657))</f>
        <v>1.125</v>
      </c>
      <c r="R1654" s="163"/>
      <c r="S1654" s="163"/>
      <c r="T1654" s="54" t="s">
        <v>65</v>
      </c>
      <c r="U1654" s="26"/>
      <c r="V1654" s="26"/>
      <c r="W1654" s="26"/>
      <c r="X1654" s="105"/>
      <c r="Y1654" s="105"/>
      <c r="Z1654" s="105"/>
      <c r="AA1654" s="105"/>
      <c r="AB1654" s="105"/>
      <c r="AC1654" s="105"/>
    </row>
    <row r="1655" ht="33.75" customHeight="1">
      <c r="A1655" s="65" t="s">
        <v>2788</v>
      </c>
      <c r="B1655" s="215" t="s">
        <v>2678</v>
      </c>
      <c r="C1655" s="215" t="s">
        <v>2762</v>
      </c>
      <c r="D1655" s="215" t="s">
        <v>2785</v>
      </c>
      <c r="E1655" s="215" t="s">
        <v>2786</v>
      </c>
      <c r="F1655" s="65" t="s">
        <v>2787</v>
      </c>
      <c r="G1655" s="65" t="s">
        <v>154</v>
      </c>
      <c r="H1655" s="65" t="s">
        <v>154</v>
      </c>
      <c r="I1655" s="65"/>
      <c r="J1655" s="65" t="s">
        <v>9</v>
      </c>
      <c r="K1655" s="65" t="s">
        <v>9</v>
      </c>
      <c r="L1655" s="180">
        <v>0.25</v>
      </c>
      <c r="M1655" s="180">
        <f t="shared" ref="M1655:M1657" si="1044">(N1655+L1655)/2</f>
        <v>0.375</v>
      </c>
      <c r="N1655" s="180">
        <v>0.5</v>
      </c>
      <c r="O1655" s="129">
        <f t="shared" ref="O1655:O1657" si="1045">IF(COUNT(L1655:N1655)=0,"",(L1655+4*M1655+N1655)/6)</f>
        <v>0.375</v>
      </c>
      <c r="P1655" s="159"/>
      <c r="Q1655" s="208">
        <f t="shared" ref="Q1655:Q1657" si="1046">IF(O1655="","",IF(P1655="",O1655,O1655*(1+P1655)))</f>
        <v>0.375</v>
      </c>
      <c r="R1655" s="132"/>
      <c r="S1655" s="132"/>
      <c r="T1655" s="65" t="s">
        <v>31</v>
      </c>
      <c r="U1655" s="26"/>
      <c r="V1655" s="26"/>
      <c r="W1655" s="26"/>
      <c r="X1655" s="26"/>
      <c r="Y1655" s="26"/>
      <c r="Z1655" s="26"/>
      <c r="AA1655" s="26"/>
      <c r="AB1655" s="26"/>
      <c r="AC1655" s="26"/>
    </row>
    <row r="1656" ht="33.75" customHeight="1">
      <c r="A1656" s="65" t="s">
        <v>2789</v>
      </c>
      <c r="B1656" s="215" t="s">
        <v>2678</v>
      </c>
      <c r="C1656" s="215" t="s">
        <v>2762</v>
      </c>
      <c r="D1656" s="215" t="s">
        <v>2785</v>
      </c>
      <c r="E1656" s="215" t="s">
        <v>2786</v>
      </c>
      <c r="F1656" s="65" t="s">
        <v>2787</v>
      </c>
      <c r="G1656" s="65" t="s">
        <v>154</v>
      </c>
      <c r="H1656" s="65" t="s">
        <v>154</v>
      </c>
      <c r="I1656" s="65"/>
      <c r="J1656" s="65" t="s">
        <v>9</v>
      </c>
      <c r="K1656" s="65" t="s">
        <v>9</v>
      </c>
      <c r="L1656" s="180">
        <v>0.25</v>
      </c>
      <c r="M1656" s="180">
        <f t="shared" si="1044"/>
        <v>0.375</v>
      </c>
      <c r="N1656" s="180">
        <v>0.5</v>
      </c>
      <c r="O1656" s="129">
        <f t="shared" si="1045"/>
        <v>0.375</v>
      </c>
      <c r="P1656" s="159"/>
      <c r="Q1656" s="208">
        <f t="shared" si="1046"/>
        <v>0.375</v>
      </c>
      <c r="R1656" s="132"/>
      <c r="S1656" s="132"/>
      <c r="T1656" s="65" t="s">
        <v>32</v>
      </c>
      <c r="U1656" s="26"/>
      <c r="V1656" s="26"/>
      <c r="W1656" s="26"/>
      <c r="X1656" s="26"/>
      <c r="Y1656" s="26"/>
      <c r="Z1656" s="26"/>
      <c r="AA1656" s="26"/>
      <c r="AB1656" s="26"/>
      <c r="AC1656" s="26"/>
    </row>
    <row r="1657" ht="33.75" customHeight="1">
      <c r="A1657" s="65" t="s">
        <v>2790</v>
      </c>
      <c r="B1657" s="215" t="s">
        <v>2678</v>
      </c>
      <c r="C1657" s="215" t="s">
        <v>2762</v>
      </c>
      <c r="D1657" s="215" t="s">
        <v>2785</v>
      </c>
      <c r="E1657" s="215" t="s">
        <v>2786</v>
      </c>
      <c r="F1657" s="65" t="s">
        <v>2787</v>
      </c>
      <c r="G1657" s="65" t="s">
        <v>154</v>
      </c>
      <c r="H1657" s="65" t="s">
        <v>154</v>
      </c>
      <c r="I1657" s="65"/>
      <c r="J1657" s="65" t="s">
        <v>9</v>
      </c>
      <c r="K1657" s="65" t="s">
        <v>9</v>
      </c>
      <c r="L1657" s="180">
        <v>0.25</v>
      </c>
      <c r="M1657" s="180">
        <f t="shared" si="1044"/>
        <v>0.375</v>
      </c>
      <c r="N1657" s="180">
        <v>0.5</v>
      </c>
      <c r="O1657" s="129">
        <f t="shared" si="1045"/>
        <v>0.375</v>
      </c>
      <c r="P1657" s="159"/>
      <c r="Q1657" s="208">
        <f t="shared" si="1046"/>
        <v>0.375</v>
      </c>
      <c r="R1657" s="132"/>
      <c r="S1657" s="132"/>
      <c r="T1657" s="65" t="s">
        <v>70</v>
      </c>
      <c r="U1657" s="26"/>
      <c r="V1657" s="26"/>
      <c r="W1657" s="26"/>
      <c r="X1657" s="26"/>
      <c r="Y1657" s="26"/>
      <c r="Z1657" s="26"/>
      <c r="AA1657" s="26"/>
      <c r="AB1657" s="26"/>
      <c r="AC1657" s="26"/>
    </row>
    <row r="1658" ht="33.75" customHeight="1">
      <c r="A1658" s="98" t="s">
        <v>2791</v>
      </c>
      <c r="B1658" s="99" t="s">
        <v>2678</v>
      </c>
      <c r="C1658" s="99" t="s">
        <v>2762</v>
      </c>
      <c r="D1658" s="99" t="s">
        <v>2792</v>
      </c>
      <c r="E1658" s="99" t="s">
        <v>2793</v>
      </c>
      <c r="F1658" s="98" t="s">
        <v>2794</v>
      </c>
      <c r="G1658" s="98" t="s">
        <v>168</v>
      </c>
      <c r="H1658" s="98" t="s">
        <v>168</v>
      </c>
      <c r="I1658" s="98"/>
      <c r="J1658" s="98" t="s">
        <v>12</v>
      </c>
      <c r="K1658" s="100" t="s">
        <v>12</v>
      </c>
      <c r="L1658" s="101">
        <f>IF(COUNT(L1659:N1661)=0,"",SUM(L1659:L1661))</f>
        <v>0</v>
      </c>
      <c r="M1658" s="102">
        <f t="shared" ref="M1658:M1667" si="1047">(N1658+L1658)/2</f>
        <v>0</v>
      </c>
      <c r="N1658" s="101">
        <f>IF(COUNT(L1659:N1661)=0,"",SUM(N1659:N1661))</f>
        <v>0</v>
      </c>
      <c r="O1658" s="101">
        <f>IF(COUNT(O1659:O1661)=0,"",SUM(O1659:O1661))</f>
        <v>0</v>
      </c>
      <c r="P1658" s="103"/>
      <c r="Q1658" s="101">
        <f>IF(COUNT(Q1659:Q1661)=0,"",SUM(Q1659:Q1661))</f>
        <v>0</v>
      </c>
      <c r="R1658" s="104"/>
      <c r="S1658" s="104"/>
      <c r="T1658" s="98" t="s">
        <v>65</v>
      </c>
      <c r="U1658" s="26"/>
      <c r="V1658" s="26"/>
      <c r="W1658" s="26"/>
      <c r="X1658" s="105"/>
      <c r="Y1658" s="105"/>
      <c r="Z1658" s="105"/>
      <c r="AA1658" s="105"/>
      <c r="AB1658" s="105"/>
      <c r="AC1658" s="105"/>
    </row>
    <row r="1659" ht="33.75" customHeight="1">
      <c r="A1659" s="106" t="s">
        <v>2795</v>
      </c>
      <c r="B1659" s="107" t="s">
        <v>2678</v>
      </c>
      <c r="C1659" s="107" t="s">
        <v>2762</v>
      </c>
      <c r="D1659" s="107" t="s">
        <v>2792</v>
      </c>
      <c r="E1659" s="107" t="s">
        <v>2793</v>
      </c>
      <c r="F1659" s="106" t="s">
        <v>2794</v>
      </c>
      <c r="G1659" s="106" t="s">
        <v>168</v>
      </c>
      <c r="H1659" s="106" t="s">
        <v>168</v>
      </c>
      <c r="I1659" s="106"/>
      <c r="J1659" s="106" t="s">
        <v>12</v>
      </c>
      <c r="K1659" s="108" t="s">
        <v>12</v>
      </c>
      <c r="L1659" s="109"/>
      <c r="M1659" s="109">
        <f t="shared" si="1047"/>
        <v>0</v>
      </c>
      <c r="N1659" s="109"/>
      <c r="O1659" s="109">
        <f t="shared" ref="O1659:O1661" si="1048">IF(COUNT(L1659:N1659)=0,"",(L1659+4*M1659+N1659)/6)</f>
        <v>0</v>
      </c>
      <c r="P1659" s="110"/>
      <c r="Q1659" s="109">
        <f t="shared" ref="Q1659:Q1661" si="1049">IF(O1659="","",IF(P1659="",O1659,O1659*(1+P1659)))</f>
        <v>0</v>
      </c>
      <c r="R1659" s="111"/>
      <c r="S1659" s="111"/>
      <c r="T1659" s="106" t="s">
        <v>31</v>
      </c>
      <c r="U1659" s="26"/>
      <c r="V1659" s="26"/>
      <c r="W1659" s="26"/>
      <c r="X1659" s="26"/>
      <c r="Y1659" s="26"/>
      <c r="Z1659" s="26"/>
      <c r="AA1659" s="26"/>
      <c r="AB1659" s="26"/>
      <c r="AC1659" s="26"/>
    </row>
    <row r="1660" ht="33.75" customHeight="1">
      <c r="A1660" s="106" t="s">
        <v>2796</v>
      </c>
      <c r="B1660" s="107" t="s">
        <v>2678</v>
      </c>
      <c r="C1660" s="107" t="s">
        <v>2762</v>
      </c>
      <c r="D1660" s="107" t="s">
        <v>2792</v>
      </c>
      <c r="E1660" s="107" t="s">
        <v>2793</v>
      </c>
      <c r="F1660" s="106" t="s">
        <v>2794</v>
      </c>
      <c r="G1660" s="106" t="s">
        <v>168</v>
      </c>
      <c r="H1660" s="106" t="s">
        <v>168</v>
      </c>
      <c r="I1660" s="106"/>
      <c r="J1660" s="106" t="s">
        <v>12</v>
      </c>
      <c r="K1660" s="108" t="s">
        <v>12</v>
      </c>
      <c r="L1660" s="109"/>
      <c r="M1660" s="109">
        <f t="shared" si="1047"/>
        <v>0</v>
      </c>
      <c r="N1660" s="109"/>
      <c r="O1660" s="109">
        <f t="shared" si="1048"/>
        <v>0</v>
      </c>
      <c r="P1660" s="110"/>
      <c r="Q1660" s="109">
        <f t="shared" si="1049"/>
        <v>0</v>
      </c>
      <c r="R1660" s="111"/>
      <c r="S1660" s="111"/>
      <c r="T1660" s="106" t="s">
        <v>32</v>
      </c>
      <c r="U1660" s="26"/>
      <c r="V1660" s="26"/>
      <c r="W1660" s="26"/>
      <c r="X1660" s="26"/>
      <c r="Y1660" s="26"/>
      <c r="Z1660" s="26"/>
      <c r="AA1660" s="26"/>
      <c r="AB1660" s="26"/>
      <c r="AC1660" s="26"/>
    </row>
    <row r="1661" ht="33.75" customHeight="1">
      <c r="A1661" s="106" t="s">
        <v>2797</v>
      </c>
      <c r="B1661" s="107" t="s">
        <v>2678</v>
      </c>
      <c r="C1661" s="107" t="s">
        <v>2762</v>
      </c>
      <c r="D1661" s="107" t="s">
        <v>2792</v>
      </c>
      <c r="E1661" s="107" t="s">
        <v>2793</v>
      </c>
      <c r="F1661" s="106" t="s">
        <v>2794</v>
      </c>
      <c r="G1661" s="106" t="s">
        <v>168</v>
      </c>
      <c r="H1661" s="106" t="s">
        <v>168</v>
      </c>
      <c r="I1661" s="106"/>
      <c r="J1661" s="106" t="s">
        <v>12</v>
      </c>
      <c r="K1661" s="108" t="s">
        <v>12</v>
      </c>
      <c r="L1661" s="109"/>
      <c r="M1661" s="109">
        <f t="shared" si="1047"/>
        <v>0</v>
      </c>
      <c r="N1661" s="109"/>
      <c r="O1661" s="109">
        <f t="shared" si="1048"/>
        <v>0</v>
      </c>
      <c r="P1661" s="110"/>
      <c r="Q1661" s="109">
        <f t="shared" si="1049"/>
        <v>0</v>
      </c>
      <c r="R1661" s="111"/>
      <c r="S1661" s="111"/>
      <c r="T1661" s="106" t="s">
        <v>70</v>
      </c>
      <c r="U1661" s="26"/>
      <c r="V1661" s="26"/>
      <c r="W1661" s="26"/>
      <c r="X1661" s="26"/>
      <c r="Y1661" s="26"/>
      <c r="Z1661" s="26"/>
      <c r="AA1661" s="26"/>
      <c r="AB1661" s="26"/>
      <c r="AC1661" s="26"/>
    </row>
    <row r="1662" ht="33.75" customHeight="1">
      <c r="A1662" s="112" t="s">
        <v>2798</v>
      </c>
      <c r="B1662" s="38" t="s">
        <v>2678</v>
      </c>
      <c r="C1662" s="38" t="s">
        <v>2799</v>
      </c>
      <c r="D1662" s="38" t="s">
        <v>2799</v>
      </c>
      <c r="E1662" s="113" t="s">
        <v>2800</v>
      </c>
      <c r="F1662" s="114"/>
      <c r="G1662" s="114"/>
      <c r="H1662" s="45"/>
      <c r="I1662" s="45"/>
      <c r="J1662" s="114"/>
      <c r="K1662" s="115"/>
      <c r="L1662" s="42">
        <f>IF(COUNT(L1663,L1667,L1671,L1675,L1679)=0,"",SUM(L1663,L1667,L1671,L1675,L1679))</f>
        <v>4</v>
      </c>
      <c r="M1662" s="42">
        <f t="shared" si="1047"/>
        <v>6.25</v>
      </c>
      <c r="N1662" s="42">
        <f t="shared" ref="N1662:O1662" si="1050">IF(COUNT(N1663,N1667,N1671,N1675,N1679)=0,"",SUM(N1663,N1667,N1671,N1675,N1679))</f>
        <v>8.5</v>
      </c>
      <c r="O1662" s="42">
        <f t="shared" si="1050"/>
        <v>6.25</v>
      </c>
      <c r="P1662" s="43"/>
      <c r="Q1662" s="42">
        <f>IF(COUNT(Q1663,Q1667,Q1671,Q1675,Q1679)=0,"",SUM(Q1663,Q1667,Q1671,Q1675,Q1679))</f>
        <v>6.25</v>
      </c>
      <c r="R1662" s="44"/>
      <c r="S1662" s="44"/>
      <c r="T1662" s="45" t="s">
        <v>62</v>
      </c>
      <c r="U1662" s="26"/>
      <c r="V1662" s="26"/>
      <c r="W1662" s="26"/>
      <c r="X1662" s="46">
        <f t="shared" ref="X1662:AA1662" si="1051">L1662</f>
        <v>4</v>
      </c>
      <c r="Y1662" s="46">
        <f t="shared" si="1051"/>
        <v>6.25</v>
      </c>
      <c r="Z1662" s="46">
        <f t="shared" si="1051"/>
        <v>8.5</v>
      </c>
      <c r="AA1662" s="46">
        <f t="shared" si="1051"/>
        <v>6.25</v>
      </c>
      <c r="AB1662" s="26"/>
      <c r="AC1662" s="46">
        <f>Q1662</f>
        <v>6.25</v>
      </c>
    </row>
    <row r="1663" ht="33.75" customHeight="1">
      <c r="A1663" s="116" t="s">
        <v>2801</v>
      </c>
      <c r="B1663" s="77" t="s">
        <v>2678</v>
      </c>
      <c r="C1663" s="77" t="s">
        <v>2799</v>
      </c>
      <c r="D1663" s="77" t="s">
        <v>2802</v>
      </c>
      <c r="E1663" s="117" t="s">
        <v>2803</v>
      </c>
      <c r="F1663" s="118" t="s">
        <v>2804</v>
      </c>
      <c r="G1663" s="118" t="s">
        <v>200</v>
      </c>
      <c r="H1663" s="119" t="s">
        <v>200</v>
      </c>
      <c r="I1663" s="54"/>
      <c r="J1663" s="118" t="s">
        <v>9</v>
      </c>
      <c r="K1663" s="120" t="s">
        <v>9</v>
      </c>
      <c r="L1663" s="202">
        <f>IF(COUNT(L1664:N1666)=0,"",SUM(L1664:L1666))</f>
        <v>0.5</v>
      </c>
      <c r="M1663" s="174">
        <f t="shared" si="1047"/>
        <v>1</v>
      </c>
      <c r="N1663" s="202">
        <f>IF(COUNT(L1664:N1666)=0,"",SUM(N1664:N1666))</f>
        <v>1.5</v>
      </c>
      <c r="O1663" s="202">
        <f>IF(COUNT(O1664:O1666)=0,"",SUM(O1664:O1666))</f>
        <v>1</v>
      </c>
      <c r="P1663" s="210"/>
      <c r="Q1663" s="202">
        <f>IF(COUNT(Q1664:Q1666)=0,"",SUM(Q1664:Q1666))</f>
        <v>1</v>
      </c>
      <c r="R1663" s="163"/>
      <c r="S1663" s="163"/>
      <c r="T1663" s="54" t="s">
        <v>65</v>
      </c>
      <c r="U1663" s="26"/>
      <c r="V1663" s="26"/>
      <c r="W1663" s="26"/>
      <c r="X1663" s="46"/>
      <c r="Y1663" s="46"/>
      <c r="Z1663" s="46"/>
      <c r="AA1663" s="46"/>
      <c r="AB1663" s="232"/>
      <c r="AC1663" s="46"/>
    </row>
    <row r="1664" ht="33.75" customHeight="1">
      <c r="A1664" s="65" t="s">
        <v>2805</v>
      </c>
      <c r="B1664" s="215" t="s">
        <v>2678</v>
      </c>
      <c r="C1664" s="215" t="s">
        <v>2799</v>
      </c>
      <c r="D1664" s="215" t="s">
        <v>2802</v>
      </c>
      <c r="E1664" s="215" t="s">
        <v>2803</v>
      </c>
      <c r="F1664" s="65" t="s">
        <v>2804</v>
      </c>
      <c r="G1664" s="65" t="s">
        <v>200</v>
      </c>
      <c r="H1664" s="65" t="s">
        <v>200</v>
      </c>
      <c r="I1664" s="65"/>
      <c r="J1664" s="65" t="s">
        <v>9</v>
      </c>
      <c r="K1664" s="65" t="s">
        <v>9</v>
      </c>
      <c r="L1664" s="234">
        <v>0.0</v>
      </c>
      <c r="M1664" s="180">
        <f t="shared" si="1047"/>
        <v>0</v>
      </c>
      <c r="N1664" s="234">
        <v>0.0</v>
      </c>
      <c r="O1664" s="129">
        <f t="shared" ref="O1664:O1666" si="1052">IF(COUNT(L1664:N1664)=0,"",(L1664+4*M1664+N1664)/6)</f>
        <v>0</v>
      </c>
      <c r="P1664" s="159"/>
      <c r="Q1664" s="208">
        <f t="shared" ref="Q1664:Q1666" si="1053">IF(O1664="","",IF(P1664="",O1664,O1664*(1+P1664)))</f>
        <v>0</v>
      </c>
      <c r="R1664" s="132"/>
      <c r="S1664" s="132"/>
      <c r="T1664" s="65" t="s">
        <v>31</v>
      </c>
      <c r="U1664" s="26"/>
      <c r="V1664" s="26"/>
      <c r="W1664" s="26"/>
      <c r="X1664" s="26"/>
      <c r="Y1664" s="26"/>
      <c r="Z1664" s="26"/>
      <c r="AA1664" s="26"/>
      <c r="AB1664" s="26"/>
      <c r="AC1664" s="26"/>
    </row>
    <row r="1665" ht="33.75" customHeight="1">
      <c r="A1665" s="65" t="s">
        <v>2806</v>
      </c>
      <c r="B1665" s="215" t="s">
        <v>2678</v>
      </c>
      <c r="C1665" s="215" t="s">
        <v>2799</v>
      </c>
      <c r="D1665" s="215" t="s">
        <v>2802</v>
      </c>
      <c r="E1665" s="215" t="s">
        <v>2803</v>
      </c>
      <c r="F1665" s="65" t="s">
        <v>2804</v>
      </c>
      <c r="G1665" s="65" t="s">
        <v>200</v>
      </c>
      <c r="H1665" s="65" t="s">
        <v>200</v>
      </c>
      <c r="I1665" s="65"/>
      <c r="J1665" s="65" t="s">
        <v>9</v>
      </c>
      <c r="K1665" s="65" t="s">
        <v>9</v>
      </c>
      <c r="L1665" s="234">
        <v>0.25</v>
      </c>
      <c r="M1665" s="180">
        <f t="shared" si="1047"/>
        <v>0.375</v>
      </c>
      <c r="N1665" s="234">
        <v>0.5</v>
      </c>
      <c r="O1665" s="129">
        <f t="shared" si="1052"/>
        <v>0.375</v>
      </c>
      <c r="P1665" s="159"/>
      <c r="Q1665" s="208">
        <f t="shared" si="1053"/>
        <v>0.375</v>
      </c>
      <c r="R1665" s="132"/>
      <c r="S1665" s="132"/>
      <c r="T1665" s="65" t="s">
        <v>32</v>
      </c>
      <c r="U1665" s="26"/>
      <c r="V1665" s="26"/>
      <c r="W1665" s="26"/>
      <c r="X1665" s="26"/>
      <c r="Y1665" s="26"/>
      <c r="Z1665" s="26"/>
      <c r="AA1665" s="26"/>
      <c r="AB1665" s="26"/>
      <c r="AC1665" s="26"/>
    </row>
    <row r="1666" ht="33.75" customHeight="1">
      <c r="A1666" s="65" t="s">
        <v>2807</v>
      </c>
      <c r="B1666" s="215" t="s">
        <v>2678</v>
      </c>
      <c r="C1666" s="215" t="s">
        <v>2799</v>
      </c>
      <c r="D1666" s="215" t="s">
        <v>2802</v>
      </c>
      <c r="E1666" s="215" t="s">
        <v>2803</v>
      </c>
      <c r="F1666" s="65" t="s">
        <v>2804</v>
      </c>
      <c r="G1666" s="65" t="s">
        <v>200</v>
      </c>
      <c r="H1666" s="65" t="s">
        <v>200</v>
      </c>
      <c r="I1666" s="65"/>
      <c r="J1666" s="65" t="s">
        <v>9</v>
      </c>
      <c r="K1666" s="65" t="s">
        <v>9</v>
      </c>
      <c r="L1666" s="234">
        <v>0.25</v>
      </c>
      <c r="M1666" s="180">
        <f t="shared" si="1047"/>
        <v>0.625</v>
      </c>
      <c r="N1666" s="234">
        <v>1.0</v>
      </c>
      <c r="O1666" s="129">
        <f t="shared" si="1052"/>
        <v>0.625</v>
      </c>
      <c r="P1666" s="159"/>
      <c r="Q1666" s="208">
        <f t="shared" si="1053"/>
        <v>0.625</v>
      </c>
      <c r="R1666" s="132"/>
      <c r="S1666" s="132"/>
      <c r="T1666" s="65" t="s">
        <v>70</v>
      </c>
      <c r="U1666" s="26"/>
      <c r="V1666" s="26"/>
      <c r="W1666" s="26"/>
      <c r="X1666" s="26"/>
      <c r="Y1666" s="26"/>
      <c r="Z1666" s="26"/>
      <c r="AA1666" s="26"/>
      <c r="AB1666" s="26"/>
      <c r="AC1666" s="26"/>
    </row>
    <row r="1667" ht="33.75" customHeight="1">
      <c r="A1667" s="54" t="s">
        <v>2808</v>
      </c>
      <c r="B1667" s="209" t="s">
        <v>2678</v>
      </c>
      <c r="C1667" s="209" t="s">
        <v>2799</v>
      </c>
      <c r="D1667" s="209" t="s">
        <v>2809</v>
      </c>
      <c r="E1667" s="209" t="s">
        <v>2810</v>
      </c>
      <c r="F1667" s="54" t="s">
        <v>2811</v>
      </c>
      <c r="G1667" s="54" t="s">
        <v>168</v>
      </c>
      <c r="H1667" s="54" t="s">
        <v>168</v>
      </c>
      <c r="I1667" s="54"/>
      <c r="J1667" s="54" t="s">
        <v>9</v>
      </c>
      <c r="K1667" s="54" t="s">
        <v>9</v>
      </c>
      <c r="L1667" s="202">
        <f>IF(COUNT(L1668:N1670)=0,"",SUM(L1668:L1670))</f>
        <v>0.75</v>
      </c>
      <c r="M1667" s="174">
        <f t="shared" si="1047"/>
        <v>1.125</v>
      </c>
      <c r="N1667" s="202">
        <f>IF(COUNT(L1668:N1670)=0,"",SUM(N1668:N1670))</f>
        <v>1.5</v>
      </c>
      <c r="O1667" s="202">
        <f>IF(COUNT(O1668:O1670)=0,"",SUM(O1668:O1670))</f>
        <v>1.125</v>
      </c>
      <c r="P1667" s="210"/>
      <c r="Q1667" s="202">
        <f>IF(COUNT(Q1668:Q1670)=0,"",SUM(Q1668:Q1670))</f>
        <v>1.125</v>
      </c>
      <c r="R1667" s="163"/>
      <c r="S1667" s="163"/>
      <c r="T1667" s="54" t="s">
        <v>65</v>
      </c>
      <c r="U1667" s="26"/>
      <c r="V1667" s="26"/>
      <c r="W1667" s="26"/>
      <c r="X1667" s="105"/>
      <c r="Y1667" s="105"/>
      <c r="Z1667" s="105"/>
      <c r="AA1667" s="105"/>
      <c r="AB1667" s="105"/>
      <c r="AC1667" s="105"/>
    </row>
    <row r="1668" ht="33.75" customHeight="1">
      <c r="A1668" s="65" t="s">
        <v>2812</v>
      </c>
      <c r="B1668" s="215" t="s">
        <v>2678</v>
      </c>
      <c r="C1668" s="215" t="s">
        <v>2799</v>
      </c>
      <c r="D1668" s="215" t="s">
        <v>2809</v>
      </c>
      <c r="E1668" s="215" t="s">
        <v>2810</v>
      </c>
      <c r="F1668" s="65" t="s">
        <v>2811</v>
      </c>
      <c r="G1668" s="65" t="s">
        <v>168</v>
      </c>
      <c r="H1668" s="65" t="s">
        <v>168</v>
      </c>
      <c r="I1668" s="65"/>
      <c r="J1668" s="65" t="s">
        <v>9</v>
      </c>
      <c r="K1668" s="65" t="s">
        <v>9</v>
      </c>
      <c r="L1668" s="180">
        <v>0.25</v>
      </c>
      <c r="M1668" s="180">
        <f t="shared" ref="M1668:M1670" si="1054">(N1668+L1668)/2</f>
        <v>0.375</v>
      </c>
      <c r="N1668" s="180">
        <v>0.5</v>
      </c>
      <c r="O1668" s="129">
        <f t="shared" ref="O1668:O1670" si="1055">IF(COUNT(L1668:N1668)=0,"",(L1668+4*M1668+N1668)/6)</f>
        <v>0.375</v>
      </c>
      <c r="P1668" s="159"/>
      <c r="Q1668" s="208">
        <f t="shared" ref="Q1668:Q1670" si="1056">IF(O1668="","",IF(P1668="",O1668,O1668*(1+P1668)))</f>
        <v>0.375</v>
      </c>
      <c r="R1668" s="132"/>
      <c r="S1668" s="132"/>
      <c r="T1668" s="65" t="s">
        <v>31</v>
      </c>
      <c r="U1668" s="26"/>
      <c r="V1668" s="26"/>
      <c r="W1668" s="26"/>
      <c r="X1668" s="26"/>
      <c r="Y1668" s="26"/>
      <c r="Z1668" s="26"/>
      <c r="AA1668" s="26"/>
      <c r="AB1668" s="26"/>
      <c r="AC1668" s="26"/>
    </row>
    <row r="1669" ht="33.75" customHeight="1">
      <c r="A1669" s="65" t="s">
        <v>2813</v>
      </c>
      <c r="B1669" s="215" t="s">
        <v>2678</v>
      </c>
      <c r="C1669" s="215" t="s">
        <v>2799</v>
      </c>
      <c r="D1669" s="215" t="s">
        <v>2809</v>
      </c>
      <c r="E1669" s="215" t="s">
        <v>2810</v>
      </c>
      <c r="F1669" s="65" t="s">
        <v>2811</v>
      </c>
      <c r="G1669" s="65" t="s">
        <v>168</v>
      </c>
      <c r="H1669" s="65" t="s">
        <v>168</v>
      </c>
      <c r="I1669" s="65"/>
      <c r="J1669" s="65" t="s">
        <v>9</v>
      </c>
      <c r="K1669" s="65" t="s">
        <v>9</v>
      </c>
      <c r="L1669" s="180">
        <v>0.25</v>
      </c>
      <c r="M1669" s="180">
        <f t="shared" si="1054"/>
        <v>0.375</v>
      </c>
      <c r="N1669" s="180">
        <v>0.5</v>
      </c>
      <c r="O1669" s="129">
        <f t="shared" si="1055"/>
        <v>0.375</v>
      </c>
      <c r="P1669" s="159"/>
      <c r="Q1669" s="208">
        <f t="shared" si="1056"/>
        <v>0.375</v>
      </c>
      <c r="R1669" s="132"/>
      <c r="S1669" s="132"/>
      <c r="T1669" s="65" t="s">
        <v>32</v>
      </c>
      <c r="U1669" s="26"/>
      <c r="V1669" s="26"/>
      <c r="W1669" s="26"/>
      <c r="X1669" s="26"/>
      <c r="Y1669" s="26"/>
      <c r="Z1669" s="26"/>
      <c r="AA1669" s="26"/>
      <c r="AB1669" s="26"/>
      <c r="AC1669" s="26"/>
    </row>
    <row r="1670" ht="33.75" customHeight="1">
      <c r="A1670" s="65" t="s">
        <v>2814</v>
      </c>
      <c r="B1670" s="215" t="s">
        <v>2678</v>
      </c>
      <c r="C1670" s="215" t="s">
        <v>2799</v>
      </c>
      <c r="D1670" s="215" t="s">
        <v>2809</v>
      </c>
      <c r="E1670" s="215" t="s">
        <v>2810</v>
      </c>
      <c r="F1670" s="65" t="s">
        <v>2811</v>
      </c>
      <c r="G1670" s="65" t="s">
        <v>168</v>
      </c>
      <c r="H1670" s="65" t="s">
        <v>168</v>
      </c>
      <c r="I1670" s="65"/>
      <c r="J1670" s="65" t="s">
        <v>9</v>
      </c>
      <c r="K1670" s="65" t="s">
        <v>9</v>
      </c>
      <c r="L1670" s="180">
        <v>0.25</v>
      </c>
      <c r="M1670" s="180">
        <f t="shared" si="1054"/>
        <v>0.375</v>
      </c>
      <c r="N1670" s="180">
        <v>0.5</v>
      </c>
      <c r="O1670" s="129">
        <f t="shared" si="1055"/>
        <v>0.375</v>
      </c>
      <c r="P1670" s="159"/>
      <c r="Q1670" s="208">
        <f t="shared" si="1056"/>
        <v>0.375</v>
      </c>
      <c r="R1670" s="132"/>
      <c r="S1670" s="132"/>
      <c r="T1670" s="65" t="s">
        <v>70</v>
      </c>
      <c r="U1670" s="26"/>
      <c r="V1670" s="26"/>
      <c r="W1670" s="26"/>
      <c r="X1670" s="26"/>
      <c r="Y1670" s="26"/>
      <c r="Z1670" s="26"/>
      <c r="AA1670" s="26"/>
      <c r="AB1670" s="26"/>
      <c r="AC1670" s="26"/>
    </row>
    <row r="1671" ht="33.75" customHeight="1">
      <c r="A1671" s="54" t="s">
        <v>2815</v>
      </c>
      <c r="B1671" s="209" t="s">
        <v>2678</v>
      </c>
      <c r="C1671" s="209" t="s">
        <v>2799</v>
      </c>
      <c r="D1671" s="209" t="s">
        <v>2816</v>
      </c>
      <c r="E1671" s="209" t="s">
        <v>2817</v>
      </c>
      <c r="F1671" s="54" t="s">
        <v>192</v>
      </c>
      <c r="G1671" s="54" t="s">
        <v>200</v>
      </c>
      <c r="H1671" s="54" t="s">
        <v>200</v>
      </c>
      <c r="I1671" s="54"/>
      <c r="J1671" s="54" t="s">
        <v>9</v>
      </c>
      <c r="K1671" s="54" t="s">
        <v>9</v>
      </c>
      <c r="L1671" s="202">
        <f>IF(COUNT(L1672:N1674)=0,"",SUM(L1672:L1674))</f>
        <v>2</v>
      </c>
      <c r="M1671" s="174">
        <f t="shared" ref="M1671:M1677" si="1057">(N1671+L1671)/2</f>
        <v>3</v>
      </c>
      <c r="N1671" s="202">
        <f>IF(COUNT(L1672:N1674)=0,"",SUM(N1672:N1674))</f>
        <v>4</v>
      </c>
      <c r="O1671" s="202">
        <f>IF(COUNT(O1672:O1674)=0,"",SUM(O1672:O1674))</f>
        <v>3</v>
      </c>
      <c r="P1671" s="210"/>
      <c r="Q1671" s="202">
        <f>IF(COUNT(Q1672:Q1674)=0,"",SUM(Q1672:Q1674))</f>
        <v>3</v>
      </c>
      <c r="R1671" s="163"/>
      <c r="S1671" s="163"/>
      <c r="T1671" s="54" t="s">
        <v>65</v>
      </c>
      <c r="U1671" s="26"/>
      <c r="V1671" s="26"/>
      <c r="W1671" s="26"/>
      <c r="X1671" s="105"/>
      <c r="Y1671" s="105"/>
      <c r="Z1671" s="105"/>
      <c r="AA1671" s="105"/>
      <c r="AB1671" s="105"/>
      <c r="AC1671" s="105"/>
    </row>
    <row r="1672" ht="33.75" customHeight="1">
      <c r="A1672" s="65" t="s">
        <v>2818</v>
      </c>
      <c r="B1672" s="215" t="s">
        <v>2678</v>
      </c>
      <c r="C1672" s="215" t="s">
        <v>2799</v>
      </c>
      <c r="D1672" s="215" t="s">
        <v>2816</v>
      </c>
      <c r="E1672" s="215" t="s">
        <v>2817</v>
      </c>
      <c r="F1672" s="65" t="s">
        <v>192</v>
      </c>
      <c r="G1672" s="65" t="s">
        <v>200</v>
      </c>
      <c r="H1672" s="65" t="s">
        <v>200</v>
      </c>
      <c r="I1672" s="65"/>
      <c r="J1672" s="65" t="s">
        <v>9</v>
      </c>
      <c r="K1672" s="65" t="s">
        <v>9</v>
      </c>
      <c r="L1672" s="234">
        <v>0.5</v>
      </c>
      <c r="M1672" s="180">
        <f t="shared" si="1057"/>
        <v>0.75</v>
      </c>
      <c r="N1672" s="234">
        <v>1.0</v>
      </c>
      <c r="O1672" s="129">
        <f t="shared" ref="O1672:O1674" si="1058">IF(COUNT(L1672:N1672)=0,"",(L1672+4*M1672+N1672)/6)</f>
        <v>0.75</v>
      </c>
      <c r="P1672" s="159"/>
      <c r="Q1672" s="208">
        <f t="shared" ref="Q1672:Q1674" si="1059">IF(O1672="","",IF(P1672="",O1672,O1672*(1+P1672)))</f>
        <v>0.75</v>
      </c>
      <c r="R1672" s="132"/>
      <c r="S1672" s="132"/>
      <c r="T1672" s="65" t="s">
        <v>31</v>
      </c>
      <c r="U1672" s="26"/>
      <c r="V1672" s="26"/>
      <c r="W1672" s="26"/>
      <c r="X1672" s="26"/>
      <c r="Y1672" s="26"/>
      <c r="Z1672" s="26"/>
      <c r="AA1672" s="26"/>
      <c r="AB1672" s="26"/>
      <c r="AC1672" s="26"/>
    </row>
    <row r="1673" ht="33.75" customHeight="1">
      <c r="A1673" s="65" t="s">
        <v>2819</v>
      </c>
      <c r="B1673" s="215" t="s">
        <v>2678</v>
      </c>
      <c r="C1673" s="215" t="s">
        <v>2799</v>
      </c>
      <c r="D1673" s="215" t="s">
        <v>2816</v>
      </c>
      <c r="E1673" s="215" t="s">
        <v>2817</v>
      </c>
      <c r="F1673" s="65" t="s">
        <v>192</v>
      </c>
      <c r="G1673" s="65" t="s">
        <v>200</v>
      </c>
      <c r="H1673" s="65" t="s">
        <v>200</v>
      </c>
      <c r="I1673" s="65"/>
      <c r="J1673" s="65" t="s">
        <v>9</v>
      </c>
      <c r="K1673" s="65" t="s">
        <v>9</v>
      </c>
      <c r="L1673" s="234">
        <v>1.0</v>
      </c>
      <c r="M1673" s="180">
        <f t="shared" si="1057"/>
        <v>1.5</v>
      </c>
      <c r="N1673" s="234">
        <v>2.0</v>
      </c>
      <c r="O1673" s="129">
        <f t="shared" si="1058"/>
        <v>1.5</v>
      </c>
      <c r="P1673" s="159"/>
      <c r="Q1673" s="208">
        <f t="shared" si="1059"/>
        <v>1.5</v>
      </c>
      <c r="R1673" s="132"/>
      <c r="S1673" s="132"/>
      <c r="T1673" s="65" t="s">
        <v>32</v>
      </c>
      <c r="U1673" s="26"/>
      <c r="V1673" s="26"/>
      <c r="W1673" s="26"/>
      <c r="X1673" s="26"/>
      <c r="Y1673" s="26"/>
      <c r="Z1673" s="26"/>
      <c r="AA1673" s="26"/>
      <c r="AB1673" s="26"/>
      <c r="AC1673" s="26"/>
    </row>
    <row r="1674" ht="33.75" customHeight="1">
      <c r="A1674" s="65" t="s">
        <v>2820</v>
      </c>
      <c r="B1674" s="215" t="s">
        <v>2678</v>
      </c>
      <c r="C1674" s="215" t="s">
        <v>2799</v>
      </c>
      <c r="D1674" s="215" t="s">
        <v>2816</v>
      </c>
      <c r="E1674" s="215" t="s">
        <v>2817</v>
      </c>
      <c r="F1674" s="65" t="s">
        <v>192</v>
      </c>
      <c r="G1674" s="65" t="s">
        <v>200</v>
      </c>
      <c r="H1674" s="65" t="s">
        <v>200</v>
      </c>
      <c r="I1674" s="65"/>
      <c r="J1674" s="65" t="s">
        <v>9</v>
      </c>
      <c r="K1674" s="65" t="s">
        <v>9</v>
      </c>
      <c r="L1674" s="234">
        <v>0.5</v>
      </c>
      <c r="M1674" s="180">
        <f t="shared" si="1057"/>
        <v>0.75</v>
      </c>
      <c r="N1674" s="234">
        <v>1.0</v>
      </c>
      <c r="O1674" s="129">
        <f t="shared" si="1058"/>
        <v>0.75</v>
      </c>
      <c r="P1674" s="159"/>
      <c r="Q1674" s="208">
        <f t="shared" si="1059"/>
        <v>0.75</v>
      </c>
      <c r="R1674" s="132"/>
      <c r="S1674" s="132"/>
      <c r="T1674" s="65" t="s">
        <v>70</v>
      </c>
      <c r="U1674" s="26"/>
      <c r="V1674" s="26"/>
      <c r="W1674" s="26"/>
      <c r="X1674" s="26"/>
      <c r="Y1674" s="26"/>
      <c r="Z1674" s="26"/>
      <c r="AA1674" s="26"/>
      <c r="AB1674" s="26"/>
      <c r="AC1674" s="26"/>
    </row>
    <row r="1675" ht="33.75" customHeight="1">
      <c r="A1675" s="54" t="s">
        <v>2821</v>
      </c>
      <c r="B1675" s="209" t="s">
        <v>2678</v>
      </c>
      <c r="C1675" s="209" t="s">
        <v>2799</v>
      </c>
      <c r="D1675" s="209" t="s">
        <v>2822</v>
      </c>
      <c r="E1675" s="209" t="s">
        <v>2823</v>
      </c>
      <c r="F1675" s="54" t="s">
        <v>2738</v>
      </c>
      <c r="G1675" s="54" t="s">
        <v>168</v>
      </c>
      <c r="H1675" s="54" t="s">
        <v>168</v>
      </c>
      <c r="I1675" s="54"/>
      <c r="J1675" s="54" t="s">
        <v>9</v>
      </c>
      <c r="K1675" s="54" t="s">
        <v>9</v>
      </c>
      <c r="L1675" s="202">
        <f>IF(COUNT(L1676:N1678)=0,"",SUM(L1676:L1678))</f>
        <v>0.75</v>
      </c>
      <c r="M1675" s="174">
        <f t="shared" si="1057"/>
        <v>1.125</v>
      </c>
      <c r="N1675" s="202">
        <f>IF(COUNT(L1676:N1678)=0,"",SUM(N1676:N1678))</f>
        <v>1.5</v>
      </c>
      <c r="O1675" s="202">
        <f>IF(COUNT(O1676:O1678)=0,"",SUM(O1676:O1678))</f>
        <v>1.125</v>
      </c>
      <c r="P1675" s="210"/>
      <c r="Q1675" s="202">
        <f>IF(COUNT(Q1676:Q1678)=0,"",SUM(Q1676:Q1678))</f>
        <v>1.125</v>
      </c>
      <c r="R1675" s="163"/>
      <c r="S1675" s="163"/>
      <c r="T1675" s="54" t="s">
        <v>65</v>
      </c>
      <c r="U1675" s="26"/>
      <c r="V1675" s="26"/>
      <c r="W1675" s="26"/>
      <c r="X1675" s="105"/>
      <c r="Y1675" s="105"/>
      <c r="Z1675" s="105"/>
      <c r="AA1675" s="105"/>
      <c r="AB1675" s="105"/>
      <c r="AC1675" s="105"/>
    </row>
    <row r="1676" ht="33.75" customHeight="1">
      <c r="A1676" s="65" t="s">
        <v>2824</v>
      </c>
      <c r="B1676" s="215" t="s">
        <v>2678</v>
      </c>
      <c r="C1676" s="215" t="s">
        <v>2799</v>
      </c>
      <c r="D1676" s="215" t="s">
        <v>2822</v>
      </c>
      <c r="E1676" s="215" t="s">
        <v>2823</v>
      </c>
      <c r="F1676" s="65" t="s">
        <v>2738</v>
      </c>
      <c r="G1676" s="65" t="s">
        <v>168</v>
      </c>
      <c r="H1676" s="65" t="s">
        <v>168</v>
      </c>
      <c r="I1676" s="65"/>
      <c r="J1676" s="65" t="s">
        <v>9</v>
      </c>
      <c r="K1676" s="65" t="s">
        <v>9</v>
      </c>
      <c r="L1676" s="234">
        <v>0.25</v>
      </c>
      <c r="M1676" s="180">
        <f t="shared" si="1057"/>
        <v>0.375</v>
      </c>
      <c r="N1676" s="234">
        <v>0.5</v>
      </c>
      <c r="O1676" s="129">
        <f t="shared" ref="O1676:O1678" si="1060">IF(COUNT(L1676:N1676)=0,"",(L1676+4*M1676+N1676)/6)</f>
        <v>0.375</v>
      </c>
      <c r="P1676" s="159"/>
      <c r="Q1676" s="208">
        <f t="shared" ref="Q1676:Q1678" si="1061">IF(O1676="","",IF(P1676="",O1676,O1676*(1+P1676)))</f>
        <v>0.375</v>
      </c>
      <c r="R1676" s="132"/>
      <c r="S1676" s="132"/>
      <c r="T1676" s="65" t="s">
        <v>31</v>
      </c>
      <c r="U1676" s="26"/>
      <c r="V1676" s="26"/>
      <c r="W1676" s="26"/>
      <c r="X1676" s="26"/>
      <c r="Y1676" s="26"/>
      <c r="Z1676" s="26"/>
      <c r="AA1676" s="26"/>
      <c r="AB1676" s="26"/>
      <c r="AC1676" s="26"/>
    </row>
    <row r="1677" ht="33.75" customHeight="1">
      <c r="A1677" s="65" t="s">
        <v>2825</v>
      </c>
      <c r="B1677" s="215" t="s">
        <v>2678</v>
      </c>
      <c r="C1677" s="215" t="s">
        <v>2799</v>
      </c>
      <c r="D1677" s="215" t="s">
        <v>2822</v>
      </c>
      <c r="E1677" s="215" t="s">
        <v>2823</v>
      </c>
      <c r="F1677" s="65" t="s">
        <v>2738</v>
      </c>
      <c r="G1677" s="65" t="s">
        <v>168</v>
      </c>
      <c r="H1677" s="65" t="s">
        <v>168</v>
      </c>
      <c r="I1677" s="65"/>
      <c r="J1677" s="65" t="s">
        <v>9</v>
      </c>
      <c r="K1677" s="65" t="s">
        <v>9</v>
      </c>
      <c r="L1677" s="234">
        <v>0.25</v>
      </c>
      <c r="M1677" s="180">
        <f t="shared" si="1057"/>
        <v>0.375</v>
      </c>
      <c r="N1677" s="234">
        <v>0.5</v>
      </c>
      <c r="O1677" s="129">
        <f t="shared" si="1060"/>
        <v>0.375</v>
      </c>
      <c r="P1677" s="159"/>
      <c r="Q1677" s="208">
        <f t="shared" si="1061"/>
        <v>0.375</v>
      </c>
      <c r="R1677" s="132"/>
      <c r="S1677" s="132"/>
      <c r="T1677" s="65" t="s">
        <v>32</v>
      </c>
      <c r="U1677" s="26"/>
      <c r="V1677" s="26"/>
      <c r="W1677" s="26"/>
      <c r="X1677" s="26"/>
      <c r="Y1677" s="26"/>
      <c r="Z1677" s="26"/>
      <c r="AA1677" s="26"/>
      <c r="AB1677" s="26"/>
      <c r="AC1677" s="26"/>
    </row>
    <row r="1678" ht="33.75" customHeight="1">
      <c r="A1678" s="65" t="s">
        <v>2826</v>
      </c>
      <c r="B1678" s="215" t="s">
        <v>2678</v>
      </c>
      <c r="C1678" s="215" t="s">
        <v>2799</v>
      </c>
      <c r="D1678" s="215" t="s">
        <v>2822</v>
      </c>
      <c r="E1678" s="215" t="s">
        <v>2823</v>
      </c>
      <c r="F1678" s="65" t="s">
        <v>2738</v>
      </c>
      <c r="G1678" s="65" t="s">
        <v>168</v>
      </c>
      <c r="H1678" s="65" t="s">
        <v>168</v>
      </c>
      <c r="I1678" s="65"/>
      <c r="J1678" s="65" t="s">
        <v>9</v>
      </c>
      <c r="K1678" s="65" t="s">
        <v>9</v>
      </c>
      <c r="L1678" s="180">
        <v>0.25</v>
      </c>
      <c r="M1678" s="180">
        <f>(N1678+L1678)/2</f>
        <v>0.375</v>
      </c>
      <c r="N1678" s="180">
        <v>0.5</v>
      </c>
      <c r="O1678" s="129">
        <f t="shared" si="1060"/>
        <v>0.375</v>
      </c>
      <c r="P1678" s="159"/>
      <c r="Q1678" s="208">
        <f t="shared" si="1061"/>
        <v>0.375</v>
      </c>
      <c r="R1678" s="132"/>
      <c r="S1678" s="132"/>
      <c r="T1678" s="65" t="s">
        <v>70</v>
      </c>
      <c r="U1678" s="26"/>
      <c r="V1678" s="26"/>
      <c r="W1678" s="26"/>
      <c r="X1678" s="26"/>
      <c r="Y1678" s="26"/>
      <c r="Z1678" s="26"/>
      <c r="AA1678" s="26"/>
      <c r="AB1678" s="26"/>
      <c r="AC1678" s="26"/>
    </row>
    <row r="1679" ht="33.75" customHeight="1">
      <c r="A1679" s="98" t="s">
        <v>2827</v>
      </c>
      <c r="B1679" s="99" t="s">
        <v>2678</v>
      </c>
      <c r="C1679" s="99" t="s">
        <v>2799</v>
      </c>
      <c r="D1679" s="99" t="s">
        <v>2828</v>
      </c>
      <c r="E1679" s="99" t="s">
        <v>2829</v>
      </c>
      <c r="F1679" s="98" t="s">
        <v>2830</v>
      </c>
      <c r="G1679" s="98" t="s">
        <v>168</v>
      </c>
      <c r="H1679" s="98" t="s">
        <v>168</v>
      </c>
      <c r="I1679" s="98"/>
      <c r="J1679" s="98" t="s">
        <v>12</v>
      </c>
      <c r="K1679" s="100" t="s">
        <v>12</v>
      </c>
      <c r="L1679" s="101">
        <f>IF(COUNT(L1680:N1682)=0,"",SUM(L1680:L1682))</f>
        <v>0</v>
      </c>
      <c r="M1679" s="102">
        <f t="shared" ref="M1679:M1721" si="1062">(N1679+L1679)/2</f>
        <v>0</v>
      </c>
      <c r="N1679" s="101">
        <f>IF(COUNT(L1680:N1682)=0,"",SUM(N1680:N1682))</f>
        <v>0</v>
      </c>
      <c r="O1679" s="101">
        <f>IF(COUNT(O1680:O1682)=0,"",SUM(O1680:O1682))</f>
        <v>0</v>
      </c>
      <c r="P1679" s="103"/>
      <c r="Q1679" s="101">
        <f>IF(COUNT(Q1680:Q1682)=0,"",SUM(Q1680:Q1682))</f>
        <v>0</v>
      </c>
      <c r="R1679" s="104"/>
      <c r="S1679" s="104"/>
      <c r="T1679" s="98" t="s">
        <v>65</v>
      </c>
      <c r="U1679" s="26"/>
      <c r="V1679" s="26"/>
      <c r="W1679" s="26"/>
      <c r="X1679" s="105"/>
      <c r="Y1679" s="105"/>
      <c r="Z1679" s="105"/>
      <c r="AA1679" s="105"/>
      <c r="AB1679" s="105"/>
      <c r="AC1679" s="105"/>
    </row>
    <row r="1680" ht="33.75" customHeight="1">
      <c r="A1680" s="106" t="s">
        <v>2831</v>
      </c>
      <c r="B1680" s="107" t="s">
        <v>2678</v>
      </c>
      <c r="C1680" s="107" t="s">
        <v>2799</v>
      </c>
      <c r="D1680" s="107" t="s">
        <v>2828</v>
      </c>
      <c r="E1680" s="107" t="s">
        <v>2829</v>
      </c>
      <c r="F1680" s="106" t="s">
        <v>2830</v>
      </c>
      <c r="G1680" s="106" t="s">
        <v>168</v>
      </c>
      <c r="H1680" s="106" t="s">
        <v>168</v>
      </c>
      <c r="I1680" s="106"/>
      <c r="J1680" s="106" t="s">
        <v>12</v>
      </c>
      <c r="K1680" s="108" t="s">
        <v>12</v>
      </c>
      <c r="L1680" s="109"/>
      <c r="M1680" s="109">
        <f t="shared" si="1062"/>
        <v>0</v>
      </c>
      <c r="N1680" s="109"/>
      <c r="O1680" s="109">
        <f t="shared" ref="O1680:O1682" si="1063">IF(COUNT(L1680:N1680)=0,"",(L1680+4*M1680+N1680)/6)</f>
        <v>0</v>
      </c>
      <c r="P1680" s="110"/>
      <c r="Q1680" s="109">
        <f t="shared" ref="Q1680:Q1682" si="1064">IF(O1680="","",IF(P1680="",O1680,O1680*(1+P1680)))</f>
        <v>0</v>
      </c>
      <c r="R1680" s="111"/>
      <c r="S1680" s="111"/>
      <c r="T1680" s="106" t="s">
        <v>31</v>
      </c>
      <c r="U1680" s="26"/>
      <c r="V1680" s="26"/>
      <c r="W1680" s="26"/>
      <c r="X1680" s="26"/>
      <c r="Y1680" s="26"/>
      <c r="Z1680" s="26"/>
      <c r="AA1680" s="26"/>
      <c r="AB1680" s="26"/>
      <c r="AC1680" s="26"/>
    </row>
    <row r="1681" ht="33.75" customHeight="1">
      <c r="A1681" s="106" t="s">
        <v>2832</v>
      </c>
      <c r="B1681" s="107" t="s">
        <v>2678</v>
      </c>
      <c r="C1681" s="107" t="s">
        <v>2799</v>
      </c>
      <c r="D1681" s="107" t="s">
        <v>2828</v>
      </c>
      <c r="E1681" s="107" t="s">
        <v>2829</v>
      </c>
      <c r="F1681" s="106" t="s">
        <v>2830</v>
      </c>
      <c r="G1681" s="106" t="s">
        <v>168</v>
      </c>
      <c r="H1681" s="106" t="s">
        <v>168</v>
      </c>
      <c r="I1681" s="106"/>
      <c r="J1681" s="106" t="s">
        <v>12</v>
      </c>
      <c r="K1681" s="108" t="s">
        <v>12</v>
      </c>
      <c r="L1681" s="109"/>
      <c r="M1681" s="109">
        <f t="shared" si="1062"/>
        <v>0</v>
      </c>
      <c r="N1681" s="109"/>
      <c r="O1681" s="109">
        <f t="shared" si="1063"/>
        <v>0</v>
      </c>
      <c r="P1681" s="110"/>
      <c r="Q1681" s="109">
        <f t="shared" si="1064"/>
        <v>0</v>
      </c>
      <c r="R1681" s="111"/>
      <c r="S1681" s="111"/>
      <c r="T1681" s="106" t="s">
        <v>32</v>
      </c>
      <c r="U1681" s="26"/>
      <c r="V1681" s="26"/>
      <c r="W1681" s="26"/>
      <c r="X1681" s="26"/>
      <c r="Y1681" s="26"/>
      <c r="Z1681" s="26"/>
      <c r="AA1681" s="26"/>
      <c r="AB1681" s="26"/>
      <c r="AC1681" s="26"/>
    </row>
    <row r="1682" ht="33.75" customHeight="1">
      <c r="A1682" s="106" t="s">
        <v>2833</v>
      </c>
      <c r="B1682" s="107" t="s">
        <v>2678</v>
      </c>
      <c r="C1682" s="107" t="s">
        <v>2799</v>
      </c>
      <c r="D1682" s="107" t="s">
        <v>2828</v>
      </c>
      <c r="E1682" s="107" t="s">
        <v>2829</v>
      </c>
      <c r="F1682" s="106" t="s">
        <v>2830</v>
      </c>
      <c r="G1682" s="106" t="s">
        <v>168</v>
      </c>
      <c r="H1682" s="106" t="s">
        <v>168</v>
      </c>
      <c r="I1682" s="106"/>
      <c r="J1682" s="106" t="s">
        <v>12</v>
      </c>
      <c r="K1682" s="108" t="s">
        <v>12</v>
      </c>
      <c r="L1682" s="109"/>
      <c r="M1682" s="109">
        <f t="shared" si="1062"/>
        <v>0</v>
      </c>
      <c r="N1682" s="109"/>
      <c r="O1682" s="109">
        <f t="shared" si="1063"/>
        <v>0</v>
      </c>
      <c r="P1682" s="110"/>
      <c r="Q1682" s="109">
        <f t="shared" si="1064"/>
        <v>0</v>
      </c>
      <c r="R1682" s="111"/>
      <c r="S1682" s="111"/>
      <c r="T1682" s="106" t="s">
        <v>70</v>
      </c>
      <c r="U1682" s="26"/>
      <c r="V1682" s="26"/>
      <c r="W1682" s="26"/>
      <c r="X1682" s="26"/>
      <c r="Y1682" s="26"/>
      <c r="Z1682" s="26"/>
      <c r="AA1682" s="26"/>
      <c r="AB1682" s="26"/>
      <c r="AC1682" s="26"/>
    </row>
    <row r="1683" ht="33.75" customHeight="1">
      <c r="A1683" s="112" t="s">
        <v>2834</v>
      </c>
      <c r="B1683" s="38" t="s">
        <v>2678</v>
      </c>
      <c r="C1683" s="38" t="s">
        <v>2835</v>
      </c>
      <c r="D1683" s="38" t="s">
        <v>2835</v>
      </c>
      <c r="E1683" s="113" t="s">
        <v>2836</v>
      </c>
      <c r="F1683" s="114"/>
      <c r="G1683" s="114"/>
      <c r="H1683" s="45"/>
      <c r="I1683" s="45"/>
      <c r="J1683" s="114"/>
      <c r="K1683" s="115"/>
      <c r="L1683" s="42">
        <f>IF(COUNT(L1684,L1688,L1692)=0,"",SUM(L1684,L1688,L1692))</f>
        <v>3.5</v>
      </c>
      <c r="M1683" s="42">
        <f t="shared" si="1062"/>
        <v>5.25</v>
      </c>
      <c r="N1683" s="42">
        <f t="shared" ref="N1683:O1683" si="1065">IF(COUNT(N1684,N1688,N1692)=0,"",SUM(N1684,N1688,N1692))</f>
        <v>7</v>
      </c>
      <c r="O1683" s="42">
        <f t="shared" si="1065"/>
        <v>5.25</v>
      </c>
      <c r="P1683" s="43"/>
      <c r="Q1683" s="42">
        <f>IF(COUNT(Q1684,Q1688,Q1692)=0,"",SUM(Q1684,Q1688,Q1692))</f>
        <v>5.25</v>
      </c>
      <c r="R1683" s="44"/>
      <c r="S1683" s="44"/>
      <c r="T1683" s="45" t="s">
        <v>62</v>
      </c>
      <c r="U1683" s="26"/>
      <c r="V1683" s="26"/>
      <c r="W1683" s="26"/>
      <c r="X1683" s="46">
        <f t="shared" ref="X1683:AA1683" si="1066">L1683</f>
        <v>3.5</v>
      </c>
      <c r="Y1683" s="46">
        <f t="shared" si="1066"/>
        <v>5.25</v>
      </c>
      <c r="Z1683" s="46">
        <f t="shared" si="1066"/>
        <v>7</v>
      </c>
      <c r="AA1683" s="46">
        <f t="shared" si="1066"/>
        <v>5.25</v>
      </c>
      <c r="AB1683" s="26"/>
      <c r="AC1683" s="46">
        <f>Q1683</f>
        <v>5.25</v>
      </c>
    </row>
    <row r="1684" ht="33.75" customHeight="1">
      <c r="A1684" s="54" t="s">
        <v>2837</v>
      </c>
      <c r="B1684" s="209" t="s">
        <v>2678</v>
      </c>
      <c r="C1684" s="209" t="s">
        <v>2835</v>
      </c>
      <c r="D1684" s="209" t="s">
        <v>2838</v>
      </c>
      <c r="E1684" s="209" t="s">
        <v>2839</v>
      </c>
      <c r="F1684" s="54" t="s">
        <v>2840</v>
      </c>
      <c r="G1684" s="54" t="s">
        <v>168</v>
      </c>
      <c r="H1684" s="54" t="s">
        <v>168</v>
      </c>
      <c r="I1684" s="54"/>
      <c r="J1684" s="54" t="s">
        <v>9</v>
      </c>
      <c r="K1684" s="54" t="s">
        <v>9</v>
      </c>
      <c r="L1684" s="202">
        <f>IF(COUNT(L1685:N1687)=0,"",SUM(L1685:L1687))</f>
        <v>2</v>
      </c>
      <c r="M1684" s="174">
        <f t="shared" si="1062"/>
        <v>3</v>
      </c>
      <c r="N1684" s="202">
        <f>IF(COUNT(L1685:N1687)=0,"",SUM(N1685:N1687))</f>
        <v>4</v>
      </c>
      <c r="O1684" s="202">
        <f>IF(COUNT(O1685:O1687)=0,"",SUM(O1685:O1687))</f>
        <v>3</v>
      </c>
      <c r="P1684" s="210"/>
      <c r="Q1684" s="202">
        <f>IF(COUNT(Q1685:Q1687)=0,"",SUM(Q1685:Q1687))</f>
        <v>3</v>
      </c>
      <c r="R1684" s="163"/>
      <c r="S1684" s="163"/>
      <c r="T1684" s="54" t="s">
        <v>65</v>
      </c>
      <c r="U1684" s="26"/>
      <c r="V1684" s="26"/>
      <c r="W1684" s="26"/>
      <c r="X1684" s="105"/>
      <c r="Y1684" s="105"/>
      <c r="Z1684" s="105"/>
      <c r="AA1684" s="105"/>
      <c r="AB1684" s="105"/>
      <c r="AC1684" s="105"/>
    </row>
    <row r="1685" ht="33.75" customHeight="1">
      <c r="A1685" s="65" t="s">
        <v>2841</v>
      </c>
      <c r="B1685" s="215" t="s">
        <v>2678</v>
      </c>
      <c r="C1685" s="215" t="s">
        <v>2835</v>
      </c>
      <c r="D1685" s="215" t="s">
        <v>2838</v>
      </c>
      <c r="E1685" s="215" t="s">
        <v>2839</v>
      </c>
      <c r="F1685" s="65" t="s">
        <v>2840</v>
      </c>
      <c r="G1685" s="65" t="s">
        <v>168</v>
      </c>
      <c r="H1685" s="65" t="s">
        <v>168</v>
      </c>
      <c r="I1685" s="65"/>
      <c r="J1685" s="65" t="s">
        <v>9</v>
      </c>
      <c r="K1685" s="65" t="s">
        <v>9</v>
      </c>
      <c r="L1685" s="234">
        <v>0.5</v>
      </c>
      <c r="M1685" s="180">
        <f t="shared" si="1062"/>
        <v>0.75</v>
      </c>
      <c r="N1685" s="234">
        <v>1.0</v>
      </c>
      <c r="O1685" s="129">
        <f t="shared" ref="O1685:O1687" si="1067">IF(COUNT(L1685:N1685)=0,"",(L1685+4*M1685+N1685)/6)</f>
        <v>0.75</v>
      </c>
      <c r="P1685" s="159"/>
      <c r="Q1685" s="208">
        <f t="shared" ref="Q1685:Q1687" si="1068">IF(O1685="","",IF(P1685="",O1685,O1685*(1+P1685)))</f>
        <v>0.75</v>
      </c>
      <c r="R1685" s="132"/>
      <c r="S1685" s="132"/>
      <c r="T1685" s="65" t="s">
        <v>31</v>
      </c>
      <c r="U1685" s="26"/>
      <c r="V1685" s="26"/>
      <c r="W1685" s="26"/>
      <c r="X1685" s="26"/>
      <c r="Y1685" s="26"/>
      <c r="Z1685" s="26"/>
      <c r="AA1685" s="26"/>
      <c r="AB1685" s="26"/>
      <c r="AC1685" s="26"/>
    </row>
    <row r="1686" ht="33.75" customHeight="1">
      <c r="A1686" s="65" t="s">
        <v>2842</v>
      </c>
      <c r="B1686" s="215" t="s">
        <v>2678</v>
      </c>
      <c r="C1686" s="215" t="s">
        <v>2835</v>
      </c>
      <c r="D1686" s="215" t="s">
        <v>2838</v>
      </c>
      <c r="E1686" s="215" t="s">
        <v>2839</v>
      </c>
      <c r="F1686" s="65" t="s">
        <v>2840</v>
      </c>
      <c r="G1686" s="65" t="s">
        <v>168</v>
      </c>
      <c r="H1686" s="65" t="s">
        <v>168</v>
      </c>
      <c r="I1686" s="65"/>
      <c r="J1686" s="65" t="s">
        <v>9</v>
      </c>
      <c r="K1686" s="65" t="s">
        <v>9</v>
      </c>
      <c r="L1686" s="234">
        <v>1.0</v>
      </c>
      <c r="M1686" s="180">
        <f t="shared" si="1062"/>
        <v>1.5</v>
      </c>
      <c r="N1686" s="234">
        <v>2.0</v>
      </c>
      <c r="O1686" s="129">
        <f t="shared" si="1067"/>
        <v>1.5</v>
      </c>
      <c r="P1686" s="159"/>
      <c r="Q1686" s="208">
        <f t="shared" si="1068"/>
        <v>1.5</v>
      </c>
      <c r="R1686" s="132"/>
      <c r="S1686" s="132"/>
      <c r="T1686" s="65" t="s">
        <v>32</v>
      </c>
      <c r="U1686" s="26"/>
      <c r="V1686" s="26"/>
      <c r="W1686" s="26"/>
      <c r="X1686" s="26"/>
      <c r="Y1686" s="26"/>
      <c r="Z1686" s="26"/>
      <c r="AA1686" s="26"/>
      <c r="AB1686" s="26"/>
      <c r="AC1686" s="26"/>
    </row>
    <row r="1687" ht="33.75" customHeight="1">
      <c r="A1687" s="65" t="s">
        <v>2843</v>
      </c>
      <c r="B1687" s="215" t="s">
        <v>2678</v>
      </c>
      <c r="C1687" s="215" t="s">
        <v>2835</v>
      </c>
      <c r="D1687" s="215" t="s">
        <v>2838</v>
      </c>
      <c r="E1687" s="215" t="s">
        <v>2839</v>
      </c>
      <c r="F1687" s="65" t="s">
        <v>2840</v>
      </c>
      <c r="G1687" s="65" t="s">
        <v>168</v>
      </c>
      <c r="H1687" s="65" t="s">
        <v>168</v>
      </c>
      <c r="I1687" s="65"/>
      <c r="J1687" s="65" t="s">
        <v>9</v>
      </c>
      <c r="K1687" s="65" t="s">
        <v>9</v>
      </c>
      <c r="L1687" s="234">
        <v>0.5</v>
      </c>
      <c r="M1687" s="180">
        <f t="shared" si="1062"/>
        <v>0.75</v>
      </c>
      <c r="N1687" s="234">
        <v>1.0</v>
      </c>
      <c r="O1687" s="129">
        <f t="shared" si="1067"/>
        <v>0.75</v>
      </c>
      <c r="P1687" s="159"/>
      <c r="Q1687" s="208">
        <f t="shared" si="1068"/>
        <v>0.75</v>
      </c>
      <c r="R1687" s="132"/>
      <c r="S1687" s="132"/>
      <c r="T1687" s="65" t="s">
        <v>70</v>
      </c>
      <c r="U1687" s="26"/>
      <c r="V1687" s="26"/>
      <c r="W1687" s="26"/>
      <c r="X1687" s="26"/>
      <c r="Y1687" s="26"/>
      <c r="Z1687" s="26"/>
      <c r="AA1687" s="26"/>
      <c r="AB1687" s="26"/>
      <c r="AC1687" s="26"/>
    </row>
    <row r="1688" ht="33.75" customHeight="1">
      <c r="A1688" s="98" t="s">
        <v>2844</v>
      </c>
      <c r="B1688" s="99" t="s">
        <v>2678</v>
      </c>
      <c r="C1688" s="99" t="s">
        <v>2835</v>
      </c>
      <c r="D1688" s="99" t="s">
        <v>2845</v>
      </c>
      <c r="E1688" s="99" t="s">
        <v>2846</v>
      </c>
      <c r="F1688" s="98" t="s">
        <v>2847</v>
      </c>
      <c r="G1688" s="98" t="s">
        <v>168</v>
      </c>
      <c r="H1688" s="98" t="s">
        <v>168</v>
      </c>
      <c r="I1688" s="98"/>
      <c r="J1688" s="98" t="s">
        <v>12</v>
      </c>
      <c r="K1688" s="100" t="s">
        <v>12</v>
      </c>
      <c r="L1688" s="101">
        <f>IF(COUNT(L1689:N1691)=0,"",SUM(L1689:L1691))</f>
        <v>0</v>
      </c>
      <c r="M1688" s="102">
        <f t="shared" si="1062"/>
        <v>0</v>
      </c>
      <c r="N1688" s="101">
        <f>IF(COUNT(L1689:N1691)=0,"",SUM(N1689:N1691))</f>
        <v>0</v>
      </c>
      <c r="O1688" s="101">
        <f>IF(COUNT(O1689:O1691)=0,"",SUM(O1689:O1691))</f>
        <v>0</v>
      </c>
      <c r="P1688" s="103"/>
      <c r="Q1688" s="101">
        <f>IF(COUNT(Q1689:Q1691)=0,"",SUM(Q1689:Q1691))</f>
        <v>0</v>
      </c>
      <c r="R1688" s="104"/>
      <c r="S1688" s="104"/>
      <c r="T1688" s="98" t="s">
        <v>65</v>
      </c>
      <c r="U1688" s="26"/>
      <c r="V1688" s="26"/>
      <c r="W1688" s="26"/>
      <c r="X1688" s="105"/>
      <c r="Y1688" s="105"/>
      <c r="Z1688" s="105"/>
      <c r="AA1688" s="105"/>
      <c r="AB1688" s="105"/>
      <c r="AC1688" s="105"/>
    </row>
    <row r="1689" ht="33.75" customHeight="1">
      <c r="A1689" s="106" t="s">
        <v>2848</v>
      </c>
      <c r="B1689" s="107" t="s">
        <v>2678</v>
      </c>
      <c r="C1689" s="107" t="s">
        <v>2835</v>
      </c>
      <c r="D1689" s="107" t="s">
        <v>2845</v>
      </c>
      <c r="E1689" s="107" t="s">
        <v>2846</v>
      </c>
      <c r="F1689" s="106" t="s">
        <v>2847</v>
      </c>
      <c r="G1689" s="106" t="s">
        <v>168</v>
      </c>
      <c r="H1689" s="106" t="s">
        <v>168</v>
      </c>
      <c r="I1689" s="106"/>
      <c r="J1689" s="106" t="s">
        <v>12</v>
      </c>
      <c r="K1689" s="108" t="s">
        <v>12</v>
      </c>
      <c r="L1689" s="109"/>
      <c r="M1689" s="109">
        <f t="shared" si="1062"/>
        <v>0</v>
      </c>
      <c r="N1689" s="109"/>
      <c r="O1689" s="109">
        <f t="shared" ref="O1689:O1691" si="1069">IF(COUNT(L1689:N1689)=0,"",(L1689+4*M1689+N1689)/6)</f>
        <v>0</v>
      </c>
      <c r="P1689" s="110"/>
      <c r="Q1689" s="109">
        <f t="shared" ref="Q1689:Q1691" si="1070">IF(O1689="","",IF(P1689="",O1689,O1689*(1+P1689)))</f>
        <v>0</v>
      </c>
      <c r="R1689" s="111"/>
      <c r="S1689" s="111"/>
      <c r="T1689" s="106" t="s">
        <v>31</v>
      </c>
      <c r="U1689" s="26"/>
      <c r="V1689" s="26"/>
      <c r="W1689" s="26"/>
      <c r="X1689" s="26"/>
      <c r="Y1689" s="26"/>
      <c r="Z1689" s="26"/>
      <c r="AA1689" s="26"/>
      <c r="AB1689" s="26"/>
      <c r="AC1689" s="26"/>
    </row>
    <row r="1690" ht="33.75" customHeight="1">
      <c r="A1690" s="106" t="s">
        <v>2849</v>
      </c>
      <c r="B1690" s="107" t="s">
        <v>2678</v>
      </c>
      <c r="C1690" s="107" t="s">
        <v>2835</v>
      </c>
      <c r="D1690" s="107" t="s">
        <v>2845</v>
      </c>
      <c r="E1690" s="107" t="s">
        <v>2846</v>
      </c>
      <c r="F1690" s="106" t="s">
        <v>2847</v>
      </c>
      <c r="G1690" s="106" t="s">
        <v>168</v>
      </c>
      <c r="H1690" s="106" t="s">
        <v>168</v>
      </c>
      <c r="I1690" s="106"/>
      <c r="J1690" s="106" t="s">
        <v>12</v>
      </c>
      <c r="K1690" s="108" t="s">
        <v>12</v>
      </c>
      <c r="L1690" s="109"/>
      <c r="M1690" s="109">
        <f t="shared" si="1062"/>
        <v>0</v>
      </c>
      <c r="N1690" s="109"/>
      <c r="O1690" s="109">
        <f t="shared" si="1069"/>
        <v>0</v>
      </c>
      <c r="P1690" s="110"/>
      <c r="Q1690" s="109">
        <f t="shared" si="1070"/>
        <v>0</v>
      </c>
      <c r="R1690" s="111"/>
      <c r="S1690" s="111"/>
      <c r="T1690" s="106" t="s">
        <v>32</v>
      </c>
      <c r="U1690" s="26"/>
      <c r="V1690" s="26"/>
      <c r="W1690" s="26"/>
      <c r="X1690" s="26"/>
      <c r="Y1690" s="26"/>
      <c r="Z1690" s="26"/>
      <c r="AA1690" s="26"/>
      <c r="AB1690" s="26"/>
      <c r="AC1690" s="26"/>
    </row>
    <row r="1691" ht="33.75" customHeight="1">
      <c r="A1691" s="106" t="s">
        <v>2850</v>
      </c>
      <c r="B1691" s="107" t="s">
        <v>2678</v>
      </c>
      <c r="C1691" s="107" t="s">
        <v>2835</v>
      </c>
      <c r="D1691" s="107" t="s">
        <v>2845</v>
      </c>
      <c r="E1691" s="107" t="s">
        <v>2846</v>
      </c>
      <c r="F1691" s="106" t="s">
        <v>2847</v>
      </c>
      <c r="G1691" s="106" t="s">
        <v>168</v>
      </c>
      <c r="H1691" s="106" t="s">
        <v>168</v>
      </c>
      <c r="I1691" s="106"/>
      <c r="J1691" s="106" t="s">
        <v>12</v>
      </c>
      <c r="K1691" s="108" t="s">
        <v>12</v>
      </c>
      <c r="L1691" s="109"/>
      <c r="M1691" s="109">
        <f t="shared" si="1062"/>
        <v>0</v>
      </c>
      <c r="N1691" s="109"/>
      <c r="O1691" s="109">
        <f t="shared" si="1069"/>
        <v>0</v>
      </c>
      <c r="P1691" s="110"/>
      <c r="Q1691" s="109">
        <f t="shared" si="1070"/>
        <v>0</v>
      </c>
      <c r="R1691" s="111"/>
      <c r="S1691" s="111"/>
      <c r="T1691" s="106" t="s">
        <v>70</v>
      </c>
      <c r="U1691" s="26"/>
      <c r="V1691" s="26"/>
      <c r="W1691" s="26"/>
      <c r="X1691" s="26"/>
      <c r="Y1691" s="26"/>
      <c r="Z1691" s="26"/>
      <c r="AA1691" s="26"/>
      <c r="AB1691" s="26"/>
      <c r="AC1691" s="26"/>
    </row>
    <row r="1692" ht="33.75" customHeight="1">
      <c r="A1692" s="54" t="s">
        <v>2851</v>
      </c>
      <c r="B1692" s="209" t="s">
        <v>2678</v>
      </c>
      <c r="C1692" s="209" t="s">
        <v>2835</v>
      </c>
      <c r="D1692" s="209" t="s">
        <v>2852</v>
      </c>
      <c r="E1692" s="209" t="s">
        <v>2853</v>
      </c>
      <c r="F1692" s="54" t="s">
        <v>2854</v>
      </c>
      <c r="G1692" s="54" t="s">
        <v>168</v>
      </c>
      <c r="H1692" s="54" t="s">
        <v>168</v>
      </c>
      <c r="I1692" s="54"/>
      <c r="J1692" s="54" t="s">
        <v>9</v>
      </c>
      <c r="K1692" s="54" t="s">
        <v>9</v>
      </c>
      <c r="L1692" s="202">
        <f>IF(COUNT(L1693:N1695)=0,"",SUM(L1693:L1695))</f>
        <v>1.5</v>
      </c>
      <c r="M1692" s="174">
        <f t="shared" si="1062"/>
        <v>2.25</v>
      </c>
      <c r="N1692" s="202">
        <f>IF(COUNT(L1693:N1695)=0,"",SUM(N1693:N1695))</f>
        <v>3</v>
      </c>
      <c r="O1692" s="202">
        <f>IF(COUNT(O1693:O1695)=0,"",SUM(O1693:O1695))</f>
        <v>2.25</v>
      </c>
      <c r="P1692" s="210"/>
      <c r="Q1692" s="202">
        <f>IF(COUNT(Q1693:Q1695)=0,"",SUM(Q1693:Q1695))</f>
        <v>2.25</v>
      </c>
      <c r="R1692" s="163"/>
      <c r="S1692" s="163"/>
      <c r="T1692" s="54" t="s">
        <v>65</v>
      </c>
      <c r="U1692" s="26"/>
      <c r="V1692" s="26"/>
      <c r="W1692" s="26"/>
      <c r="X1692" s="105"/>
      <c r="Y1692" s="105"/>
      <c r="Z1692" s="105"/>
      <c r="AA1692" s="105"/>
      <c r="AB1692" s="105"/>
      <c r="AC1692" s="105"/>
    </row>
    <row r="1693" ht="33.75" customHeight="1">
      <c r="A1693" s="65" t="s">
        <v>2855</v>
      </c>
      <c r="B1693" s="215" t="s">
        <v>2678</v>
      </c>
      <c r="C1693" s="215" t="s">
        <v>2835</v>
      </c>
      <c r="D1693" s="215" t="s">
        <v>2852</v>
      </c>
      <c r="E1693" s="215" t="s">
        <v>2853</v>
      </c>
      <c r="F1693" s="65" t="s">
        <v>2854</v>
      </c>
      <c r="G1693" s="65" t="s">
        <v>168</v>
      </c>
      <c r="H1693" s="65" t="s">
        <v>168</v>
      </c>
      <c r="I1693" s="65"/>
      <c r="J1693" s="65" t="s">
        <v>9</v>
      </c>
      <c r="K1693" s="65" t="s">
        <v>9</v>
      </c>
      <c r="L1693" s="234">
        <v>0.25</v>
      </c>
      <c r="M1693" s="180">
        <f t="shared" si="1062"/>
        <v>0.375</v>
      </c>
      <c r="N1693" s="234">
        <v>0.5</v>
      </c>
      <c r="O1693" s="129">
        <f t="shared" ref="O1693:O1695" si="1071">IF(COUNT(L1693:N1693)=0,"",(L1693+4*M1693+N1693)/6)</f>
        <v>0.375</v>
      </c>
      <c r="P1693" s="159"/>
      <c r="Q1693" s="208">
        <f t="shared" ref="Q1693:Q1695" si="1072">IF(O1693="","",IF(P1693="",O1693,O1693*(1+P1693)))</f>
        <v>0.375</v>
      </c>
      <c r="R1693" s="132"/>
      <c r="S1693" s="132"/>
      <c r="T1693" s="65" t="s">
        <v>31</v>
      </c>
      <c r="U1693" s="26"/>
      <c r="V1693" s="26"/>
      <c r="W1693" s="26"/>
      <c r="X1693" s="26"/>
      <c r="Y1693" s="26"/>
      <c r="Z1693" s="26"/>
      <c r="AA1693" s="26"/>
      <c r="AB1693" s="26"/>
      <c r="AC1693" s="26"/>
    </row>
    <row r="1694" ht="33.75" customHeight="1">
      <c r="A1694" s="65" t="s">
        <v>2856</v>
      </c>
      <c r="B1694" s="215" t="s">
        <v>2678</v>
      </c>
      <c r="C1694" s="215" t="s">
        <v>2835</v>
      </c>
      <c r="D1694" s="215" t="s">
        <v>2852</v>
      </c>
      <c r="E1694" s="215" t="s">
        <v>2853</v>
      </c>
      <c r="F1694" s="65" t="s">
        <v>2854</v>
      </c>
      <c r="G1694" s="65" t="s">
        <v>168</v>
      </c>
      <c r="H1694" s="65" t="s">
        <v>168</v>
      </c>
      <c r="I1694" s="65"/>
      <c r="J1694" s="65" t="s">
        <v>9</v>
      </c>
      <c r="K1694" s="65" t="s">
        <v>9</v>
      </c>
      <c r="L1694" s="234">
        <v>1.0</v>
      </c>
      <c r="M1694" s="180">
        <f t="shared" si="1062"/>
        <v>1.5</v>
      </c>
      <c r="N1694" s="234">
        <v>2.0</v>
      </c>
      <c r="O1694" s="129">
        <f t="shared" si="1071"/>
        <v>1.5</v>
      </c>
      <c r="P1694" s="159"/>
      <c r="Q1694" s="208">
        <f t="shared" si="1072"/>
        <v>1.5</v>
      </c>
      <c r="R1694" s="132"/>
      <c r="S1694" s="132"/>
      <c r="T1694" s="65" t="s">
        <v>32</v>
      </c>
      <c r="U1694" s="26"/>
      <c r="V1694" s="26"/>
      <c r="W1694" s="26"/>
      <c r="X1694" s="26"/>
      <c r="Y1694" s="26"/>
      <c r="Z1694" s="26"/>
      <c r="AA1694" s="26"/>
      <c r="AB1694" s="26"/>
      <c r="AC1694" s="26"/>
    </row>
    <row r="1695" ht="33.75" customHeight="1">
      <c r="A1695" s="65" t="s">
        <v>2857</v>
      </c>
      <c r="B1695" s="215" t="s">
        <v>2678</v>
      </c>
      <c r="C1695" s="215" t="s">
        <v>2835</v>
      </c>
      <c r="D1695" s="215" t="s">
        <v>2852</v>
      </c>
      <c r="E1695" s="215" t="s">
        <v>2853</v>
      </c>
      <c r="F1695" s="65" t="s">
        <v>2854</v>
      </c>
      <c r="G1695" s="65" t="s">
        <v>168</v>
      </c>
      <c r="H1695" s="65" t="s">
        <v>168</v>
      </c>
      <c r="I1695" s="65"/>
      <c r="J1695" s="65" t="s">
        <v>9</v>
      </c>
      <c r="K1695" s="65" t="s">
        <v>9</v>
      </c>
      <c r="L1695" s="234">
        <v>0.25</v>
      </c>
      <c r="M1695" s="180">
        <f t="shared" si="1062"/>
        <v>0.375</v>
      </c>
      <c r="N1695" s="234">
        <v>0.5</v>
      </c>
      <c r="O1695" s="129">
        <f t="shared" si="1071"/>
        <v>0.375</v>
      </c>
      <c r="P1695" s="159"/>
      <c r="Q1695" s="208">
        <f t="shared" si="1072"/>
        <v>0.375</v>
      </c>
      <c r="R1695" s="132"/>
      <c r="S1695" s="132"/>
      <c r="T1695" s="65" t="s">
        <v>70</v>
      </c>
      <c r="U1695" s="26"/>
      <c r="V1695" s="26"/>
      <c r="W1695" s="26"/>
      <c r="X1695" s="26"/>
      <c r="Y1695" s="26"/>
      <c r="Z1695" s="26"/>
      <c r="AA1695" s="26"/>
      <c r="AB1695" s="26"/>
      <c r="AC1695" s="26"/>
    </row>
    <row r="1696" ht="33.75" customHeight="1">
      <c r="A1696" s="112" t="s">
        <v>2858</v>
      </c>
      <c r="B1696" s="38" t="s">
        <v>2678</v>
      </c>
      <c r="C1696" s="38" t="s">
        <v>2859</v>
      </c>
      <c r="D1696" s="38" t="s">
        <v>2859</v>
      </c>
      <c r="E1696" s="113" t="s">
        <v>2860</v>
      </c>
      <c r="F1696" s="114"/>
      <c r="G1696" s="114"/>
      <c r="H1696" s="45"/>
      <c r="I1696" s="45"/>
      <c r="J1696" s="114"/>
      <c r="K1696" s="115"/>
      <c r="L1696" s="42">
        <f>IF(COUNT(L1697,L1701,L1705)=0,"",SUM(L1697,L1701,L1705))</f>
        <v>3.5</v>
      </c>
      <c r="M1696" s="42">
        <f t="shared" si="1062"/>
        <v>5.25</v>
      </c>
      <c r="N1696" s="42">
        <f t="shared" ref="N1696:O1696" si="1073">IF(COUNT(N1697,N1701,N1705)=0,"",SUM(N1697,N1701,N1705))</f>
        <v>7</v>
      </c>
      <c r="O1696" s="42">
        <f t="shared" si="1073"/>
        <v>5.25</v>
      </c>
      <c r="P1696" s="43"/>
      <c r="Q1696" s="42">
        <f>IF(COUNT(Q1697,Q1701,Q1705)=0,"",SUM(Q1697,Q1701,Q1705))</f>
        <v>5.25</v>
      </c>
      <c r="R1696" s="44"/>
      <c r="S1696" s="44"/>
      <c r="T1696" s="45" t="s">
        <v>62</v>
      </c>
      <c r="U1696" s="26"/>
      <c r="V1696" s="26"/>
      <c r="W1696" s="26"/>
      <c r="X1696" s="46">
        <f t="shared" ref="X1696:AA1696" si="1074">L1696</f>
        <v>3.5</v>
      </c>
      <c r="Y1696" s="46">
        <f t="shared" si="1074"/>
        <v>5.25</v>
      </c>
      <c r="Z1696" s="46">
        <f t="shared" si="1074"/>
        <v>7</v>
      </c>
      <c r="AA1696" s="46">
        <f t="shared" si="1074"/>
        <v>5.25</v>
      </c>
      <c r="AB1696" s="26"/>
      <c r="AC1696" s="46">
        <f>Q1696</f>
        <v>5.25</v>
      </c>
    </row>
    <row r="1697" ht="33.75" customHeight="1">
      <c r="A1697" s="54" t="s">
        <v>2861</v>
      </c>
      <c r="B1697" s="209" t="s">
        <v>2678</v>
      </c>
      <c r="C1697" s="209" t="s">
        <v>2859</v>
      </c>
      <c r="D1697" s="209" t="s">
        <v>2862</v>
      </c>
      <c r="E1697" s="209" t="s">
        <v>2863</v>
      </c>
      <c r="F1697" s="54" t="s">
        <v>2609</v>
      </c>
      <c r="G1697" s="54" t="s">
        <v>168</v>
      </c>
      <c r="H1697" s="54" t="s">
        <v>168</v>
      </c>
      <c r="I1697" s="54"/>
      <c r="J1697" s="54" t="s">
        <v>9</v>
      </c>
      <c r="K1697" s="54" t="s">
        <v>9</v>
      </c>
      <c r="L1697" s="202">
        <f>IF(COUNT(L1698:N1700)=0,"",SUM(L1698:L1700))</f>
        <v>1.5</v>
      </c>
      <c r="M1697" s="174">
        <f t="shared" si="1062"/>
        <v>2.25</v>
      </c>
      <c r="N1697" s="202">
        <f>IF(COUNT(L1698:N1700)=0,"",SUM(N1698:N1700))</f>
        <v>3</v>
      </c>
      <c r="O1697" s="202">
        <f>IF(COUNT(O1698:O1700)=0,"",SUM(O1698:O1700))</f>
        <v>2.25</v>
      </c>
      <c r="P1697" s="210"/>
      <c r="Q1697" s="202">
        <f>IF(COUNT(Q1698:Q1700)=0,"",SUM(Q1698:Q1700))</f>
        <v>2.25</v>
      </c>
      <c r="R1697" s="163"/>
      <c r="S1697" s="163"/>
      <c r="T1697" s="54" t="s">
        <v>65</v>
      </c>
      <c r="U1697" s="26"/>
      <c r="V1697" s="26"/>
      <c r="W1697" s="26"/>
      <c r="X1697" s="105"/>
      <c r="Y1697" s="105"/>
      <c r="Z1697" s="105"/>
      <c r="AA1697" s="105"/>
      <c r="AB1697" s="105"/>
      <c r="AC1697" s="105"/>
    </row>
    <row r="1698" ht="33.75" customHeight="1">
      <c r="A1698" s="65" t="s">
        <v>2864</v>
      </c>
      <c r="B1698" s="215" t="s">
        <v>2678</v>
      </c>
      <c r="C1698" s="215" t="s">
        <v>2859</v>
      </c>
      <c r="D1698" s="215" t="s">
        <v>2862</v>
      </c>
      <c r="E1698" s="215" t="s">
        <v>2863</v>
      </c>
      <c r="F1698" s="65" t="s">
        <v>2609</v>
      </c>
      <c r="G1698" s="65" t="s">
        <v>168</v>
      </c>
      <c r="H1698" s="65" t="s">
        <v>168</v>
      </c>
      <c r="I1698" s="65"/>
      <c r="J1698" s="65" t="s">
        <v>9</v>
      </c>
      <c r="K1698" s="65" t="s">
        <v>9</v>
      </c>
      <c r="L1698" s="234">
        <v>0.25</v>
      </c>
      <c r="M1698" s="180">
        <f t="shared" si="1062"/>
        <v>0.375</v>
      </c>
      <c r="N1698" s="234">
        <v>0.5</v>
      </c>
      <c r="O1698" s="129">
        <f t="shared" ref="O1698:O1700" si="1075">IF(COUNT(L1698:N1698)=0,"",(L1698+4*M1698+N1698)/6)</f>
        <v>0.375</v>
      </c>
      <c r="P1698" s="159"/>
      <c r="Q1698" s="208">
        <f t="shared" ref="Q1698:Q1700" si="1076">IF(O1698="","",IF(P1698="",O1698,O1698*(1+P1698)))</f>
        <v>0.375</v>
      </c>
      <c r="R1698" s="132"/>
      <c r="S1698" s="132"/>
      <c r="T1698" s="65" t="s">
        <v>31</v>
      </c>
      <c r="U1698" s="26"/>
      <c r="V1698" s="26"/>
      <c r="W1698" s="26"/>
      <c r="X1698" s="26"/>
      <c r="Y1698" s="26"/>
      <c r="Z1698" s="26"/>
      <c r="AA1698" s="26"/>
      <c r="AB1698" s="26"/>
      <c r="AC1698" s="26"/>
    </row>
    <row r="1699" ht="33.75" customHeight="1">
      <c r="A1699" s="65" t="s">
        <v>2865</v>
      </c>
      <c r="B1699" s="215" t="s">
        <v>2678</v>
      </c>
      <c r="C1699" s="215" t="s">
        <v>2859</v>
      </c>
      <c r="D1699" s="215" t="s">
        <v>2862</v>
      </c>
      <c r="E1699" s="215" t="s">
        <v>2863</v>
      </c>
      <c r="F1699" s="65" t="s">
        <v>2609</v>
      </c>
      <c r="G1699" s="65" t="s">
        <v>168</v>
      </c>
      <c r="H1699" s="65" t="s">
        <v>168</v>
      </c>
      <c r="I1699" s="65"/>
      <c r="J1699" s="65" t="s">
        <v>9</v>
      </c>
      <c r="K1699" s="65" t="s">
        <v>9</v>
      </c>
      <c r="L1699" s="234">
        <v>1.0</v>
      </c>
      <c r="M1699" s="180">
        <f t="shared" si="1062"/>
        <v>1.5</v>
      </c>
      <c r="N1699" s="234">
        <v>2.0</v>
      </c>
      <c r="O1699" s="129">
        <f t="shared" si="1075"/>
        <v>1.5</v>
      </c>
      <c r="P1699" s="159"/>
      <c r="Q1699" s="208">
        <f t="shared" si="1076"/>
        <v>1.5</v>
      </c>
      <c r="R1699" s="132"/>
      <c r="S1699" s="132"/>
      <c r="T1699" s="65" t="s">
        <v>32</v>
      </c>
      <c r="U1699" s="26"/>
      <c r="V1699" s="26"/>
      <c r="W1699" s="26"/>
      <c r="X1699" s="26"/>
      <c r="Y1699" s="26"/>
      <c r="Z1699" s="26"/>
      <c r="AA1699" s="26"/>
      <c r="AB1699" s="26"/>
      <c r="AC1699" s="26"/>
    </row>
    <row r="1700" ht="33.75" customHeight="1">
      <c r="A1700" s="65" t="s">
        <v>2866</v>
      </c>
      <c r="B1700" s="215" t="s">
        <v>2678</v>
      </c>
      <c r="C1700" s="215" t="s">
        <v>2859</v>
      </c>
      <c r="D1700" s="215" t="s">
        <v>2862</v>
      </c>
      <c r="E1700" s="215" t="s">
        <v>2863</v>
      </c>
      <c r="F1700" s="65" t="s">
        <v>2609</v>
      </c>
      <c r="G1700" s="65" t="s">
        <v>168</v>
      </c>
      <c r="H1700" s="65" t="s">
        <v>168</v>
      </c>
      <c r="I1700" s="65"/>
      <c r="J1700" s="65" t="s">
        <v>9</v>
      </c>
      <c r="K1700" s="65" t="s">
        <v>9</v>
      </c>
      <c r="L1700" s="234">
        <v>0.25</v>
      </c>
      <c r="M1700" s="180">
        <f t="shared" si="1062"/>
        <v>0.375</v>
      </c>
      <c r="N1700" s="234">
        <v>0.5</v>
      </c>
      <c r="O1700" s="129">
        <f t="shared" si="1075"/>
        <v>0.375</v>
      </c>
      <c r="P1700" s="159"/>
      <c r="Q1700" s="208">
        <f t="shared" si="1076"/>
        <v>0.375</v>
      </c>
      <c r="R1700" s="132"/>
      <c r="S1700" s="132"/>
      <c r="T1700" s="65" t="s">
        <v>70</v>
      </c>
      <c r="U1700" s="26"/>
      <c r="V1700" s="26"/>
      <c r="W1700" s="26"/>
      <c r="X1700" s="26"/>
      <c r="Y1700" s="26"/>
      <c r="Z1700" s="26"/>
      <c r="AA1700" s="26"/>
      <c r="AB1700" s="26"/>
      <c r="AC1700" s="26"/>
    </row>
    <row r="1701" ht="33.75" customHeight="1">
      <c r="A1701" s="54" t="s">
        <v>2867</v>
      </c>
      <c r="B1701" s="209" t="s">
        <v>2678</v>
      </c>
      <c r="C1701" s="209" t="s">
        <v>2859</v>
      </c>
      <c r="D1701" s="209" t="s">
        <v>2868</v>
      </c>
      <c r="E1701" s="209" t="s">
        <v>2869</v>
      </c>
      <c r="F1701" s="54" t="s">
        <v>2870</v>
      </c>
      <c r="G1701" s="54" t="s">
        <v>168</v>
      </c>
      <c r="H1701" s="54" t="s">
        <v>168</v>
      </c>
      <c r="I1701" s="54"/>
      <c r="J1701" s="54" t="s">
        <v>9</v>
      </c>
      <c r="K1701" s="54" t="s">
        <v>9</v>
      </c>
      <c r="L1701" s="202">
        <f>IF(COUNT(L1702:N1704)=0,"",SUM(L1702:L1704))</f>
        <v>2</v>
      </c>
      <c r="M1701" s="174">
        <f t="shared" si="1062"/>
        <v>3</v>
      </c>
      <c r="N1701" s="202">
        <f>IF(COUNT(L1702:N1704)=0,"",SUM(N1702:N1704))</f>
        <v>4</v>
      </c>
      <c r="O1701" s="202">
        <f>IF(COUNT(O1702:O1704)=0,"",SUM(O1702:O1704))</f>
        <v>3</v>
      </c>
      <c r="P1701" s="210"/>
      <c r="Q1701" s="202">
        <f>IF(COUNT(Q1702:Q1704)=0,"",SUM(Q1702:Q1704))</f>
        <v>3</v>
      </c>
      <c r="R1701" s="163"/>
      <c r="S1701" s="163"/>
      <c r="T1701" s="54" t="s">
        <v>65</v>
      </c>
      <c r="U1701" s="26"/>
      <c r="V1701" s="26"/>
      <c r="W1701" s="26"/>
      <c r="X1701" s="105"/>
      <c r="Y1701" s="105"/>
      <c r="Z1701" s="105"/>
      <c r="AA1701" s="105"/>
      <c r="AB1701" s="105"/>
      <c r="AC1701" s="105"/>
    </row>
    <row r="1702" ht="33.75" customHeight="1">
      <c r="A1702" s="65" t="s">
        <v>2871</v>
      </c>
      <c r="B1702" s="215" t="s">
        <v>2678</v>
      </c>
      <c r="C1702" s="215" t="s">
        <v>2859</v>
      </c>
      <c r="D1702" s="215" t="s">
        <v>2868</v>
      </c>
      <c r="E1702" s="215" t="s">
        <v>2869</v>
      </c>
      <c r="F1702" s="65" t="s">
        <v>2870</v>
      </c>
      <c r="G1702" s="65" t="s">
        <v>168</v>
      </c>
      <c r="H1702" s="65" t="s">
        <v>168</v>
      </c>
      <c r="I1702" s="65"/>
      <c r="J1702" s="65" t="s">
        <v>9</v>
      </c>
      <c r="K1702" s="65" t="s">
        <v>9</v>
      </c>
      <c r="L1702" s="234">
        <v>0.5</v>
      </c>
      <c r="M1702" s="180">
        <f t="shared" si="1062"/>
        <v>0.75</v>
      </c>
      <c r="N1702" s="234">
        <v>1.0</v>
      </c>
      <c r="O1702" s="129">
        <f t="shared" ref="O1702:O1704" si="1077">IF(COUNT(L1702:N1702)=0,"",(L1702+4*M1702+N1702)/6)</f>
        <v>0.75</v>
      </c>
      <c r="P1702" s="159"/>
      <c r="Q1702" s="208">
        <f t="shared" ref="Q1702:Q1704" si="1078">IF(O1702="","",IF(P1702="",O1702,O1702*(1+P1702)))</f>
        <v>0.75</v>
      </c>
      <c r="R1702" s="132"/>
      <c r="S1702" s="132"/>
      <c r="T1702" s="65" t="s">
        <v>31</v>
      </c>
      <c r="U1702" s="26"/>
      <c r="V1702" s="26"/>
      <c r="W1702" s="26"/>
      <c r="X1702" s="26"/>
      <c r="Y1702" s="26"/>
      <c r="Z1702" s="26"/>
      <c r="AA1702" s="26"/>
      <c r="AB1702" s="26"/>
      <c r="AC1702" s="26"/>
    </row>
    <row r="1703" ht="33.75" customHeight="1">
      <c r="A1703" s="65" t="s">
        <v>2872</v>
      </c>
      <c r="B1703" s="215" t="s">
        <v>2678</v>
      </c>
      <c r="C1703" s="215" t="s">
        <v>2859</v>
      </c>
      <c r="D1703" s="215" t="s">
        <v>2868</v>
      </c>
      <c r="E1703" s="215" t="s">
        <v>2869</v>
      </c>
      <c r="F1703" s="65" t="s">
        <v>2870</v>
      </c>
      <c r="G1703" s="65" t="s">
        <v>168</v>
      </c>
      <c r="H1703" s="65" t="s">
        <v>168</v>
      </c>
      <c r="I1703" s="65"/>
      <c r="J1703" s="65" t="s">
        <v>9</v>
      </c>
      <c r="K1703" s="65" t="s">
        <v>9</v>
      </c>
      <c r="L1703" s="234">
        <v>1.0</v>
      </c>
      <c r="M1703" s="180">
        <f t="shared" si="1062"/>
        <v>1.5</v>
      </c>
      <c r="N1703" s="234">
        <v>2.0</v>
      </c>
      <c r="O1703" s="129">
        <f t="shared" si="1077"/>
        <v>1.5</v>
      </c>
      <c r="P1703" s="159"/>
      <c r="Q1703" s="208">
        <f t="shared" si="1078"/>
        <v>1.5</v>
      </c>
      <c r="R1703" s="132"/>
      <c r="S1703" s="132"/>
      <c r="T1703" s="65" t="s">
        <v>32</v>
      </c>
      <c r="U1703" s="26"/>
      <c r="V1703" s="26"/>
      <c r="W1703" s="26"/>
      <c r="X1703" s="26"/>
      <c r="Y1703" s="26"/>
      <c r="Z1703" s="26"/>
      <c r="AA1703" s="26"/>
      <c r="AB1703" s="26"/>
      <c r="AC1703" s="26"/>
    </row>
    <row r="1704" ht="33.75" customHeight="1">
      <c r="A1704" s="65" t="s">
        <v>2873</v>
      </c>
      <c r="B1704" s="215" t="s">
        <v>2678</v>
      </c>
      <c r="C1704" s="215" t="s">
        <v>2859</v>
      </c>
      <c r="D1704" s="215" t="s">
        <v>2868</v>
      </c>
      <c r="E1704" s="215" t="s">
        <v>2869</v>
      </c>
      <c r="F1704" s="65" t="s">
        <v>2870</v>
      </c>
      <c r="G1704" s="65" t="s">
        <v>168</v>
      </c>
      <c r="H1704" s="65" t="s">
        <v>168</v>
      </c>
      <c r="I1704" s="65"/>
      <c r="J1704" s="65" t="s">
        <v>9</v>
      </c>
      <c r="K1704" s="65" t="s">
        <v>9</v>
      </c>
      <c r="L1704" s="234">
        <v>0.5</v>
      </c>
      <c r="M1704" s="180">
        <f t="shared" si="1062"/>
        <v>0.75</v>
      </c>
      <c r="N1704" s="234">
        <v>1.0</v>
      </c>
      <c r="O1704" s="129">
        <f t="shared" si="1077"/>
        <v>0.75</v>
      </c>
      <c r="P1704" s="159"/>
      <c r="Q1704" s="208">
        <f t="shared" si="1078"/>
        <v>0.75</v>
      </c>
      <c r="R1704" s="132"/>
      <c r="S1704" s="132"/>
      <c r="T1704" s="65" t="s">
        <v>70</v>
      </c>
      <c r="U1704" s="26"/>
      <c r="V1704" s="26"/>
      <c r="W1704" s="26"/>
      <c r="X1704" s="26"/>
      <c r="Y1704" s="26"/>
      <c r="Z1704" s="26"/>
      <c r="AA1704" s="26"/>
      <c r="AB1704" s="26"/>
      <c r="AC1704" s="26"/>
    </row>
    <row r="1705" ht="33.75" customHeight="1">
      <c r="A1705" s="98" t="s">
        <v>2874</v>
      </c>
      <c r="B1705" s="99" t="s">
        <v>2678</v>
      </c>
      <c r="C1705" s="99" t="s">
        <v>2859</v>
      </c>
      <c r="D1705" s="99" t="s">
        <v>2875</v>
      </c>
      <c r="E1705" s="99" t="s">
        <v>2876</v>
      </c>
      <c r="F1705" s="98" t="s">
        <v>2877</v>
      </c>
      <c r="G1705" s="98" t="s">
        <v>168</v>
      </c>
      <c r="H1705" s="98" t="s">
        <v>168</v>
      </c>
      <c r="I1705" s="98"/>
      <c r="J1705" s="98" t="s">
        <v>14</v>
      </c>
      <c r="K1705" s="100" t="s">
        <v>14</v>
      </c>
      <c r="L1705" s="101">
        <f>IF(COUNT(L1706:N1708)=0,"",SUM(L1706:L1708))</f>
        <v>0</v>
      </c>
      <c r="M1705" s="102">
        <f t="shared" si="1062"/>
        <v>0</v>
      </c>
      <c r="N1705" s="101">
        <f>IF(COUNT(L1706:N1708)=0,"",SUM(N1706:N1708))</f>
        <v>0</v>
      </c>
      <c r="O1705" s="101">
        <f>IF(COUNT(O1706:O1708)=0,"",SUM(O1706:O1708))</f>
        <v>0</v>
      </c>
      <c r="P1705" s="103"/>
      <c r="Q1705" s="101">
        <f>IF(COUNT(Q1706:Q1708)=0,"",SUM(Q1706:Q1708))</f>
        <v>0</v>
      </c>
      <c r="R1705" s="104"/>
      <c r="S1705" s="104"/>
      <c r="T1705" s="98" t="s">
        <v>65</v>
      </c>
      <c r="U1705" s="26"/>
      <c r="V1705" s="26"/>
      <c r="W1705" s="26"/>
      <c r="X1705" s="105"/>
      <c r="Y1705" s="105"/>
      <c r="Z1705" s="105"/>
      <c r="AA1705" s="105"/>
      <c r="AB1705" s="105"/>
      <c r="AC1705" s="105"/>
    </row>
    <row r="1706" ht="33.75" customHeight="1">
      <c r="A1706" s="106" t="s">
        <v>2878</v>
      </c>
      <c r="B1706" s="107" t="s">
        <v>2678</v>
      </c>
      <c r="C1706" s="107" t="s">
        <v>2859</v>
      </c>
      <c r="D1706" s="107" t="s">
        <v>2875</v>
      </c>
      <c r="E1706" s="107" t="s">
        <v>2876</v>
      </c>
      <c r="F1706" s="106" t="s">
        <v>2877</v>
      </c>
      <c r="G1706" s="106" t="s">
        <v>168</v>
      </c>
      <c r="H1706" s="106" t="s">
        <v>168</v>
      </c>
      <c r="I1706" s="106"/>
      <c r="J1706" s="106" t="s">
        <v>14</v>
      </c>
      <c r="K1706" s="108" t="s">
        <v>14</v>
      </c>
      <c r="L1706" s="109"/>
      <c r="M1706" s="109">
        <f t="shared" si="1062"/>
        <v>0</v>
      </c>
      <c r="N1706" s="109"/>
      <c r="O1706" s="109">
        <f t="shared" ref="O1706:O1708" si="1079">IF(COUNT(L1706:N1706)=0,"",(L1706+4*M1706+N1706)/6)</f>
        <v>0</v>
      </c>
      <c r="P1706" s="110"/>
      <c r="Q1706" s="109">
        <f t="shared" ref="Q1706:Q1708" si="1080">IF(O1706="","",IF(P1706="",O1706,O1706*(1+P1706)))</f>
        <v>0</v>
      </c>
      <c r="R1706" s="111"/>
      <c r="S1706" s="111"/>
      <c r="T1706" s="106" t="s">
        <v>31</v>
      </c>
      <c r="U1706" s="26"/>
      <c r="V1706" s="26"/>
      <c r="W1706" s="26"/>
      <c r="X1706" s="26"/>
      <c r="Y1706" s="26"/>
      <c r="Z1706" s="26"/>
      <c r="AA1706" s="26"/>
      <c r="AB1706" s="26"/>
      <c r="AC1706" s="26"/>
    </row>
    <row r="1707" ht="33.75" customHeight="1">
      <c r="A1707" s="106" t="s">
        <v>2879</v>
      </c>
      <c r="B1707" s="107" t="s">
        <v>2678</v>
      </c>
      <c r="C1707" s="107" t="s">
        <v>2859</v>
      </c>
      <c r="D1707" s="107" t="s">
        <v>2875</v>
      </c>
      <c r="E1707" s="107" t="s">
        <v>2876</v>
      </c>
      <c r="F1707" s="106" t="s">
        <v>2877</v>
      </c>
      <c r="G1707" s="106" t="s">
        <v>168</v>
      </c>
      <c r="H1707" s="106" t="s">
        <v>168</v>
      </c>
      <c r="I1707" s="106"/>
      <c r="J1707" s="106" t="s">
        <v>14</v>
      </c>
      <c r="K1707" s="108" t="s">
        <v>14</v>
      </c>
      <c r="L1707" s="109"/>
      <c r="M1707" s="109">
        <f t="shared" si="1062"/>
        <v>0</v>
      </c>
      <c r="N1707" s="109"/>
      <c r="O1707" s="109">
        <f t="shared" si="1079"/>
        <v>0</v>
      </c>
      <c r="P1707" s="110"/>
      <c r="Q1707" s="109">
        <f t="shared" si="1080"/>
        <v>0</v>
      </c>
      <c r="R1707" s="111"/>
      <c r="S1707" s="111"/>
      <c r="T1707" s="106" t="s">
        <v>32</v>
      </c>
      <c r="U1707" s="26"/>
      <c r="V1707" s="26"/>
      <c r="W1707" s="26"/>
      <c r="X1707" s="26"/>
      <c r="Y1707" s="26"/>
      <c r="Z1707" s="26"/>
      <c r="AA1707" s="26"/>
      <c r="AB1707" s="26"/>
      <c r="AC1707" s="26"/>
    </row>
    <row r="1708" ht="33.75" customHeight="1">
      <c r="A1708" s="106" t="s">
        <v>2880</v>
      </c>
      <c r="B1708" s="107" t="s">
        <v>2678</v>
      </c>
      <c r="C1708" s="107" t="s">
        <v>2859</v>
      </c>
      <c r="D1708" s="107" t="s">
        <v>2875</v>
      </c>
      <c r="E1708" s="107" t="s">
        <v>2876</v>
      </c>
      <c r="F1708" s="106" t="s">
        <v>2877</v>
      </c>
      <c r="G1708" s="106" t="s">
        <v>168</v>
      </c>
      <c r="H1708" s="106" t="s">
        <v>168</v>
      </c>
      <c r="I1708" s="106"/>
      <c r="J1708" s="106" t="s">
        <v>14</v>
      </c>
      <c r="K1708" s="108" t="s">
        <v>14</v>
      </c>
      <c r="L1708" s="109"/>
      <c r="M1708" s="109">
        <f t="shared" si="1062"/>
        <v>0</v>
      </c>
      <c r="N1708" s="109"/>
      <c r="O1708" s="109">
        <f t="shared" si="1079"/>
        <v>0</v>
      </c>
      <c r="P1708" s="110"/>
      <c r="Q1708" s="109">
        <f t="shared" si="1080"/>
        <v>0</v>
      </c>
      <c r="R1708" s="111"/>
      <c r="S1708" s="111"/>
      <c r="T1708" s="106" t="s">
        <v>70</v>
      </c>
      <c r="U1708" s="26"/>
      <c r="V1708" s="26"/>
      <c r="W1708" s="26"/>
      <c r="X1708" s="26"/>
      <c r="Y1708" s="26"/>
      <c r="Z1708" s="26"/>
      <c r="AA1708" s="26"/>
      <c r="AB1708" s="26"/>
      <c r="AC1708" s="26"/>
    </row>
    <row r="1709" ht="33.75" customHeight="1">
      <c r="A1709" s="112" t="s">
        <v>2881</v>
      </c>
      <c r="B1709" s="38" t="s">
        <v>2678</v>
      </c>
      <c r="C1709" s="38" t="s">
        <v>2882</v>
      </c>
      <c r="D1709" s="38" t="s">
        <v>2882</v>
      </c>
      <c r="E1709" s="113" t="s">
        <v>2883</v>
      </c>
      <c r="F1709" s="114"/>
      <c r="G1709" s="114"/>
      <c r="H1709" s="45"/>
      <c r="I1709" s="45"/>
      <c r="J1709" s="114"/>
      <c r="K1709" s="115"/>
      <c r="L1709" s="42">
        <f>IF(COUNT(L1710,L1714,L1718)=0,"",SUM(L1710,L1714,L1718))</f>
        <v>0.75</v>
      </c>
      <c r="M1709" s="42">
        <f t="shared" si="1062"/>
        <v>1.125</v>
      </c>
      <c r="N1709" s="42">
        <f t="shared" ref="N1709:O1709" si="1081">IF(COUNT(N1710,N1714,N1718)=0,"",SUM(N1710,N1714,N1718))</f>
        <v>1.5</v>
      </c>
      <c r="O1709" s="42">
        <f t="shared" si="1081"/>
        <v>1.125</v>
      </c>
      <c r="P1709" s="43"/>
      <c r="Q1709" s="42">
        <f>IF(COUNT(Q1710,Q1714,Q1718)=0,"",SUM(Q1710,Q1714,Q1718))</f>
        <v>1.125</v>
      </c>
      <c r="R1709" s="44"/>
      <c r="S1709" s="44"/>
      <c r="T1709" s="45" t="s">
        <v>62</v>
      </c>
      <c r="U1709" s="26"/>
      <c r="V1709" s="26"/>
      <c r="W1709" s="26"/>
      <c r="X1709" s="46">
        <f t="shared" ref="X1709:AA1709" si="1082">L1709</f>
        <v>0.75</v>
      </c>
      <c r="Y1709" s="46">
        <f t="shared" si="1082"/>
        <v>1.125</v>
      </c>
      <c r="Z1709" s="46">
        <f t="shared" si="1082"/>
        <v>1.5</v>
      </c>
      <c r="AA1709" s="46">
        <f t="shared" si="1082"/>
        <v>1.125</v>
      </c>
      <c r="AB1709" s="26"/>
      <c r="AC1709" s="46">
        <f>Q1709</f>
        <v>1.125</v>
      </c>
    </row>
    <row r="1710" ht="33.75" customHeight="1">
      <c r="A1710" s="54" t="s">
        <v>2884</v>
      </c>
      <c r="B1710" s="209" t="s">
        <v>2678</v>
      </c>
      <c r="C1710" s="209" t="s">
        <v>2882</v>
      </c>
      <c r="D1710" s="209" t="s">
        <v>2885</v>
      </c>
      <c r="E1710" s="209" t="s">
        <v>2886</v>
      </c>
      <c r="F1710" s="54" t="s">
        <v>2887</v>
      </c>
      <c r="G1710" s="54" t="s">
        <v>168</v>
      </c>
      <c r="H1710" s="54" t="s">
        <v>168</v>
      </c>
      <c r="I1710" s="54"/>
      <c r="J1710" s="54" t="s">
        <v>9</v>
      </c>
      <c r="K1710" s="54" t="s">
        <v>9</v>
      </c>
      <c r="L1710" s="202">
        <f>IF(COUNT(L1711:N1713)=0,"",SUM(L1711:L1713))</f>
        <v>0</v>
      </c>
      <c r="M1710" s="174">
        <f t="shared" si="1062"/>
        <v>0</v>
      </c>
      <c r="N1710" s="202">
        <f>IF(COUNT(L1711:N1713)=0,"",SUM(N1711:N1713))</f>
        <v>0</v>
      </c>
      <c r="O1710" s="202">
        <f>IF(COUNT(O1711:O1713)=0,"",SUM(O1711:O1713))</f>
        <v>0</v>
      </c>
      <c r="P1710" s="210"/>
      <c r="Q1710" s="202">
        <f>IF(COUNT(Q1711:Q1713)=0,"",SUM(Q1711:Q1713))</f>
        <v>0</v>
      </c>
      <c r="R1710" s="163"/>
      <c r="S1710" s="163"/>
      <c r="T1710" s="54" t="s">
        <v>65</v>
      </c>
      <c r="U1710" s="26"/>
      <c r="V1710" s="26"/>
      <c r="W1710" s="26"/>
      <c r="X1710" s="105"/>
      <c r="Y1710" s="105"/>
      <c r="Z1710" s="105"/>
      <c r="AA1710" s="105"/>
      <c r="AB1710" s="105"/>
      <c r="AC1710" s="105"/>
    </row>
    <row r="1711" ht="33.75" customHeight="1">
      <c r="A1711" s="65" t="s">
        <v>2888</v>
      </c>
      <c r="B1711" s="215" t="s">
        <v>2678</v>
      </c>
      <c r="C1711" s="215" t="s">
        <v>2882</v>
      </c>
      <c r="D1711" s="215" t="s">
        <v>2885</v>
      </c>
      <c r="E1711" s="215" t="s">
        <v>2886</v>
      </c>
      <c r="F1711" s="65" t="s">
        <v>2887</v>
      </c>
      <c r="G1711" s="65" t="s">
        <v>168</v>
      </c>
      <c r="H1711" s="65" t="s">
        <v>168</v>
      </c>
      <c r="I1711" s="65"/>
      <c r="J1711" s="65" t="s">
        <v>9</v>
      </c>
      <c r="K1711" s="65" t="s">
        <v>9</v>
      </c>
      <c r="L1711" s="234">
        <v>0.0</v>
      </c>
      <c r="M1711" s="180">
        <f t="shared" si="1062"/>
        <v>0</v>
      </c>
      <c r="N1711" s="234">
        <v>0.0</v>
      </c>
      <c r="O1711" s="129">
        <f t="shared" ref="O1711:O1713" si="1083">IF(COUNT(L1711:N1711)=0,"",(L1711+4*M1711+N1711)/6)</f>
        <v>0</v>
      </c>
      <c r="P1711" s="159"/>
      <c r="Q1711" s="208">
        <f t="shared" ref="Q1711:Q1713" si="1084">IF(O1711="","",IF(P1711="",O1711,O1711*(1+P1711)))</f>
        <v>0</v>
      </c>
      <c r="R1711" s="132"/>
      <c r="S1711" s="132"/>
      <c r="T1711" s="65" t="s">
        <v>31</v>
      </c>
      <c r="U1711" s="26"/>
      <c r="V1711" s="26"/>
      <c r="W1711" s="26"/>
      <c r="X1711" s="26"/>
      <c r="Y1711" s="26"/>
      <c r="Z1711" s="26"/>
      <c r="AA1711" s="26"/>
      <c r="AB1711" s="26"/>
      <c r="AC1711" s="26"/>
    </row>
    <row r="1712" ht="33.75" customHeight="1">
      <c r="A1712" s="65" t="s">
        <v>2889</v>
      </c>
      <c r="B1712" s="215" t="s">
        <v>2678</v>
      </c>
      <c r="C1712" s="215" t="s">
        <v>2882</v>
      </c>
      <c r="D1712" s="215" t="s">
        <v>2885</v>
      </c>
      <c r="E1712" s="215" t="s">
        <v>2886</v>
      </c>
      <c r="F1712" s="65" t="s">
        <v>2887</v>
      </c>
      <c r="G1712" s="65" t="s">
        <v>168</v>
      </c>
      <c r="H1712" s="65" t="s">
        <v>168</v>
      </c>
      <c r="I1712" s="65"/>
      <c r="J1712" s="65" t="s">
        <v>9</v>
      </c>
      <c r="K1712" s="65" t="s">
        <v>9</v>
      </c>
      <c r="L1712" s="234">
        <v>0.0</v>
      </c>
      <c r="M1712" s="180">
        <f t="shared" si="1062"/>
        <v>0</v>
      </c>
      <c r="N1712" s="234">
        <v>0.0</v>
      </c>
      <c r="O1712" s="129">
        <f t="shared" si="1083"/>
        <v>0</v>
      </c>
      <c r="P1712" s="159"/>
      <c r="Q1712" s="208">
        <f t="shared" si="1084"/>
        <v>0</v>
      </c>
      <c r="R1712" s="132"/>
      <c r="S1712" s="132"/>
      <c r="T1712" s="65" t="s">
        <v>32</v>
      </c>
      <c r="U1712" s="26"/>
      <c r="V1712" s="26"/>
      <c r="W1712" s="26"/>
      <c r="X1712" s="26"/>
      <c r="Y1712" s="26"/>
      <c r="Z1712" s="26"/>
      <c r="AA1712" s="26"/>
      <c r="AB1712" s="26"/>
      <c r="AC1712" s="26"/>
    </row>
    <row r="1713" ht="33.75" customHeight="1">
      <c r="A1713" s="65" t="s">
        <v>2890</v>
      </c>
      <c r="B1713" s="215" t="s">
        <v>2678</v>
      </c>
      <c r="C1713" s="215" t="s">
        <v>2882</v>
      </c>
      <c r="D1713" s="215" t="s">
        <v>2885</v>
      </c>
      <c r="E1713" s="215" t="s">
        <v>2886</v>
      </c>
      <c r="F1713" s="65" t="s">
        <v>2887</v>
      </c>
      <c r="G1713" s="65" t="s">
        <v>168</v>
      </c>
      <c r="H1713" s="65" t="s">
        <v>168</v>
      </c>
      <c r="I1713" s="65"/>
      <c r="J1713" s="65" t="s">
        <v>9</v>
      </c>
      <c r="K1713" s="65" t="s">
        <v>9</v>
      </c>
      <c r="L1713" s="234">
        <v>0.0</v>
      </c>
      <c r="M1713" s="180">
        <f t="shared" si="1062"/>
        <v>0</v>
      </c>
      <c r="N1713" s="234">
        <v>0.0</v>
      </c>
      <c r="O1713" s="129">
        <f t="shared" si="1083"/>
        <v>0</v>
      </c>
      <c r="P1713" s="159"/>
      <c r="Q1713" s="208">
        <f t="shared" si="1084"/>
        <v>0</v>
      </c>
      <c r="R1713" s="132"/>
      <c r="S1713" s="132"/>
      <c r="T1713" s="65" t="s">
        <v>70</v>
      </c>
      <c r="U1713" s="26"/>
      <c r="V1713" s="26"/>
      <c r="W1713" s="26"/>
      <c r="X1713" s="26"/>
      <c r="Y1713" s="26"/>
      <c r="Z1713" s="26"/>
      <c r="AA1713" s="26"/>
      <c r="AB1713" s="26"/>
      <c r="AC1713" s="26"/>
    </row>
    <row r="1714" ht="33.75" customHeight="1">
      <c r="A1714" s="54" t="s">
        <v>2891</v>
      </c>
      <c r="B1714" s="209" t="s">
        <v>2678</v>
      </c>
      <c r="C1714" s="209" t="s">
        <v>2882</v>
      </c>
      <c r="D1714" s="209" t="s">
        <v>2892</v>
      </c>
      <c r="E1714" s="209" t="s">
        <v>2893</v>
      </c>
      <c r="F1714" s="54" t="s">
        <v>2884</v>
      </c>
      <c r="G1714" s="54" t="s">
        <v>168</v>
      </c>
      <c r="H1714" s="54" t="s">
        <v>168</v>
      </c>
      <c r="I1714" s="54"/>
      <c r="J1714" s="54" t="s">
        <v>9</v>
      </c>
      <c r="K1714" s="54" t="s">
        <v>9</v>
      </c>
      <c r="L1714" s="202">
        <f>IF(COUNT(L1715:N1717)=0,"",SUM(L1715:L1717))</f>
        <v>0.75</v>
      </c>
      <c r="M1714" s="174">
        <f t="shared" si="1062"/>
        <v>1.125</v>
      </c>
      <c r="N1714" s="202">
        <f>IF(COUNT(L1715:N1717)=0,"",SUM(N1715:N1717))</f>
        <v>1.5</v>
      </c>
      <c r="O1714" s="202">
        <f>IF(COUNT(O1715:O1717)=0,"",SUM(O1715:O1717))</f>
        <v>1.125</v>
      </c>
      <c r="P1714" s="210"/>
      <c r="Q1714" s="202">
        <f>IF(COUNT(Q1715:Q1717)=0,"",SUM(Q1715:Q1717))</f>
        <v>1.125</v>
      </c>
      <c r="R1714" s="163"/>
      <c r="S1714" s="163"/>
      <c r="T1714" s="54" t="s">
        <v>65</v>
      </c>
      <c r="U1714" s="26"/>
      <c r="V1714" s="26"/>
      <c r="W1714" s="26"/>
      <c r="X1714" s="105"/>
      <c r="Y1714" s="105"/>
      <c r="Z1714" s="105"/>
      <c r="AA1714" s="105"/>
      <c r="AB1714" s="105"/>
      <c r="AC1714" s="105"/>
    </row>
    <row r="1715" ht="33.75" customHeight="1">
      <c r="A1715" s="65" t="s">
        <v>2894</v>
      </c>
      <c r="B1715" s="215" t="s">
        <v>2678</v>
      </c>
      <c r="C1715" s="215" t="s">
        <v>2882</v>
      </c>
      <c r="D1715" s="215" t="s">
        <v>2892</v>
      </c>
      <c r="E1715" s="215" t="s">
        <v>2893</v>
      </c>
      <c r="F1715" s="65" t="s">
        <v>2884</v>
      </c>
      <c r="G1715" s="65" t="s">
        <v>168</v>
      </c>
      <c r="H1715" s="65" t="s">
        <v>168</v>
      </c>
      <c r="I1715" s="65"/>
      <c r="J1715" s="65" t="s">
        <v>9</v>
      </c>
      <c r="K1715" s="65" t="s">
        <v>9</v>
      </c>
      <c r="L1715" s="234">
        <v>0.25</v>
      </c>
      <c r="M1715" s="180">
        <f t="shared" si="1062"/>
        <v>0.375</v>
      </c>
      <c r="N1715" s="234">
        <v>0.5</v>
      </c>
      <c r="O1715" s="129">
        <f t="shared" ref="O1715:O1717" si="1085">IF(COUNT(L1715:N1715)=0,"",(L1715+4*M1715+N1715)/6)</f>
        <v>0.375</v>
      </c>
      <c r="P1715" s="159"/>
      <c r="Q1715" s="208">
        <f t="shared" ref="Q1715:Q1717" si="1086">IF(O1715="","",IF(P1715="",O1715,O1715*(1+P1715)))</f>
        <v>0.375</v>
      </c>
      <c r="R1715" s="132"/>
      <c r="S1715" s="132"/>
      <c r="T1715" s="65" t="s">
        <v>31</v>
      </c>
      <c r="U1715" s="26"/>
      <c r="V1715" s="26"/>
      <c r="W1715" s="26"/>
      <c r="X1715" s="26"/>
      <c r="Y1715" s="26"/>
      <c r="Z1715" s="26"/>
      <c r="AA1715" s="26"/>
      <c r="AB1715" s="26"/>
      <c r="AC1715" s="26"/>
    </row>
    <row r="1716" ht="33.75" customHeight="1">
      <c r="A1716" s="65" t="s">
        <v>2895</v>
      </c>
      <c r="B1716" s="215" t="s">
        <v>2678</v>
      </c>
      <c r="C1716" s="215" t="s">
        <v>2882</v>
      </c>
      <c r="D1716" s="215" t="s">
        <v>2892</v>
      </c>
      <c r="E1716" s="215" t="s">
        <v>2893</v>
      </c>
      <c r="F1716" s="65" t="s">
        <v>2884</v>
      </c>
      <c r="G1716" s="65" t="s">
        <v>168</v>
      </c>
      <c r="H1716" s="65" t="s">
        <v>168</v>
      </c>
      <c r="I1716" s="65"/>
      <c r="J1716" s="65" t="s">
        <v>9</v>
      </c>
      <c r="K1716" s="65" t="s">
        <v>9</v>
      </c>
      <c r="L1716" s="234">
        <v>0.25</v>
      </c>
      <c r="M1716" s="180">
        <f t="shared" si="1062"/>
        <v>0.375</v>
      </c>
      <c r="N1716" s="234">
        <v>0.5</v>
      </c>
      <c r="O1716" s="129">
        <f t="shared" si="1085"/>
        <v>0.375</v>
      </c>
      <c r="P1716" s="159"/>
      <c r="Q1716" s="208">
        <f t="shared" si="1086"/>
        <v>0.375</v>
      </c>
      <c r="R1716" s="132"/>
      <c r="S1716" s="132"/>
      <c r="T1716" s="65" t="s">
        <v>32</v>
      </c>
      <c r="U1716" s="26"/>
      <c r="V1716" s="26"/>
      <c r="W1716" s="26"/>
      <c r="X1716" s="26"/>
      <c r="Y1716" s="26"/>
      <c r="Z1716" s="26"/>
      <c r="AA1716" s="26"/>
      <c r="AB1716" s="26"/>
      <c r="AC1716" s="26"/>
    </row>
    <row r="1717" ht="33.75" customHeight="1">
      <c r="A1717" s="65" t="s">
        <v>2896</v>
      </c>
      <c r="B1717" s="215" t="s">
        <v>2678</v>
      </c>
      <c r="C1717" s="215" t="s">
        <v>2882</v>
      </c>
      <c r="D1717" s="215" t="s">
        <v>2892</v>
      </c>
      <c r="E1717" s="215" t="s">
        <v>2893</v>
      </c>
      <c r="F1717" s="65" t="s">
        <v>2884</v>
      </c>
      <c r="G1717" s="65" t="s">
        <v>168</v>
      </c>
      <c r="H1717" s="65" t="s">
        <v>168</v>
      </c>
      <c r="I1717" s="65"/>
      <c r="J1717" s="65" t="s">
        <v>9</v>
      </c>
      <c r="K1717" s="65" t="s">
        <v>9</v>
      </c>
      <c r="L1717" s="234">
        <v>0.25</v>
      </c>
      <c r="M1717" s="180">
        <f t="shared" si="1062"/>
        <v>0.375</v>
      </c>
      <c r="N1717" s="234">
        <v>0.5</v>
      </c>
      <c r="O1717" s="129">
        <f t="shared" si="1085"/>
        <v>0.375</v>
      </c>
      <c r="P1717" s="159"/>
      <c r="Q1717" s="208">
        <f t="shared" si="1086"/>
        <v>0.375</v>
      </c>
      <c r="R1717" s="132"/>
      <c r="S1717" s="132"/>
      <c r="T1717" s="65" t="s">
        <v>70</v>
      </c>
      <c r="U1717" s="26"/>
      <c r="V1717" s="26"/>
      <c r="W1717" s="26"/>
      <c r="X1717" s="26"/>
      <c r="Y1717" s="26"/>
      <c r="Z1717" s="26"/>
      <c r="AA1717" s="26"/>
      <c r="AB1717" s="26"/>
      <c r="AC1717" s="26"/>
    </row>
    <row r="1718" ht="33.75" customHeight="1">
      <c r="A1718" s="98" t="s">
        <v>2897</v>
      </c>
      <c r="B1718" s="99" t="s">
        <v>2678</v>
      </c>
      <c r="C1718" s="99" t="s">
        <v>2882</v>
      </c>
      <c r="D1718" s="99" t="s">
        <v>2898</v>
      </c>
      <c r="E1718" s="99" t="s">
        <v>2899</v>
      </c>
      <c r="F1718" s="98" t="s">
        <v>2891</v>
      </c>
      <c r="G1718" s="98" t="s">
        <v>168</v>
      </c>
      <c r="H1718" s="98" t="s">
        <v>168</v>
      </c>
      <c r="I1718" s="98"/>
      <c r="J1718" s="98" t="s">
        <v>12</v>
      </c>
      <c r="K1718" s="100" t="s">
        <v>12</v>
      </c>
      <c r="L1718" s="101">
        <f>IF(COUNT(L1719:N1721)=0,"",SUM(L1719:L1721))</f>
        <v>0</v>
      </c>
      <c r="M1718" s="102">
        <f t="shared" si="1062"/>
        <v>0</v>
      </c>
      <c r="N1718" s="101">
        <f>IF(COUNT(L1719:N1721)=0,"",SUM(N1719:N1721))</f>
        <v>0</v>
      </c>
      <c r="O1718" s="101">
        <f>IF(COUNT(O1719:O1721)=0,"",SUM(O1719:O1721))</f>
        <v>0</v>
      </c>
      <c r="P1718" s="103"/>
      <c r="Q1718" s="101">
        <f>IF(COUNT(Q1719:Q1721)=0,"",SUM(Q1719:Q1721))</f>
        <v>0</v>
      </c>
      <c r="R1718" s="104"/>
      <c r="S1718" s="104"/>
      <c r="T1718" s="98" t="s">
        <v>65</v>
      </c>
      <c r="U1718" s="26"/>
      <c r="V1718" s="26"/>
      <c r="W1718" s="26"/>
      <c r="X1718" s="105"/>
      <c r="Y1718" s="105"/>
      <c r="Z1718" s="105"/>
      <c r="AA1718" s="105"/>
      <c r="AB1718" s="105"/>
      <c r="AC1718" s="105"/>
    </row>
    <row r="1719" ht="33.75" customHeight="1">
      <c r="A1719" s="106" t="s">
        <v>2900</v>
      </c>
      <c r="B1719" s="107" t="s">
        <v>2678</v>
      </c>
      <c r="C1719" s="107" t="s">
        <v>2882</v>
      </c>
      <c r="D1719" s="107" t="s">
        <v>2898</v>
      </c>
      <c r="E1719" s="107" t="s">
        <v>2899</v>
      </c>
      <c r="F1719" s="106" t="s">
        <v>2891</v>
      </c>
      <c r="G1719" s="106" t="s">
        <v>168</v>
      </c>
      <c r="H1719" s="106" t="s">
        <v>168</v>
      </c>
      <c r="I1719" s="106"/>
      <c r="J1719" s="106" t="s">
        <v>12</v>
      </c>
      <c r="K1719" s="108" t="s">
        <v>12</v>
      </c>
      <c r="L1719" s="109"/>
      <c r="M1719" s="109">
        <f t="shared" si="1062"/>
        <v>0</v>
      </c>
      <c r="N1719" s="109"/>
      <c r="O1719" s="109">
        <f t="shared" ref="O1719:O1721" si="1087">IF(COUNT(L1719:N1719)=0,"",(L1719+4*M1719+N1719)/6)</f>
        <v>0</v>
      </c>
      <c r="P1719" s="110"/>
      <c r="Q1719" s="109">
        <f t="shared" ref="Q1719:Q1721" si="1088">IF(O1719="","",IF(P1719="",O1719,O1719*(1+P1719)))</f>
        <v>0</v>
      </c>
      <c r="R1719" s="111"/>
      <c r="S1719" s="111"/>
      <c r="T1719" s="106" t="s">
        <v>31</v>
      </c>
      <c r="U1719" s="26"/>
      <c r="V1719" s="26"/>
      <c r="W1719" s="26"/>
      <c r="X1719" s="26"/>
      <c r="Y1719" s="26"/>
      <c r="Z1719" s="26"/>
      <c r="AA1719" s="26"/>
      <c r="AB1719" s="26"/>
      <c r="AC1719" s="26"/>
    </row>
    <row r="1720" ht="33.75" customHeight="1">
      <c r="A1720" s="106" t="s">
        <v>2901</v>
      </c>
      <c r="B1720" s="107" t="s">
        <v>2678</v>
      </c>
      <c r="C1720" s="107" t="s">
        <v>2882</v>
      </c>
      <c r="D1720" s="107" t="s">
        <v>2898</v>
      </c>
      <c r="E1720" s="107" t="s">
        <v>2899</v>
      </c>
      <c r="F1720" s="106" t="s">
        <v>2891</v>
      </c>
      <c r="G1720" s="106" t="s">
        <v>168</v>
      </c>
      <c r="H1720" s="106" t="s">
        <v>168</v>
      </c>
      <c r="I1720" s="106"/>
      <c r="J1720" s="106" t="s">
        <v>12</v>
      </c>
      <c r="K1720" s="108" t="s">
        <v>12</v>
      </c>
      <c r="L1720" s="109"/>
      <c r="M1720" s="109">
        <f t="shared" si="1062"/>
        <v>0</v>
      </c>
      <c r="N1720" s="109"/>
      <c r="O1720" s="109">
        <f t="shared" si="1087"/>
        <v>0</v>
      </c>
      <c r="P1720" s="110"/>
      <c r="Q1720" s="109">
        <f t="shared" si="1088"/>
        <v>0</v>
      </c>
      <c r="R1720" s="111"/>
      <c r="S1720" s="111"/>
      <c r="T1720" s="106" t="s">
        <v>32</v>
      </c>
      <c r="U1720" s="26"/>
      <c r="V1720" s="26"/>
      <c r="W1720" s="26"/>
      <c r="X1720" s="26"/>
      <c r="Y1720" s="26"/>
      <c r="Z1720" s="26"/>
      <c r="AA1720" s="26"/>
      <c r="AB1720" s="26"/>
      <c r="AC1720" s="26"/>
    </row>
    <row r="1721" ht="33.75" customHeight="1">
      <c r="A1721" s="106" t="s">
        <v>2902</v>
      </c>
      <c r="B1721" s="107" t="s">
        <v>2678</v>
      </c>
      <c r="C1721" s="107" t="s">
        <v>2882</v>
      </c>
      <c r="D1721" s="107" t="s">
        <v>2898</v>
      </c>
      <c r="E1721" s="107" t="s">
        <v>2899</v>
      </c>
      <c r="F1721" s="106" t="s">
        <v>2891</v>
      </c>
      <c r="G1721" s="106" t="s">
        <v>168</v>
      </c>
      <c r="H1721" s="106" t="s">
        <v>168</v>
      </c>
      <c r="I1721" s="106"/>
      <c r="J1721" s="106" t="s">
        <v>12</v>
      </c>
      <c r="K1721" s="108" t="s">
        <v>12</v>
      </c>
      <c r="L1721" s="109"/>
      <c r="M1721" s="109">
        <f t="shared" si="1062"/>
        <v>0</v>
      </c>
      <c r="N1721" s="109"/>
      <c r="O1721" s="109">
        <f t="shared" si="1087"/>
        <v>0</v>
      </c>
      <c r="P1721" s="110"/>
      <c r="Q1721" s="109">
        <f t="shared" si="1088"/>
        <v>0</v>
      </c>
      <c r="R1721" s="111"/>
      <c r="S1721" s="111"/>
      <c r="T1721" s="106" t="s">
        <v>70</v>
      </c>
      <c r="U1721" s="26"/>
      <c r="V1721" s="26"/>
      <c r="W1721" s="26"/>
      <c r="X1721" s="26"/>
      <c r="Y1721" s="26"/>
      <c r="Z1721" s="26"/>
      <c r="AA1721" s="26"/>
      <c r="AB1721" s="26"/>
      <c r="AC1721" s="26"/>
    </row>
    <row r="1722" ht="33.75" customHeight="1">
      <c r="A1722" s="27" t="s">
        <v>2903</v>
      </c>
      <c r="B1722" s="28"/>
      <c r="C1722" s="28"/>
      <c r="D1722" s="28"/>
      <c r="E1722" s="29"/>
      <c r="F1722" s="30"/>
      <c r="G1722" s="30"/>
      <c r="H1722" s="30"/>
      <c r="I1722" s="30"/>
      <c r="J1722" s="30"/>
      <c r="K1722" s="31"/>
      <c r="L1722" s="32">
        <f t="shared" ref="L1722:O1722" si="1089">SUM(X1723:X1856)</f>
        <v>21.75</v>
      </c>
      <c r="M1722" s="32">
        <f t="shared" si="1089"/>
        <v>44.125</v>
      </c>
      <c r="N1722" s="32">
        <f t="shared" si="1089"/>
        <v>66.5</v>
      </c>
      <c r="O1722" s="32">
        <f t="shared" si="1089"/>
        <v>44.125</v>
      </c>
      <c r="P1722" s="32"/>
      <c r="Q1722" s="32">
        <f>SUM(AC1723:AC1856)</f>
        <v>46.9</v>
      </c>
      <c r="R1722" s="34"/>
      <c r="S1722" s="34"/>
      <c r="T1722" s="35" t="s">
        <v>59</v>
      </c>
      <c r="U1722" s="26"/>
      <c r="V1722" s="26"/>
      <c r="W1722" s="26"/>
      <c r="X1722" s="26"/>
      <c r="Y1722" s="26"/>
      <c r="Z1722" s="26"/>
      <c r="AA1722" s="26"/>
      <c r="AB1722" s="26"/>
      <c r="AC1722" s="26"/>
    </row>
    <row r="1723" ht="33.75" customHeight="1">
      <c r="A1723" s="112" t="s">
        <v>2904</v>
      </c>
      <c r="B1723" s="38" t="s">
        <v>2905</v>
      </c>
      <c r="C1723" s="38" t="s">
        <v>2906</v>
      </c>
      <c r="D1723" s="38" t="s">
        <v>2906</v>
      </c>
      <c r="E1723" s="113" t="s">
        <v>2907</v>
      </c>
      <c r="F1723" s="114"/>
      <c r="G1723" s="114"/>
      <c r="H1723" s="45"/>
      <c r="I1723" s="45"/>
      <c r="J1723" s="114"/>
      <c r="K1723" s="115"/>
      <c r="L1723" s="42">
        <f>IF(COUNT(L1724,L1728,L1732,L1736,L1740,L1744,L1748,L1752,L1756)=0,"",SUM(L1724,L1728,L1732,L1736,L1740,L1744,L1748,L1752,L1756))</f>
        <v>11.75</v>
      </c>
      <c r="M1723" s="42">
        <f t="shared" ref="M1723:M1856" si="1092">(N1723+L1723)/2</f>
        <v>23.875</v>
      </c>
      <c r="N1723" s="42">
        <f t="shared" ref="N1723:O1723" si="1090">IF(COUNT(N1724,N1728,N1732,N1736,N1740,N1744,N1748,N1752,N1756)=0,"",SUM(N1724,N1728,N1732,N1736,N1740,N1744,N1748,N1752,N1756))</f>
        <v>36</v>
      </c>
      <c r="O1723" s="42">
        <f t="shared" si="1090"/>
        <v>23.875</v>
      </c>
      <c r="P1723" s="43"/>
      <c r="Q1723" s="42">
        <f>IF(COUNT(Q1724,Q1728,Q1732,Q1736,Q1740,Q1744,Q1748,Q1752,Q1756)=0,"",SUM(Q1724,Q1728,Q1732,Q1736,Q1740,Q1744,Q1748,Q1752,Q1756))</f>
        <v>26.65</v>
      </c>
      <c r="R1723" s="44"/>
      <c r="S1723" s="44"/>
      <c r="T1723" s="45" t="s">
        <v>62</v>
      </c>
      <c r="U1723" s="26"/>
      <c r="V1723" s="26"/>
      <c r="W1723" s="26"/>
      <c r="X1723" s="46">
        <f t="shared" ref="X1723:AA1723" si="1091">L1723</f>
        <v>11.75</v>
      </c>
      <c r="Y1723" s="46">
        <f t="shared" si="1091"/>
        <v>23.875</v>
      </c>
      <c r="Z1723" s="46">
        <f t="shared" si="1091"/>
        <v>36</v>
      </c>
      <c r="AA1723" s="46">
        <f t="shared" si="1091"/>
        <v>23.875</v>
      </c>
      <c r="AB1723" s="26"/>
      <c r="AC1723" s="46">
        <f>Q1723</f>
        <v>26.65</v>
      </c>
    </row>
    <row r="1724" ht="33.75" customHeight="1">
      <c r="A1724" s="116" t="s">
        <v>2908</v>
      </c>
      <c r="B1724" s="77" t="s">
        <v>2905</v>
      </c>
      <c r="C1724" s="77" t="s">
        <v>2906</v>
      </c>
      <c r="D1724" s="77" t="s">
        <v>2909</v>
      </c>
      <c r="E1724" s="117" t="s">
        <v>2910</v>
      </c>
      <c r="F1724" s="118"/>
      <c r="G1724" s="118" t="s">
        <v>154</v>
      </c>
      <c r="H1724" s="119" t="s">
        <v>154</v>
      </c>
      <c r="I1724" s="54"/>
      <c r="J1724" s="118" t="s">
        <v>9</v>
      </c>
      <c r="K1724" s="120" t="s">
        <v>9</v>
      </c>
      <c r="L1724" s="51">
        <f>IF(COUNT(L1725:N1727)=0,"",SUM(L1725:L1727))</f>
        <v>0.75</v>
      </c>
      <c r="M1724" s="51">
        <f t="shared" si="1092"/>
        <v>1.625</v>
      </c>
      <c r="N1724" s="51">
        <f>IF(COUNT(L1725:N1727)=0,"",SUM(N1725:N1727))</f>
        <v>2.5</v>
      </c>
      <c r="O1724" s="51">
        <f>IF(COUNT(O1725:O1727)=0,"",SUM(O1725:O1727))</f>
        <v>1.625</v>
      </c>
      <c r="P1724" s="52"/>
      <c r="Q1724" s="51">
        <f>IF(COUNT(Q1725:Q1727)=0,"",SUM(Q1725:Q1727))</f>
        <v>1.70625</v>
      </c>
      <c r="R1724" s="53"/>
      <c r="S1724" s="53"/>
      <c r="T1724" s="54" t="s">
        <v>65</v>
      </c>
      <c r="U1724" s="26"/>
      <c r="V1724" s="26"/>
      <c r="W1724" s="26"/>
      <c r="X1724" s="46"/>
      <c r="Y1724" s="46"/>
      <c r="Z1724" s="46"/>
      <c r="AA1724" s="46"/>
      <c r="AB1724" s="232"/>
      <c r="AC1724" s="46"/>
    </row>
    <row r="1725" ht="33.75" customHeight="1">
      <c r="A1725" s="65" t="s">
        <v>2911</v>
      </c>
      <c r="B1725" s="215" t="s">
        <v>2905</v>
      </c>
      <c r="C1725" s="215" t="s">
        <v>2906</v>
      </c>
      <c r="D1725" s="215" t="s">
        <v>2909</v>
      </c>
      <c r="E1725" s="215" t="s">
        <v>2910</v>
      </c>
      <c r="F1725" s="65"/>
      <c r="G1725" s="65" t="s">
        <v>154</v>
      </c>
      <c r="H1725" s="65" t="s">
        <v>154</v>
      </c>
      <c r="I1725" s="65"/>
      <c r="J1725" s="65" t="s">
        <v>9</v>
      </c>
      <c r="K1725" s="65" t="s">
        <v>9</v>
      </c>
      <c r="L1725" s="128">
        <v>0.25</v>
      </c>
      <c r="M1725" s="129">
        <f t="shared" si="1092"/>
        <v>0.625</v>
      </c>
      <c r="N1725" s="128">
        <v>1.0</v>
      </c>
      <c r="O1725" s="129">
        <f t="shared" ref="O1725:O1727" si="1093">IF(COUNT(L1725:N1725)=0,"",(L1725+4*M1725+N1725)/6)</f>
        <v>0.625</v>
      </c>
      <c r="P1725" s="159">
        <v>0.05</v>
      </c>
      <c r="Q1725" s="208">
        <f t="shared" ref="Q1725:Q1727" si="1094">IF(O1725="","",IF(P1725="",O1725,O1725*(1+P1725)))</f>
        <v>0.65625</v>
      </c>
      <c r="R1725" s="132">
        <v>5.0</v>
      </c>
      <c r="S1725" s="132">
        <v>1.0</v>
      </c>
      <c r="T1725" s="65" t="s">
        <v>31</v>
      </c>
      <c r="U1725" s="26"/>
      <c r="V1725" s="26"/>
      <c r="W1725" s="26"/>
      <c r="X1725" s="26"/>
      <c r="Y1725" s="26"/>
      <c r="Z1725" s="26"/>
      <c r="AA1725" s="26"/>
      <c r="AB1725" s="26"/>
      <c r="AC1725" s="26"/>
    </row>
    <row r="1726" ht="33.75" customHeight="1">
      <c r="A1726" s="65" t="s">
        <v>2912</v>
      </c>
      <c r="B1726" s="215" t="s">
        <v>2905</v>
      </c>
      <c r="C1726" s="215" t="s">
        <v>2906</v>
      </c>
      <c r="D1726" s="215" t="s">
        <v>2909</v>
      </c>
      <c r="E1726" s="215" t="s">
        <v>2910</v>
      </c>
      <c r="F1726" s="65"/>
      <c r="G1726" s="65" t="s">
        <v>154</v>
      </c>
      <c r="H1726" s="65" t="s">
        <v>154</v>
      </c>
      <c r="I1726" s="65"/>
      <c r="J1726" s="65" t="s">
        <v>9</v>
      </c>
      <c r="K1726" s="65" t="s">
        <v>9</v>
      </c>
      <c r="L1726" s="128">
        <v>0.25</v>
      </c>
      <c r="M1726" s="129">
        <f t="shared" si="1092"/>
        <v>0.625</v>
      </c>
      <c r="N1726" s="128">
        <v>1.0</v>
      </c>
      <c r="O1726" s="129">
        <f t="shared" si="1093"/>
        <v>0.625</v>
      </c>
      <c r="P1726" s="159">
        <v>0.05</v>
      </c>
      <c r="Q1726" s="208">
        <f t="shared" si="1094"/>
        <v>0.65625</v>
      </c>
      <c r="R1726" s="132">
        <v>5.0</v>
      </c>
      <c r="S1726" s="132">
        <v>1.0</v>
      </c>
      <c r="T1726" s="65" t="s">
        <v>32</v>
      </c>
      <c r="U1726" s="26"/>
      <c r="V1726" s="26"/>
      <c r="W1726" s="26"/>
      <c r="X1726" s="26"/>
      <c r="Y1726" s="26"/>
      <c r="Z1726" s="26"/>
      <c r="AA1726" s="26"/>
      <c r="AB1726" s="26"/>
      <c r="AC1726" s="26"/>
    </row>
    <row r="1727" ht="33.75" customHeight="1">
      <c r="A1727" s="65" t="s">
        <v>2913</v>
      </c>
      <c r="B1727" s="215" t="s">
        <v>2905</v>
      </c>
      <c r="C1727" s="215" t="s">
        <v>2906</v>
      </c>
      <c r="D1727" s="215" t="s">
        <v>2909</v>
      </c>
      <c r="E1727" s="215" t="s">
        <v>2910</v>
      </c>
      <c r="F1727" s="65"/>
      <c r="G1727" s="65" t="s">
        <v>154</v>
      </c>
      <c r="H1727" s="65" t="s">
        <v>154</v>
      </c>
      <c r="I1727" s="65"/>
      <c r="J1727" s="65" t="s">
        <v>9</v>
      </c>
      <c r="K1727" s="65" t="s">
        <v>9</v>
      </c>
      <c r="L1727" s="128">
        <v>0.25</v>
      </c>
      <c r="M1727" s="129">
        <f t="shared" si="1092"/>
        <v>0.375</v>
      </c>
      <c r="N1727" s="128">
        <v>0.5</v>
      </c>
      <c r="O1727" s="129">
        <f t="shared" si="1093"/>
        <v>0.375</v>
      </c>
      <c r="P1727" s="159">
        <v>0.05</v>
      </c>
      <c r="Q1727" s="208">
        <f t="shared" si="1094"/>
        <v>0.39375</v>
      </c>
      <c r="R1727" s="132">
        <v>5.0</v>
      </c>
      <c r="S1727" s="132">
        <v>1.0</v>
      </c>
      <c r="T1727" s="65" t="s">
        <v>70</v>
      </c>
      <c r="U1727" s="26"/>
      <c r="V1727" s="26"/>
      <c r="W1727" s="26"/>
      <c r="X1727" s="26"/>
      <c r="Y1727" s="26"/>
      <c r="Z1727" s="26"/>
      <c r="AA1727" s="26"/>
      <c r="AB1727" s="26"/>
      <c r="AC1727" s="26"/>
    </row>
    <row r="1728" ht="33.75" customHeight="1">
      <c r="A1728" s="54" t="s">
        <v>2914</v>
      </c>
      <c r="B1728" s="209" t="s">
        <v>2905</v>
      </c>
      <c r="C1728" s="209" t="s">
        <v>2906</v>
      </c>
      <c r="D1728" s="209" t="s">
        <v>2915</v>
      </c>
      <c r="E1728" s="209" t="s">
        <v>2916</v>
      </c>
      <c r="F1728" s="54" t="s">
        <v>2684</v>
      </c>
      <c r="G1728" s="54" t="s">
        <v>168</v>
      </c>
      <c r="H1728" s="54" t="s">
        <v>168</v>
      </c>
      <c r="I1728" s="54"/>
      <c r="J1728" s="54" t="s">
        <v>9</v>
      </c>
      <c r="K1728" s="54" t="s">
        <v>9</v>
      </c>
      <c r="L1728" s="202">
        <f>IF(COUNT(L1729:N1731)=0,"",SUM(L1729:L1731))</f>
        <v>2.5</v>
      </c>
      <c r="M1728" s="174">
        <f t="shared" si="1092"/>
        <v>4.75</v>
      </c>
      <c r="N1728" s="202">
        <f>IF(COUNT(L1729:N1731)=0,"",SUM(N1729:N1731))</f>
        <v>7</v>
      </c>
      <c r="O1728" s="202">
        <f>IF(COUNT(O1729:O1731)=0,"",SUM(O1729:O1731))</f>
        <v>4.75</v>
      </c>
      <c r="P1728" s="210"/>
      <c r="Q1728" s="202">
        <f>IF(COUNT(Q1729:Q1731)=0,"",SUM(Q1729:Q1731))</f>
        <v>5.3625</v>
      </c>
      <c r="R1728" s="163"/>
      <c r="S1728" s="163"/>
      <c r="T1728" s="54" t="s">
        <v>65</v>
      </c>
      <c r="U1728" s="26"/>
      <c r="V1728" s="26"/>
      <c r="W1728" s="26"/>
      <c r="X1728" s="105"/>
      <c r="Y1728" s="105"/>
      <c r="Z1728" s="105"/>
      <c r="AA1728" s="105"/>
      <c r="AB1728" s="105"/>
      <c r="AC1728" s="105"/>
    </row>
    <row r="1729" ht="33.75" customHeight="1">
      <c r="A1729" s="65" t="s">
        <v>2917</v>
      </c>
      <c r="B1729" s="215" t="s">
        <v>2905</v>
      </c>
      <c r="C1729" s="215" t="s">
        <v>2906</v>
      </c>
      <c r="D1729" s="215" t="s">
        <v>2915</v>
      </c>
      <c r="E1729" s="215" t="s">
        <v>2916</v>
      </c>
      <c r="F1729" s="65" t="s">
        <v>2684</v>
      </c>
      <c r="G1729" s="65" t="s">
        <v>168</v>
      </c>
      <c r="H1729" s="65" t="s">
        <v>168</v>
      </c>
      <c r="I1729" s="65"/>
      <c r="J1729" s="65" t="s">
        <v>9</v>
      </c>
      <c r="K1729" s="65" t="s">
        <v>9</v>
      </c>
      <c r="L1729" s="128">
        <v>0.5</v>
      </c>
      <c r="M1729" s="129">
        <f t="shared" si="1092"/>
        <v>1</v>
      </c>
      <c r="N1729" s="128">
        <v>1.5</v>
      </c>
      <c r="O1729" s="129">
        <f t="shared" ref="O1729:O1731" si="1095">IF(COUNT(L1729:N1729)=0,"",(L1729+4*M1729+N1729)/6)</f>
        <v>1</v>
      </c>
      <c r="P1729" s="159">
        <v>0.1</v>
      </c>
      <c r="Q1729" s="208">
        <f t="shared" ref="Q1729:Q1731" si="1096">IF(O1729="","",IF(P1729="",O1729,O1729*(1+P1729)))</f>
        <v>1.1</v>
      </c>
      <c r="R1729" s="132">
        <v>4.0</v>
      </c>
      <c r="S1729" s="132">
        <v>2.0</v>
      </c>
      <c r="T1729" s="65" t="s">
        <v>31</v>
      </c>
      <c r="U1729" s="26"/>
      <c r="V1729" s="26"/>
      <c r="W1729" s="26"/>
      <c r="X1729" s="26"/>
      <c r="Y1729" s="26"/>
      <c r="Z1729" s="26"/>
      <c r="AA1729" s="26"/>
      <c r="AB1729" s="26"/>
      <c r="AC1729" s="26"/>
    </row>
    <row r="1730" ht="33.75" customHeight="1">
      <c r="A1730" s="65" t="s">
        <v>2918</v>
      </c>
      <c r="B1730" s="215" t="s">
        <v>2905</v>
      </c>
      <c r="C1730" s="215" t="s">
        <v>2906</v>
      </c>
      <c r="D1730" s="215" t="s">
        <v>2915</v>
      </c>
      <c r="E1730" s="215" t="s">
        <v>2916</v>
      </c>
      <c r="F1730" s="65" t="s">
        <v>2684</v>
      </c>
      <c r="G1730" s="65" t="s">
        <v>168</v>
      </c>
      <c r="H1730" s="65" t="s">
        <v>168</v>
      </c>
      <c r="I1730" s="65"/>
      <c r="J1730" s="65" t="s">
        <v>9</v>
      </c>
      <c r="K1730" s="65" t="s">
        <v>9</v>
      </c>
      <c r="L1730" s="128">
        <v>1.5</v>
      </c>
      <c r="M1730" s="129">
        <f t="shared" si="1092"/>
        <v>2.75</v>
      </c>
      <c r="N1730" s="128">
        <v>4.0</v>
      </c>
      <c r="O1730" s="129">
        <f t="shared" si="1095"/>
        <v>2.75</v>
      </c>
      <c r="P1730" s="159">
        <v>0.15</v>
      </c>
      <c r="Q1730" s="208">
        <f t="shared" si="1096"/>
        <v>3.1625</v>
      </c>
      <c r="R1730" s="132">
        <v>4.0</v>
      </c>
      <c r="S1730" s="132">
        <v>2.0</v>
      </c>
      <c r="T1730" s="65" t="s">
        <v>32</v>
      </c>
      <c r="U1730" s="26"/>
      <c r="V1730" s="26"/>
      <c r="W1730" s="26"/>
      <c r="X1730" s="26"/>
      <c r="Y1730" s="26"/>
      <c r="Z1730" s="26"/>
      <c r="AA1730" s="26"/>
      <c r="AB1730" s="26"/>
      <c r="AC1730" s="26"/>
    </row>
    <row r="1731" ht="33.75" customHeight="1">
      <c r="A1731" s="65" t="s">
        <v>2919</v>
      </c>
      <c r="B1731" s="215" t="s">
        <v>2905</v>
      </c>
      <c r="C1731" s="215" t="s">
        <v>2906</v>
      </c>
      <c r="D1731" s="215" t="s">
        <v>2915</v>
      </c>
      <c r="E1731" s="215" t="s">
        <v>2916</v>
      </c>
      <c r="F1731" s="65" t="s">
        <v>2684</v>
      </c>
      <c r="G1731" s="65" t="s">
        <v>168</v>
      </c>
      <c r="H1731" s="65" t="s">
        <v>168</v>
      </c>
      <c r="I1731" s="65"/>
      <c r="J1731" s="65" t="s">
        <v>9</v>
      </c>
      <c r="K1731" s="65" t="s">
        <v>9</v>
      </c>
      <c r="L1731" s="128">
        <v>0.5</v>
      </c>
      <c r="M1731" s="129">
        <f t="shared" si="1092"/>
        <v>1</v>
      </c>
      <c r="N1731" s="128">
        <v>1.5</v>
      </c>
      <c r="O1731" s="129">
        <f t="shared" si="1095"/>
        <v>1</v>
      </c>
      <c r="P1731" s="159">
        <v>0.1</v>
      </c>
      <c r="Q1731" s="208">
        <f t="shared" si="1096"/>
        <v>1.1</v>
      </c>
      <c r="R1731" s="132">
        <v>4.0</v>
      </c>
      <c r="S1731" s="132">
        <v>2.0</v>
      </c>
      <c r="T1731" s="65" t="s">
        <v>70</v>
      </c>
      <c r="U1731" s="26"/>
      <c r="V1731" s="26"/>
      <c r="W1731" s="26"/>
      <c r="X1731" s="26"/>
      <c r="Y1731" s="26"/>
      <c r="Z1731" s="26"/>
      <c r="AA1731" s="26"/>
      <c r="AB1731" s="26"/>
      <c r="AC1731" s="26"/>
    </row>
    <row r="1732" ht="33.75" customHeight="1">
      <c r="A1732" s="54" t="s">
        <v>2920</v>
      </c>
      <c r="B1732" s="209" t="s">
        <v>2905</v>
      </c>
      <c r="C1732" s="209" t="s">
        <v>2906</v>
      </c>
      <c r="D1732" s="209" t="s">
        <v>2921</v>
      </c>
      <c r="E1732" s="209" t="s">
        <v>2922</v>
      </c>
      <c r="F1732" s="54" t="s">
        <v>2923</v>
      </c>
      <c r="G1732" s="54" t="s">
        <v>168</v>
      </c>
      <c r="H1732" s="54" t="s">
        <v>168</v>
      </c>
      <c r="I1732" s="54"/>
      <c r="J1732" s="54" t="s">
        <v>9</v>
      </c>
      <c r="K1732" s="54" t="s">
        <v>9</v>
      </c>
      <c r="L1732" s="202">
        <f>IF(COUNT(L1733:N1735)=0,"",SUM(L1733:L1735))</f>
        <v>1.5</v>
      </c>
      <c r="M1732" s="174">
        <f t="shared" si="1092"/>
        <v>3</v>
      </c>
      <c r="N1732" s="202">
        <f>IF(COUNT(L1733:N1735)=0,"",SUM(N1733:N1735))</f>
        <v>4.5</v>
      </c>
      <c r="O1732" s="202">
        <f>IF(COUNT(O1733:O1735)=0,"",SUM(O1733:O1735))</f>
        <v>3</v>
      </c>
      <c r="P1732" s="210"/>
      <c r="Q1732" s="202">
        <f>IF(COUNT(Q1733:Q1735)=0,"",SUM(Q1733:Q1735))</f>
        <v>3.35625</v>
      </c>
      <c r="R1732" s="163"/>
      <c r="S1732" s="163"/>
      <c r="T1732" s="54" t="s">
        <v>65</v>
      </c>
      <c r="U1732" s="26"/>
      <c r="V1732" s="26"/>
      <c r="W1732" s="26"/>
      <c r="X1732" s="105"/>
      <c r="Y1732" s="105"/>
      <c r="Z1732" s="105"/>
      <c r="AA1732" s="105"/>
      <c r="AB1732" s="105"/>
      <c r="AC1732" s="105"/>
    </row>
    <row r="1733" ht="33.75" customHeight="1">
      <c r="A1733" s="65" t="s">
        <v>2924</v>
      </c>
      <c r="B1733" s="215" t="s">
        <v>2905</v>
      </c>
      <c r="C1733" s="215" t="s">
        <v>2906</v>
      </c>
      <c r="D1733" s="215" t="s">
        <v>2921</v>
      </c>
      <c r="E1733" s="215" t="s">
        <v>2922</v>
      </c>
      <c r="F1733" s="65" t="s">
        <v>2923</v>
      </c>
      <c r="G1733" s="65" t="s">
        <v>168</v>
      </c>
      <c r="H1733" s="65" t="s">
        <v>168</v>
      </c>
      <c r="I1733" s="65"/>
      <c r="J1733" s="65" t="s">
        <v>9</v>
      </c>
      <c r="K1733" s="65" t="s">
        <v>9</v>
      </c>
      <c r="L1733" s="128">
        <v>0.25</v>
      </c>
      <c r="M1733" s="129">
        <f t="shared" si="1092"/>
        <v>0.625</v>
      </c>
      <c r="N1733" s="128">
        <v>1.0</v>
      </c>
      <c r="O1733" s="129">
        <f t="shared" ref="O1733:O1735" si="1097">IF(COUNT(L1733:N1733)=0,"",(L1733+4*M1733+N1733)/6)</f>
        <v>0.625</v>
      </c>
      <c r="P1733" s="159">
        <v>0.05</v>
      </c>
      <c r="Q1733" s="208">
        <f t="shared" ref="Q1733:Q1735" si="1098">IF(O1733="","",IF(P1733="",O1733,O1733*(1+P1733)))</f>
        <v>0.65625</v>
      </c>
      <c r="R1733" s="132">
        <v>5.0</v>
      </c>
      <c r="S1733" s="132">
        <v>1.0</v>
      </c>
      <c r="T1733" s="65" t="s">
        <v>31</v>
      </c>
      <c r="U1733" s="26"/>
      <c r="V1733" s="26"/>
      <c r="W1733" s="26"/>
      <c r="X1733" s="26"/>
      <c r="Y1733" s="26"/>
      <c r="Z1733" s="26"/>
      <c r="AA1733" s="26"/>
      <c r="AB1733" s="26"/>
      <c r="AC1733" s="26"/>
    </row>
    <row r="1734" ht="33.75" customHeight="1">
      <c r="A1734" s="65" t="s">
        <v>2925</v>
      </c>
      <c r="B1734" s="215" t="s">
        <v>2905</v>
      </c>
      <c r="C1734" s="215" t="s">
        <v>2906</v>
      </c>
      <c r="D1734" s="215" t="s">
        <v>2921</v>
      </c>
      <c r="E1734" s="215" t="s">
        <v>2922</v>
      </c>
      <c r="F1734" s="65" t="s">
        <v>2923</v>
      </c>
      <c r="G1734" s="65" t="s">
        <v>168</v>
      </c>
      <c r="H1734" s="65" t="s">
        <v>168</v>
      </c>
      <c r="I1734" s="65"/>
      <c r="J1734" s="65" t="s">
        <v>9</v>
      </c>
      <c r="K1734" s="65" t="s">
        <v>9</v>
      </c>
      <c r="L1734" s="128">
        <v>1.0</v>
      </c>
      <c r="M1734" s="129">
        <f t="shared" si="1092"/>
        <v>1.75</v>
      </c>
      <c r="N1734" s="128">
        <v>2.5</v>
      </c>
      <c r="O1734" s="129">
        <f t="shared" si="1097"/>
        <v>1.75</v>
      </c>
      <c r="P1734" s="159">
        <v>0.15</v>
      </c>
      <c r="Q1734" s="208">
        <f t="shared" si="1098"/>
        <v>2.0125</v>
      </c>
      <c r="R1734" s="132">
        <v>4.0</v>
      </c>
      <c r="S1734" s="132">
        <v>2.0</v>
      </c>
      <c r="T1734" s="65" t="s">
        <v>32</v>
      </c>
      <c r="U1734" s="26"/>
      <c r="V1734" s="26"/>
      <c r="W1734" s="26"/>
      <c r="X1734" s="26"/>
      <c r="Y1734" s="26"/>
      <c r="Z1734" s="26"/>
      <c r="AA1734" s="26"/>
      <c r="AB1734" s="26"/>
      <c r="AC1734" s="26"/>
    </row>
    <row r="1735" ht="33.75" customHeight="1">
      <c r="A1735" s="65" t="s">
        <v>2926</v>
      </c>
      <c r="B1735" s="215" t="s">
        <v>2905</v>
      </c>
      <c r="C1735" s="215" t="s">
        <v>2906</v>
      </c>
      <c r="D1735" s="215" t="s">
        <v>2921</v>
      </c>
      <c r="E1735" s="215" t="s">
        <v>2922</v>
      </c>
      <c r="F1735" s="65" t="s">
        <v>2923</v>
      </c>
      <c r="G1735" s="65" t="s">
        <v>168</v>
      </c>
      <c r="H1735" s="65" t="s">
        <v>168</v>
      </c>
      <c r="I1735" s="65"/>
      <c r="J1735" s="65" t="s">
        <v>9</v>
      </c>
      <c r="K1735" s="65" t="s">
        <v>9</v>
      </c>
      <c r="L1735" s="128">
        <v>0.25</v>
      </c>
      <c r="M1735" s="129">
        <f t="shared" si="1092"/>
        <v>0.625</v>
      </c>
      <c r="N1735" s="128">
        <v>1.0</v>
      </c>
      <c r="O1735" s="129">
        <f t="shared" si="1097"/>
        <v>0.625</v>
      </c>
      <c r="P1735" s="159">
        <v>0.1</v>
      </c>
      <c r="Q1735" s="208">
        <f t="shared" si="1098"/>
        <v>0.6875</v>
      </c>
      <c r="R1735" s="132">
        <v>4.0</v>
      </c>
      <c r="S1735" s="132">
        <v>2.0</v>
      </c>
      <c r="T1735" s="65" t="s">
        <v>70</v>
      </c>
      <c r="U1735" s="26"/>
      <c r="V1735" s="26"/>
      <c r="W1735" s="26"/>
      <c r="X1735" s="26"/>
      <c r="Y1735" s="26"/>
      <c r="Z1735" s="26"/>
      <c r="AA1735" s="26"/>
      <c r="AB1735" s="26"/>
      <c r="AC1735" s="26"/>
    </row>
    <row r="1736" ht="33.75" customHeight="1">
      <c r="A1736" s="54" t="s">
        <v>2927</v>
      </c>
      <c r="B1736" s="209" t="s">
        <v>2905</v>
      </c>
      <c r="C1736" s="209" t="s">
        <v>2906</v>
      </c>
      <c r="D1736" s="209" t="s">
        <v>2928</v>
      </c>
      <c r="E1736" s="209" t="s">
        <v>2929</v>
      </c>
      <c r="F1736" s="54" t="s">
        <v>2930</v>
      </c>
      <c r="G1736" s="54" t="s">
        <v>168</v>
      </c>
      <c r="H1736" s="54" t="s">
        <v>168</v>
      </c>
      <c r="I1736" s="54"/>
      <c r="J1736" s="54" t="s">
        <v>9</v>
      </c>
      <c r="K1736" s="54" t="s">
        <v>9</v>
      </c>
      <c r="L1736" s="202">
        <f>IF(COUNT(L1737:N1739)=0,"",SUM(L1737:L1739))</f>
        <v>1.5</v>
      </c>
      <c r="M1736" s="174">
        <f t="shared" si="1092"/>
        <v>3</v>
      </c>
      <c r="N1736" s="202">
        <f>IF(COUNT(L1737:N1739)=0,"",SUM(N1737:N1739))</f>
        <v>4.5</v>
      </c>
      <c r="O1736" s="202">
        <f>IF(COUNT(O1737:O1739)=0,"",SUM(O1737:O1739))</f>
        <v>3</v>
      </c>
      <c r="P1736" s="210"/>
      <c r="Q1736" s="202">
        <f>IF(COUNT(Q1737:Q1739)=0,"",SUM(Q1737:Q1739))</f>
        <v>3.35625</v>
      </c>
      <c r="R1736" s="163"/>
      <c r="S1736" s="163"/>
      <c r="T1736" s="54" t="s">
        <v>65</v>
      </c>
      <c r="U1736" s="26"/>
      <c r="V1736" s="26"/>
      <c r="W1736" s="26"/>
      <c r="X1736" s="105"/>
      <c r="Y1736" s="105"/>
      <c r="Z1736" s="105"/>
      <c r="AA1736" s="105"/>
      <c r="AB1736" s="105"/>
      <c r="AC1736" s="105"/>
    </row>
    <row r="1737" ht="33.75" customHeight="1">
      <c r="A1737" s="65" t="s">
        <v>2931</v>
      </c>
      <c r="B1737" s="215" t="s">
        <v>2905</v>
      </c>
      <c r="C1737" s="215" t="s">
        <v>2906</v>
      </c>
      <c r="D1737" s="215" t="s">
        <v>2928</v>
      </c>
      <c r="E1737" s="215" t="s">
        <v>2929</v>
      </c>
      <c r="F1737" s="65" t="s">
        <v>2930</v>
      </c>
      <c r="G1737" s="65" t="s">
        <v>168</v>
      </c>
      <c r="H1737" s="65" t="s">
        <v>168</v>
      </c>
      <c r="I1737" s="65"/>
      <c r="J1737" s="65" t="s">
        <v>9</v>
      </c>
      <c r="K1737" s="65" t="s">
        <v>9</v>
      </c>
      <c r="L1737" s="128">
        <v>0.25</v>
      </c>
      <c r="M1737" s="129">
        <f t="shared" si="1092"/>
        <v>0.625</v>
      </c>
      <c r="N1737" s="128">
        <v>1.0</v>
      </c>
      <c r="O1737" s="129">
        <f t="shared" ref="O1737:O1739" si="1099">IF(COUNT(L1737:N1737)=0,"",(L1737+4*M1737+N1737)/6)</f>
        <v>0.625</v>
      </c>
      <c r="P1737" s="159">
        <v>0.05</v>
      </c>
      <c r="Q1737" s="208">
        <f t="shared" ref="Q1737:Q1739" si="1100">IF(O1737="","",IF(P1737="",O1737,O1737*(1+P1737)))</f>
        <v>0.65625</v>
      </c>
      <c r="R1737" s="132">
        <v>5.0</v>
      </c>
      <c r="S1737" s="132">
        <v>1.0</v>
      </c>
      <c r="T1737" s="65" t="s">
        <v>31</v>
      </c>
      <c r="U1737" s="26"/>
      <c r="V1737" s="26"/>
      <c r="W1737" s="26"/>
      <c r="X1737" s="26"/>
      <c r="Y1737" s="26"/>
      <c r="Z1737" s="26"/>
      <c r="AA1737" s="26"/>
      <c r="AB1737" s="26"/>
      <c r="AC1737" s="26"/>
    </row>
    <row r="1738" ht="33.75" customHeight="1">
      <c r="A1738" s="65" t="s">
        <v>2932</v>
      </c>
      <c r="B1738" s="215" t="s">
        <v>2905</v>
      </c>
      <c r="C1738" s="215" t="s">
        <v>2906</v>
      </c>
      <c r="D1738" s="215" t="s">
        <v>2928</v>
      </c>
      <c r="E1738" s="215" t="s">
        <v>2929</v>
      </c>
      <c r="F1738" s="65" t="s">
        <v>2930</v>
      </c>
      <c r="G1738" s="65" t="s">
        <v>168</v>
      </c>
      <c r="H1738" s="65" t="s">
        <v>168</v>
      </c>
      <c r="I1738" s="65"/>
      <c r="J1738" s="65" t="s">
        <v>9</v>
      </c>
      <c r="K1738" s="65" t="s">
        <v>9</v>
      </c>
      <c r="L1738" s="128">
        <v>1.0</v>
      </c>
      <c r="M1738" s="129">
        <f t="shared" si="1092"/>
        <v>1.75</v>
      </c>
      <c r="N1738" s="128">
        <v>2.5</v>
      </c>
      <c r="O1738" s="129">
        <f t="shared" si="1099"/>
        <v>1.75</v>
      </c>
      <c r="P1738" s="159">
        <v>0.15</v>
      </c>
      <c r="Q1738" s="208">
        <f t="shared" si="1100"/>
        <v>2.0125</v>
      </c>
      <c r="R1738" s="132">
        <v>4.0</v>
      </c>
      <c r="S1738" s="132">
        <v>2.0</v>
      </c>
      <c r="T1738" s="65" t="s">
        <v>32</v>
      </c>
      <c r="U1738" s="26"/>
      <c r="V1738" s="26"/>
      <c r="W1738" s="26"/>
      <c r="X1738" s="26"/>
      <c r="Y1738" s="26"/>
      <c r="Z1738" s="26"/>
      <c r="AA1738" s="26"/>
      <c r="AB1738" s="26"/>
      <c r="AC1738" s="26"/>
    </row>
    <row r="1739" ht="33.75" customHeight="1">
      <c r="A1739" s="65" t="s">
        <v>2933</v>
      </c>
      <c r="B1739" s="215" t="s">
        <v>2905</v>
      </c>
      <c r="C1739" s="215" t="s">
        <v>2906</v>
      </c>
      <c r="D1739" s="215" t="s">
        <v>2928</v>
      </c>
      <c r="E1739" s="215" t="s">
        <v>2929</v>
      </c>
      <c r="F1739" s="65" t="s">
        <v>2930</v>
      </c>
      <c r="G1739" s="65" t="s">
        <v>168</v>
      </c>
      <c r="H1739" s="65" t="s">
        <v>168</v>
      </c>
      <c r="I1739" s="65"/>
      <c r="J1739" s="65" t="s">
        <v>9</v>
      </c>
      <c r="K1739" s="65" t="s">
        <v>9</v>
      </c>
      <c r="L1739" s="128">
        <v>0.25</v>
      </c>
      <c r="M1739" s="129">
        <f t="shared" si="1092"/>
        <v>0.625</v>
      </c>
      <c r="N1739" s="128">
        <v>1.0</v>
      </c>
      <c r="O1739" s="129">
        <f t="shared" si="1099"/>
        <v>0.625</v>
      </c>
      <c r="P1739" s="159">
        <v>0.1</v>
      </c>
      <c r="Q1739" s="208">
        <f t="shared" si="1100"/>
        <v>0.6875</v>
      </c>
      <c r="R1739" s="132">
        <v>4.0</v>
      </c>
      <c r="S1739" s="132">
        <v>2.0</v>
      </c>
      <c r="T1739" s="65" t="s">
        <v>70</v>
      </c>
      <c r="U1739" s="26"/>
      <c r="V1739" s="26"/>
      <c r="W1739" s="26"/>
      <c r="X1739" s="26"/>
      <c r="Y1739" s="26"/>
      <c r="Z1739" s="26"/>
      <c r="AA1739" s="26"/>
      <c r="AB1739" s="26"/>
      <c r="AC1739" s="26"/>
    </row>
    <row r="1740" ht="33.75" customHeight="1">
      <c r="A1740" s="54" t="s">
        <v>2934</v>
      </c>
      <c r="B1740" s="209" t="s">
        <v>2905</v>
      </c>
      <c r="C1740" s="209" t="s">
        <v>2906</v>
      </c>
      <c r="D1740" s="209" t="s">
        <v>2935</v>
      </c>
      <c r="E1740" s="209" t="s">
        <v>2936</v>
      </c>
      <c r="F1740" s="54" t="s">
        <v>2930</v>
      </c>
      <c r="G1740" s="54" t="s">
        <v>168</v>
      </c>
      <c r="H1740" s="54" t="s">
        <v>168</v>
      </c>
      <c r="I1740" s="54"/>
      <c r="J1740" s="54" t="s">
        <v>9</v>
      </c>
      <c r="K1740" s="54" t="s">
        <v>9</v>
      </c>
      <c r="L1740" s="202">
        <f>IF(COUNT(L1741:N1743)=0,"",SUM(L1741:L1743))</f>
        <v>1.25</v>
      </c>
      <c r="M1740" s="174">
        <f t="shared" si="1092"/>
        <v>2.875</v>
      </c>
      <c r="N1740" s="202">
        <f>IF(COUNT(L1741:N1743)=0,"",SUM(N1741:N1743))</f>
        <v>4.5</v>
      </c>
      <c r="O1740" s="202">
        <f>IF(COUNT(O1741:O1743)=0,"",SUM(O1741:O1743))</f>
        <v>2.875</v>
      </c>
      <c r="P1740" s="210"/>
      <c r="Q1740" s="202">
        <f>IF(COUNT(Q1741:Q1743)=0,"",SUM(Q1741:Q1743))</f>
        <v>3.2125</v>
      </c>
      <c r="R1740" s="163"/>
      <c r="S1740" s="163"/>
      <c r="T1740" s="54" t="s">
        <v>65</v>
      </c>
      <c r="U1740" s="26"/>
      <c r="V1740" s="26"/>
      <c r="W1740" s="26"/>
      <c r="X1740" s="105"/>
      <c r="Y1740" s="105"/>
      <c r="Z1740" s="105"/>
      <c r="AA1740" s="105"/>
      <c r="AB1740" s="105"/>
      <c r="AC1740" s="105"/>
    </row>
    <row r="1741" ht="33.75" customHeight="1">
      <c r="A1741" s="65" t="s">
        <v>2937</v>
      </c>
      <c r="B1741" s="215" t="s">
        <v>2905</v>
      </c>
      <c r="C1741" s="215" t="s">
        <v>2906</v>
      </c>
      <c r="D1741" s="215" t="s">
        <v>2935</v>
      </c>
      <c r="E1741" s="215" t="s">
        <v>2936</v>
      </c>
      <c r="F1741" s="65" t="s">
        <v>2930</v>
      </c>
      <c r="G1741" s="65" t="s">
        <v>168</v>
      </c>
      <c r="H1741" s="65" t="s">
        <v>168</v>
      </c>
      <c r="I1741" s="65"/>
      <c r="J1741" s="65" t="s">
        <v>9</v>
      </c>
      <c r="K1741" s="65" t="s">
        <v>9</v>
      </c>
      <c r="L1741" s="128">
        <v>0.25</v>
      </c>
      <c r="M1741" s="129">
        <f t="shared" si="1092"/>
        <v>0.625</v>
      </c>
      <c r="N1741" s="128">
        <v>1.0</v>
      </c>
      <c r="O1741" s="129">
        <f t="shared" ref="O1741:O1743" si="1101">IF(COUNT(L1741:N1741)=0,"",(L1741+4*M1741+N1741)/6)</f>
        <v>0.625</v>
      </c>
      <c r="P1741" s="159">
        <v>0.05</v>
      </c>
      <c r="Q1741" s="208">
        <f t="shared" ref="Q1741:Q1743" si="1102">IF(O1741="","",IF(P1741="",O1741,O1741*(1+P1741)))</f>
        <v>0.65625</v>
      </c>
      <c r="R1741" s="132">
        <v>5.0</v>
      </c>
      <c r="S1741" s="132">
        <v>1.0</v>
      </c>
      <c r="T1741" s="65" t="s">
        <v>31</v>
      </c>
      <c r="U1741" s="26"/>
      <c r="V1741" s="26"/>
      <c r="W1741" s="26"/>
      <c r="X1741" s="26"/>
      <c r="Y1741" s="26"/>
      <c r="Z1741" s="26"/>
      <c r="AA1741" s="26"/>
      <c r="AB1741" s="26"/>
      <c r="AC1741" s="26"/>
    </row>
    <row r="1742" ht="33.75" customHeight="1">
      <c r="A1742" s="65" t="s">
        <v>2938</v>
      </c>
      <c r="B1742" s="215" t="s">
        <v>2905</v>
      </c>
      <c r="C1742" s="215" t="s">
        <v>2906</v>
      </c>
      <c r="D1742" s="215" t="s">
        <v>2935</v>
      </c>
      <c r="E1742" s="215" t="s">
        <v>2936</v>
      </c>
      <c r="F1742" s="65" t="s">
        <v>2930</v>
      </c>
      <c r="G1742" s="65" t="s">
        <v>168</v>
      </c>
      <c r="H1742" s="65" t="s">
        <v>168</v>
      </c>
      <c r="I1742" s="65"/>
      <c r="J1742" s="65" t="s">
        <v>9</v>
      </c>
      <c r="K1742" s="65" t="s">
        <v>9</v>
      </c>
      <c r="L1742" s="128">
        <v>0.75</v>
      </c>
      <c r="M1742" s="129">
        <f t="shared" si="1092"/>
        <v>1.625</v>
      </c>
      <c r="N1742" s="128">
        <v>2.5</v>
      </c>
      <c r="O1742" s="129">
        <f t="shared" si="1101"/>
        <v>1.625</v>
      </c>
      <c r="P1742" s="159">
        <v>0.15</v>
      </c>
      <c r="Q1742" s="208">
        <f t="shared" si="1102"/>
        <v>1.86875</v>
      </c>
      <c r="R1742" s="132">
        <v>4.0</v>
      </c>
      <c r="S1742" s="132">
        <v>2.0</v>
      </c>
      <c r="T1742" s="65" t="s">
        <v>32</v>
      </c>
      <c r="U1742" s="26"/>
      <c r="V1742" s="26"/>
      <c r="W1742" s="26"/>
      <c r="X1742" s="26"/>
      <c r="Y1742" s="26"/>
      <c r="Z1742" s="26"/>
      <c r="AA1742" s="26"/>
      <c r="AB1742" s="26"/>
      <c r="AC1742" s="26"/>
    </row>
    <row r="1743" ht="33.75" customHeight="1">
      <c r="A1743" s="65" t="s">
        <v>2939</v>
      </c>
      <c r="B1743" s="215" t="s">
        <v>2905</v>
      </c>
      <c r="C1743" s="215" t="s">
        <v>2906</v>
      </c>
      <c r="D1743" s="215" t="s">
        <v>2935</v>
      </c>
      <c r="E1743" s="215" t="s">
        <v>2936</v>
      </c>
      <c r="F1743" s="65" t="s">
        <v>2930</v>
      </c>
      <c r="G1743" s="65" t="s">
        <v>168</v>
      </c>
      <c r="H1743" s="65" t="s">
        <v>168</v>
      </c>
      <c r="I1743" s="65"/>
      <c r="J1743" s="65" t="s">
        <v>9</v>
      </c>
      <c r="K1743" s="65" t="s">
        <v>9</v>
      </c>
      <c r="L1743" s="128">
        <v>0.25</v>
      </c>
      <c r="M1743" s="129">
        <f t="shared" si="1092"/>
        <v>0.625</v>
      </c>
      <c r="N1743" s="128">
        <v>1.0</v>
      </c>
      <c r="O1743" s="129">
        <f t="shared" si="1101"/>
        <v>0.625</v>
      </c>
      <c r="P1743" s="159">
        <v>0.1</v>
      </c>
      <c r="Q1743" s="208">
        <f t="shared" si="1102"/>
        <v>0.6875</v>
      </c>
      <c r="R1743" s="132">
        <v>4.0</v>
      </c>
      <c r="S1743" s="132">
        <v>2.0</v>
      </c>
      <c r="T1743" s="65" t="s">
        <v>70</v>
      </c>
      <c r="U1743" s="26"/>
      <c r="V1743" s="26"/>
      <c r="W1743" s="26"/>
      <c r="X1743" s="26"/>
      <c r="Y1743" s="26"/>
      <c r="Z1743" s="26"/>
      <c r="AA1743" s="26"/>
      <c r="AB1743" s="26"/>
      <c r="AC1743" s="26"/>
    </row>
    <row r="1744" ht="33.75" customHeight="1">
      <c r="A1744" s="54" t="s">
        <v>2940</v>
      </c>
      <c r="B1744" s="209" t="s">
        <v>2905</v>
      </c>
      <c r="C1744" s="209" t="s">
        <v>2906</v>
      </c>
      <c r="D1744" s="209" t="s">
        <v>2941</v>
      </c>
      <c r="E1744" s="209" t="s">
        <v>2942</v>
      </c>
      <c r="F1744" s="54" t="s">
        <v>2943</v>
      </c>
      <c r="G1744" s="54" t="s">
        <v>168</v>
      </c>
      <c r="H1744" s="54" t="s">
        <v>168</v>
      </c>
      <c r="I1744" s="54"/>
      <c r="J1744" s="54" t="s">
        <v>9</v>
      </c>
      <c r="K1744" s="54" t="s">
        <v>9</v>
      </c>
      <c r="L1744" s="202">
        <f>IF(COUNT(L1745:N1747)=0,"",SUM(L1745:L1747))</f>
        <v>2.25</v>
      </c>
      <c r="M1744" s="174">
        <f t="shared" si="1092"/>
        <v>4.375</v>
      </c>
      <c r="N1744" s="202">
        <f>IF(COUNT(L1745:N1747)=0,"",SUM(N1745:N1747))</f>
        <v>6.5</v>
      </c>
      <c r="O1744" s="202">
        <f>IF(COUNT(O1745:O1747)=0,"",SUM(O1745:O1747))</f>
        <v>4.375</v>
      </c>
      <c r="P1744" s="210"/>
      <c r="Q1744" s="202">
        <f>IF(COUNT(Q1745:Q1747)=0,"",SUM(Q1745:Q1747))</f>
        <v>4.9</v>
      </c>
      <c r="R1744" s="163"/>
      <c r="S1744" s="163"/>
      <c r="T1744" s="54" t="s">
        <v>65</v>
      </c>
      <c r="U1744" s="26"/>
      <c r="V1744" s="26"/>
      <c r="W1744" s="26"/>
      <c r="X1744" s="105"/>
      <c r="Y1744" s="105"/>
      <c r="Z1744" s="105"/>
      <c r="AA1744" s="105"/>
      <c r="AB1744" s="105"/>
      <c r="AC1744" s="105"/>
    </row>
    <row r="1745" ht="33.75" customHeight="1">
      <c r="A1745" s="65" t="s">
        <v>2944</v>
      </c>
      <c r="B1745" s="215" t="s">
        <v>2905</v>
      </c>
      <c r="C1745" s="215" t="s">
        <v>2906</v>
      </c>
      <c r="D1745" s="215" t="s">
        <v>2941</v>
      </c>
      <c r="E1745" s="215" t="s">
        <v>2942</v>
      </c>
      <c r="F1745" s="65" t="s">
        <v>2943</v>
      </c>
      <c r="G1745" s="65" t="s">
        <v>168</v>
      </c>
      <c r="H1745" s="65" t="s">
        <v>168</v>
      </c>
      <c r="I1745" s="65"/>
      <c r="J1745" s="65" t="s">
        <v>9</v>
      </c>
      <c r="K1745" s="65" t="s">
        <v>9</v>
      </c>
      <c r="L1745" s="128">
        <v>0.75</v>
      </c>
      <c r="M1745" s="129">
        <f t="shared" si="1092"/>
        <v>1.625</v>
      </c>
      <c r="N1745" s="128">
        <v>2.5</v>
      </c>
      <c r="O1745" s="129">
        <f t="shared" ref="O1745:O1747" si="1103">IF(COUNT(L1745:N1745)=0,"",(L1745+4*M1745+N1745)/6)</f>
        <v>1.625</v>
      </c>
      <c r="P1745" s="159">
        <v>0.1</v>
      </c>
      <c r="Q1745" s="208">
        <f t="shared" ref="Q1745:Q1747" si="1104">IF(O1745="","",IF(P1745="",O1745,O1745*(1+P1745)))</f>
        <v>1.7875</v>
      </c>
      <c r="R1745" s="132">
        <v>4.0</v>
      </c>
      <c r="S1745" s="132">
        <v>2.0</v>
      </c>
      <c r="T1745" s="65" t="s">
        <v>31</v>
      </c>
      <c r="U1745" s="26"/>
      <c r="V1745" s="26"/>
      <c r="W1745" s="26"/>
      <c r="X1745" s="26"/>
      <c r="Y1745" s="26"/>
      <c r="Z1745" s="26"/>
      <c r="AA1745" s="26"/>
      <c r="AB1745" s="26"/>
      <c r="AC1745" s="26"/>
    </row>
    <row r="1746" ht="33.75" customHeight="1">
      <c r="A1746" s="65" t="s">
        <v>2945</v>
      </c>
      <c r="B1746" s="215" t="s">
        <v>2905</v>
      </c>
      <c r="C1746" s="215" t="s">
        <v>2906</v>
      </c>
      <c r="D1746" s="215" t="s">
        <v>2941</v>
      </c>
      <c r="E1746" s="215" t="s">
        <v>2942</v>
      </c>
      <c r="F1746" s="65" t="s">
        <v>2943</v>
      </c>
      <c r="G1746" s="65" t="s">
        <v>168</v>
      </c>
      <c r="H1746" s="65" t="s">
        <v>168</v>
      </c>
      <c r="I1746" s="65"/>
      <c r="J1746" s="65" t="s">
        <v>9</v>
      </c>
      <c r="K1746" s="65" t="s">
        <v>9</v>
      </c>
      <c r="L1746" s="128">
        <v>1.0</v>
      </c>
      <c r="M1746" s="129">
        <f t="shared" si="1092"/>
        <v>1.75</v>
      </c>
      <c r="N1746" s="128">
        <v>2.5</v>
      </c>
      <c r="O1746" s="129">
        <f t="shared" si="1103"/>
        <v>1.75</v>
      </c>
      <c r="P1746" s="159">
        <v>0.15</v>
      </c>
      <c r="Q1746" s="208">
        <f t="shared" si="1104"/>
        <v>2.0125</v>
      </c>
      <c r="R1746" s="132">
        <v>4.0</v>
      </c>
      <c r="S1746" s="132">
        <v>2.0</v>
      </c>
      <c r="T1746" s="65" t="s">
        <v>32</v>
      </c>
      <c r="U1746" s="26"/>
      <c r="V1746" s="26"/>
      <c r="W1746" s="26"/>
      <c r="X1746" s="26"/>
      <c r="Y1746" s="26"/>
      <c r="Z1746" s="26"/>
      <c r="AA1746" s="26"/>
      <c r="AB1746" s="26"/>
      <c r="AC1746" s="26"/>
    </row>
    <row r="1747" ht="33.75" customHeight="1">
      <c r="A1747" s="65" t="s">
        <v>2946</v>
      </c>
      <c r="B1747" s="215" t="s">
        <v>2905</v>
      </c>
      <c r="C1747" s="215" t="s">
        <v>2906</v>
      </c>
      <c r="D1747" s="215" t="s">
        <v>2941</v>
      </c>
      <c r="E1747" s="215" t="s">
        <v>2942</v>
      </c>
      <c r="F1747" s="65" t="s">
        <v>2943</v>
      </c>
      <c r="G1747" s="65" t="s">
        <v>168</v>
      </c>
      <c r="H1747" s="65" t="s">
        <v>168</v>
      </c>
      <c r="I1747" s="65"/>
      <c r="J1747" s="65" t="s">
        <v>9</v>
      </c>
      <c r="K1747" s="65" t="s">
        <v>9</v>
      </c>
      <c r="L1747" s="128">
        <v>0.5</v>
      </c>
      <c r="M1747" s="129">
        <f t="shared" si="1092"/>
        <v>1</v>
      </c>
      <c r="N1747" s="128">
        <v>1.5</v>
      </c>
      <c r="O1747" s="129">
        <f t="shared" si="1103"/>
        <v>1</v>
      </c>
      <c r="P1747" s="159">
        <v>0.1</v>
      </c>
      <c r="Q1747" s="208">
        <f t="shared" si="1104"/>
        <v>1.1</v>
      </c>
      <c r="R1747" s="132">
        <v>4.0</v>
      </c>
      <c r="S1747" s="132">
        <v>2.0</v>
      </c>
      <c r="T1747" s="65" t="s">
        <v>70</v>
      </c>
      <c r="U1747" s="26"/>
      <c r="V1747" s="26"/>
      <c r="W1747" s="26"/>
      <c r="X1747" s="26"/>
      <c r="Y1747" s="26"/>
      <c r="Z1747" s="26"/>
      <c r="AA1747" s="26"/>
      <c r="AB1747" s="26"/>
      <c r="AC1747" s="26"/>
    </row>
    <row r="1748" ht="33.75" customHeight="1">
      <c r="A1748" s="54" t="s">
        <v>2947</v>
      </c>
      <c r="B1748" s="209" t="s">
        <v>2905</v>
      </c>
      <c r="C1748" s="209" t="s">
        <v>2906</v>
      </c>
      <c r="D1748" s="209" t="s">
        <v>2948</v>
      </c>
      <c r="E1748" s="209" t="s">
        <v>2949</v>
      </c>
      <c r="F1748" s="54" t="s">
        <v>2914</v>
      </c>
      <c r="G1748" s="54" t="s">
        <v>168</v>
      </c>
      <c r="H1748" s="54" t="s">
        <v>168</v>
      </c>
      <c r="I1748" s="54"/>
      <c r="J1748" s="54" t="s">
        <v>9</v>
      </c>
      <c r="K1748" s="54" t="s">
        <v>9</v>
      </c>
      <c r="L1748" s="202">
        <f>IF(COUNT(L1749:N1751)=0,"",SUM(L1749:L1751))</f>
        <v>2</v>
      </c>
      <c r="M1748" s="174">
        <f t="shared" si="1092"/>
        <v>4.25</v>
      </c>
      <c r="N1748" s="202">
        <f>IF(COUNT(L1749:N1751)=0,"",SUM(N1749:N1751))</f>
        <v>6.5</v>
      </c>
      <c r="O1748" s="202">
        <f>IF(COUNT(O1749:O1751)=0,"",SUM(O1749:O1751))</f>
        <v>4.25</v>
      </c>
      <c r="P1748" s="210"/>
      <c r="Q1748" s="202">
        <f>IF(COUNT(Q1749:Q1751)=0,"",SUM(Q1749:Q1751))</f>
        <v>4.75625</v>
      </c>
      <c r="R1748" s="163"/>
      <c r="S1748" s="163"/>
      <c r="T1748" s="54" t="s">
        <v>65</v>
      </c>
      <c r="U1748" s="26"/>
      <c r="V1748" s="26"/>
      <c r="W1748" s="26"/>
      <c r="X1748" s="105"/>
      <c r="Y1748" s="105"/>
      <c r="Z1748" s="105"/>
      <c r="AA1748" s="105"/>
      <c r="AB1748" s="105"/>
      <c r="AC1748" s="105"/>
    </row>
    <row r="1749" ht="33.75" customHeight="1">
      <c r="A1749" s="65" t="s">
        <v>2950</v>
      </c>
      <c r="B1749" s="215" t="s">
        <v>2905</v>
      </c>
      <c r="C1749" s="215" t="s">
        <v>2906</v>
      </c>
      <c r="D1749" s="215" t="s">
        <v>2948</v>
      </c>
      <c r="E1749" s="215" t="s">
        <v>2949</v>
      </c>
      <c r="F1749" s="65" t="s">
        <v>2914</v>
      </c>
      <c r="G1749" s="65" t="s">
        <v>168</v>
      </c>
      <c r="H1749" s="65" t="s">
        <v>168</v>
      </c>
      <c r="I1749" s="65"/>
      <c r="J1749" s="65" t="s">
        <v>9</v>
      </c>
      <c r="K1749" s="65" t="s">
        <v>9</v>
      </c>
      <c r="L1749" s="128">
        <v>0.75</v>
      </c>
      <c r="M1749" s="129">
        <f t="shared" si="1092"/>
        <v>1.625</v>
      </c>
      <c r="N1749" s="128">
        <v>2.5</v>
      </c>
      <c r="O1749" s="129">
        <f t="shared" ref="O1749:O1751" si="1105">IF(COUNT(L1749:N1749)=0,"",(L1749+4*M1749+N1749)/6)</f>
        <v>1.625</v>
      </c>
      <c r="P1749" s="159">
        <v>0.1</v>
      </c>
      <c r="Q1749" s="208">
        <f t="shared" ref="Q1749:Q1751" si="1106">IF(O1749="","",IF(P1749="",O1749,O1749*(1+P1749)))</f>
        <v>1.7875</v>
      </c>
      <c r="R1749" s="132">
        <v>4.0</v>
      </c>
      <c r="S1749" s="132">
        <v>2.0</v>
      </c>
      <c r="T1749" s="65" t="s">
        <v>31</v>
      </c>
      <c r="U1749" s="26"/>
      <c r="V1749" s="26"/>
      <c r="W1749" s="26"/>
      <c r="X1749" s="26"/>
      <c r="Y1749" s="26"/>
      <c r="Z1749" s="26"/>
      <c r="AA1749" s="26"/>
      <c r="AB1749" s="26"/>
      <c r="AC1749" s="26"/>
    </row>
    <row r="1750" ht="33.75" customHeight="1">
      <c r="A1750" s="65" t="s">
        <v>2951</v>
      </c>
      <c r="B1750" s="215" t="s">
        <v>2905</v>
      </c>
      <c r="C1750" s="215" t="s">
        <v>2906</v>
      </c>
      <c r="D1750" s="215" t="s">
        <v>2948</v>
      </c>
      <c r="E1750" s="215" t="s">
        <v>2949</v>
      </c>
      <c r="F1750" s="65" t="s">
        <v>2914</v>
      </c>
      <c r="G1750" s="65" t="s">
        <v>168</v>
      </c>
      <c r="H1750" s="65" t="s">
        <v>168</v>
      </c>
      <c r="I1750" s="65"/>
      <c r="J1750" s="65" t="s">
        <v>9</v>
      </c>
      <c r="K1750" s="65" t="s">
        <v>9</v>
      </c>
      <c r="L1750" s="128">
        <v>0.75</v>
      </c>
      <c r="M1750" s="129">
        <f t="shared" si="1092"/>
        <v>1.625</v>
      </c>
      <c r="N1750" s="128">
        <v>2.5</v>
      </c>
      <c r="O1750" s="129">
        <f t="shared" si="1105"/>
        <v>1.625</v>
      </c>
      <c r="P1750" s="159">
        <v>0.15</v>
      </c>
      <c r="Q1750" s="208">
        <f t="shared" si="1106"/>
        <v>1.86875</v>
      </c>
      <c r="R1750" s="132">
        <v>4.0</v>
      </c>
      <c r="S1750" s="132">
        <v>2.0</v>
      </c>
      <c r="T1750" s="65" t="s">
        <v>32</v>
      </c>
      <c r="U1750" s="26"/>
      <c r="V1750" s="26"/>
      <c r="W1750" s="26"/>
      <c r="X1750" s="26"/>
      <c r="Y1750" s="26"/>
      <c r="Z1750" s="26"/>
      <c r="AA1750" s="26"/>
      <c r="AB1750" s="26"/>
      <c r="AC1750" s="26"/>
    </row>
    <row r="1751" ht="33.75" customHeight="1">
      <c r="A1751" s="65" t="s">
        <v>2952</v>
      </c>
      <c r="B1751" s="215" t="s">
        <v>2905</v>
      </c>
      <c r="C1751" s="215" t="s">
        <v>2906</v>
      </c>
      <c r="D1751" s="215" t="s">
        <v>2948</v>
      </c>
      <c r="E1751" s="215" t="s">
        <v>2949</v>
      </c>
      <c r="F1751" s="65" t="s">
        <v>2914</v>
      </c>
      <c r="G1751" s="65" t="s">
        <v>168</v>
      </c>
      <c r="H1751" s="65" t="s">
        <v>168</v>
      </c>
      <c r="I1751" s="65"/>
      <c r="J1751" s="65" t="s">
        <v>9</v>
      </c>
      <c r="K1751" s="65" t="s">
        <v>9</v>
      </c>
      <c r="L1751" s="128">
        <v>0.5</v>
      </c>
      <c r="M1751" s="129">
        <f t="shared" si="1092"/>
        <v>1</v>
      </c>
      <c r="N1751" s="128">
        <v>1.5</v>
      </c>
      <c r="O1751" s="129">
        <f t="shared" si="1105"/>
        <v>1</v>
      </c>
      <c r="P1751" s="159">
        <v>0.1</v>
      </c>
      <c r="Q1751" s="208">
        <f t="shared" si="1106"/>
        <v>1.1</v>
      </c>
      <c r="R1751" s="132">
        <v>4.0</v>
      </c>
      <c r="S1751" s="132">
        <v>2.0</v>
      </c>
      <c r="T1751" s="65" t="s">
        <v>70</v>
      </c>
      <c r="U1751" s="26"/>
      <c r="V1751" s="26"/>
      <c r="W1751" s="26"/>
      <c r="X1751" s="26"/>
      <c r="Y1751" s="26"/>
      <c r="Z1751" s="26"/>
      <c r="AA1751" s="26"/>
      <c r="AB1751" s="26"/>
      <c r="AC1751" s="26"/>
    </row>
    <row r="1752" ht="33.75" customHeight="1">
      <c r="A1752" s="98" t="s">
        <v>2953</v>
      </c>
      <c r="B1752" s="99" t="s">
        <v>2905</v>
      </c>
      <c r="C1752" s="99" t="s">
        <v>2906</v>
      </c>
      <c r="D1752" s="99" t="s">
        <v>2954</v>
      </c>
      <c r="E1752" s="99" t="s">
        <v>2955</v>
      </c>
      <c r="F1752" s="98" t="s">
        <v>2956</v>
      </c>
      <c r="G1752" s="98" t="s">
        <v>168</v>
      </c>
      <c r="H1752" s="98" t="s">
        <v>168</v>
      </c>
      <c r="I1752" s="98"/>
      <c r="J1752" s="98" t="s">
        <v>12</v>
      </c>
      <c r="K1752" s="100" t="s">
        <v>12</v>
      </c>
      <c r="L1752" s="101">
        <f>IF(COUNT(L1753:N1755)=0,"",SUM(L1753:L1755))</f>
        <v>0</v>
      </c>
      <c r="M1752" s="102">
        <f t="shared" si="1092"/>
        <v>0</v>
      </c>
      <c r="N1752" s="101">
        <f>IF(COUNT(L1753:N1755)=0,"",SUM(N1753:N1755))</f>
        <v>0</v>
      </c>
      <c r="O1752" s="101">
        <f>IF(COUNT(O1753:O1755)=0,"",SUM(O1753:O1755))</f>
        <v>0</v>
      </c>
      <c r="P1752" s="103"/>
      <c r="Q1752" s="101">
        <f>IF(COUNT(Q1753:Q1755)=0,"",SUM(Q1753:Q1755))</f>
        <v>0</v>
      </c>
      <c r="R1752" s="104"/>
      <c r="S1752" s="104"/>
      <c r="T1752" s="98" t="s">
        <v>65</v>
      </c>
      <c r="U1752" s="26"/>
      <c r="V1752" s="26"/>
      <c r="W1752" s="26"/>
      <c r="X1752" s="105"/>
      <c r="Y1752" s="105"/>
      <c r="Z1752" s="105"/>
      <c r="AA1752" s="105"/>
      <c r="AB1752" s="105"/>
      <c r="AC1752" s="105"/>
    </row>
    <row r="1753" ht="33.75" customHeight="1">
      <c r="A1753" s="106" t="s">
        <v>2957</v>
      </c>
      <c r="B1753" s="107" t="s">
        <v>2905</v>
      </c>
      <c r="C1753" s="107" t="s">
        <v>2906</v>
      </c>
      <c r="D1753" s="107" t="s">
        <v>2954</v>
      </c>
      <c r="E1753" s="107" t="s">
        <v>2955</v>
      </c>
      <c r="F1753" s="106" t="s">
        <v>2956</v>
      </c>
      <c r="G1753" s="106" t="s">
        <v>168</v>
      </c>
      <c r="H1753" s="106" t="s">
        <v>168</v>
      </c>
      <c r="I1753" s="106"/>
      <c r="J1753" s="106" t="s">
        <v>12</v>
      </c>
      <c r="K1753" s="108" t="s">
        <v>12</v>
      </c>
      <c r="L1753" s="109"/>
      <c r="M1753" s="109">
        <f t="shared" si="1092"/>
        <v>0</v>
      </c>
      <c r="N1753" s="109"/>
      <c r="O1753" s="109">
        <f t="shared" ref="O1753:O1755" si="1107">IF(COUNT(L1753:N1753)=0,"",(L1753+4*M1753+N1753)/6)</f>
        <v>0</v>
      </c>
      <c r="P1753" s="110"/>
      <c r="Q1753" s="109">
        <f t="shared" ref="Q1753:Q1755" si="1108">IF(O1753="","",IF(P1753="",O1753,O1753*(1+P1753)))</f>
        <v>0</v>
      </c>
      <c r="R1753" s="111"/>
      <c r="S1753" s="111"/>
      <c r="T1753" s="106" t="s">
        <v>31</v>
      </c>
      <c r="U1753" s="26"/>
      <c r="V1753" s="26"/>
      <c r="W1753" s="26"/>
      <c r="X1753" s="26"/>
      <c r="Y1753" s="26"/>
      <c r="Z1753" s="26"/>
      <c r="AA1753" s="26"/>
      <c r="AB1753" s="26"/>
      <c r="AC1753" s="26"/>
    </row>
    <row r="1754" ht="33.75" customHeight="1">
      <c r="A1754" s="106" t="s">
        <v>2958</v>
      </c>
      <c r="B1754" s="107" t="s">
        <v>2905</v>
      </c>
      <c r="C1754" s="107" t="s">
        <v>2906</v>
      </c>
      <c r="D1754" s="107" t="s">
        <v>2954</v>
      </c>
      <c r="E1754" s="107" t="s">
        <v>2955</v>
      </c>
      <c r="F1754" s="106" t="s">
        <v>2956</v>
      </c>
      <c r="G1754" s="106" t="s">
        <v>168</v>
      </c>
      <c r="H1754" s="106" t="s">
        <v>168</v>
      </c>
      <c r="I1754" s="106"/>
      <c r="J1754" s="106" t="s">
        <v>12</v>
      </c>
      <c r="K1754" s="108" t="s">
        <v>12</v>
      </c>
      <c r="L1754" s="109"/>
      <c r="M1754" s="109">
        <f t="shared" si="1092"/>
        <v>0</v>
      </c>
      <c r="N1754" s="109"/>
      <c r="O1754" s="109">
        <f t="shared" si="1107"/>
        <v>0</v>
      </c>
      <c r="P1754" s="110"/>
      <c r="Q1754" s="109">
        <f t="shared" si="1108"/>
        <v>0</v>
      </c>
      <c r="R1754" s="111"/>
      <c r="S1754" s="111"/>
      <c r="T1754" s="106" t="s">
        <v>32</v>
      </c>
      <c r="U1754" s="26"/>
      <c r="V1754" s="26"/>
      <c r="W1754" s="26"/>
      <c r="X1754" s="26"/>
      <c r="Y1754" s="26"/>
      <c r="Z1754" s="26"/>
      <c r="AA1754" s="26"/>
      <c r="AB1754" s="26"/>
      <c r="AC1754" s="26"/>
    </row>
    <row r="1755" ht="33.75" customHeight="1">
      <c r="A1755" s="106" t="s">
        <v>2959</v>
      </c>
      <c r="B1755" s="107" t="s">
        <v>2905</v>
      </c>
      <c r="C1755" s="107" t="s">
        <v>2906</v>
      </c>
      <c r="D1755" s="107" t="s">
        <v>2954</v>
      </c>
      <c r="E1755" s="107" t="s">
        <v>2955</v>
      </c>
      <c r="F1755" s="106" t="s">
        <v>2956</v>
      </c>
      <c r="G1755" s="106" t="s">
        <v>168</v>
      </c>
      <c r="H1755" s="106" t="s">
        <v>168</v>
      </c>
      <c r="I1755" s="106"/>
      <c r="J1755" s="106" t="s">
        <v>12</v>
      </c>
      <c r="K1755" s="108" t="s">
        <v>12</v>
      </c>
      <c r="L1755" s="109"/>
      <c r="M1755" s="109">
        <f t="shared" si="1092"/>
        <v>0</v>
      </c>
      <c r="N1755" s="109"/>
      <c r="O1755" s="109">
        <f t="shared" si="1107"/>
        <v>0</v>
      </c>
      <c r="P1755" s="110"/>
      <c r="Q1755" s="109">
        <f t="shared" si="1108"/>
        <v>0</v>
      </c>
      <c r="R1755" s="111"/>
      <c r="S1755" s="111"/>
      <c r="T1755" s="106" t="s">
        <v>70</v>
      </c>
      <c r="U1755" s="26"/>
      <c r="V1755" s="26"/>
      <c r="W1755" s="26"/>
      <c r="X1755" s="26"/>
      <c r="Y1755" s="26"/>
      <c r="Z1755" s="26"/>
      <c r="AA1755" s="26"/>
      <c r="AB1755" s="26"/>
      <c r="AC1755" s="26"/>
    </row>
    <row r="1756" ht="33.75" customHeight="1">
      <c r="A1756" s="98" t="s">
        <v>2960</v>
      </c>
      <c r="B1756" s="99" t="s">
        <v>2905</v>
      </c>
      <c r="C1756" s="99" t="s">
        <v>2906</v>
      </c>
      <c r="D1756" s="99" t="s">
        <v>2961</v>
      </c>
      <c r="E1756" s="99" t="s">
        <v>2962</v>
      </c>
      <c r="F1756" s="98" t="s">
        <v>2914</v>
      </c>
      <c r="G1756" s="98" t="s">
        <v>200</v>
      </c>
      <c r="H1756" s="98" t="s">
        <v>200</v>
      </c>
      <c r="I1756" s="98"/>
      <c r="J1756" s="98" t="s">
        <v>12</v>
      </c>
      <c r="K1756" s="100" t="s">
        <v>12</v>
      </c>
      <c r="L1756" s="101">
        <f>IF(COUNT(L1757:N1759)=0,"",SUM(L1757:L1759))</f>
        <v>0</v>
      </c>
      <c r="M1756" s="102">
        <f t="shared" si="1092"/>
        <v>0</v>
      </c>
      <c r="N1756" s="101">
        <f>IF(COUNT(L1757:N1759)=0,"",SUM(N1757:N1759))</f>
        <v>0</v>
      </c>
      <c r="O1756" s="101">
        <f>IF(COUNT(O1757:O1759)=0,"",SUM(O1757:O1759))</f>
        <v>0</v>
      </c>
      <c r="P1756" s="103"/>
      <c r="Q1756" s="101">
        <f>IF(COUNT(Q1757:Q1759)=0,"",SUM(Q1757:Q1759))</f>
        <v>0</v>
      </c>
      <c r="R1756" s="104"/>
      <c r="S1756" s="104"/>
      <c r="T1756" s="98" t="s">
        <v>65</v>
      </c>
      <c r="U1756" s="26"/>
      <c r="V1756" s="26"/>
      <c r="W1756" s="26"/>
      <c r="X1756" s="105"/>
      <c r="Y1756" s="105"/>
      <c r="Z1756" s="105"/>
      <c r="AA1756" s="105"/>
      <c r="AB1756" s="105"/>
      <c r="AC1756" s="105"/>
    </row>
    <row r="1757" ht="33.75" customHeight="1">
      <c r="A1757" s="106" t="s">
        <v>2963</v>
      </c>
      <c r="B1757" s="107" t="s">
        <v>2905</v>
      </c>
      <c r="C1757" s="107" t="s">
        <v>2906</v>
      </c>
      <c r="D1757" s="107" t="s">
        <v>2961</v>
      </c>
      <c r="E1757" s="107" t="s">
        <v>2962</v>
      </c>
      <c r="F1757" s="106" t="s">
        <v>2914</v>
      </c>
      <c r="G1757" s="106" t="s">
        <v>200</v>
      </c>
      <c r="H1757" s="106" t="s">
        <v>200</v>
      </c>
      <c r="I1757" s="106"/>
      <c r="J1757" s="106" t="s">
        <v>12</v>
      </c>
      <c r="K1757" s="108" t="s">
        <v>12</v>
      </c>
      <c r="L1757" s="109"/>
      <c r="M1757" s="109">
        <f t="shared" si="1092"/>
        <v>0</v>
      </c>
      <c r="N1757" s="109"/>
      <c r="O1757" s="109">
        <f t="shared" ref="O1757:O1759" si="1109">IF(COUNT(L1757:N1757)=0,"",(L1757+4*M1757+N1757)/6)</f>
        <v>0</v>
      </c>
      <c r="P1757" s="110"/>
      <c r="Q1757" s="109">
        <f t="shared" ref="Q1757:Q1759" si="1110">IF(O1757="","",IF(P1757="",O1757,O1757*(1+P1757)))</f>
        <v>0</v>
      </c>
      <c r="R1757" s="111"/>
      <c r="S1757" s="111"/>
      <c r="T1757" s="106" t="s">
        <v>31</v>
      </c>
      <c r="U1757" s="26"/>
      <c r="V1757" s="26"/>
      <c r="W1757" s="26"/>
      <c r="X1757" s="26"/>
      <c r="Y1757" s="26"/>
      <c r="Z1757" s="26"/>
      <c r="AA1757" s="26"/>
      <c r="AB1757" s="26"/>
      <c r="AC1757" s="26"/>
    </row>
    <row r="1758" ht="33.75" customHeight="1">
      <c r="A1758" s="106" t="s">
        <v>2964</v>
      </c>
      <c r="B1758" s="107" t="s">
        <v>2905</v>
      </c>
      <c r="C1758" s="107" t="s">
        <v>2906</v>
      </c>
      <c r="D1758" s="107" t="s">
        <v>2961</v>
      </c>
      <c r="E1758" s="107" t="s">
        <v>2962</v>
      </c>
      <c r="F1758" s="106" t="s">
        <v>2914</v>
      </c>
      <c r="G1758" s="106" t="s">
        <v>200</v>
      </c>
      <c r="H1758" s="106" t="s">
        <v>200</v>
      </c>
      <c r="I1758" s="106"/>
      <c r="J1758" s="106" t="s">
        <v>12</v>
      </c>
      <c r="K1758" s="108" t="s">
        <v>12</v>
      </c>
      <c r="L1758" s="109"/>
      <c r="M1758" s="109">
        <f t="shared" si="1092"/>
        <v>0</v>
      </c>
      <c r="N1758" s="109"/>
      <c r="O1758" s="109">
        <f t="shared" si="1109"/>
        <v>0</v>
      </c>
      <c r="P1758" s="110"/>
      <c r="Q1758" s="109">
        <f t="shared" si="1110"/>
        <v>0</v>
      </c>
      <c r="R1758" s="111"/>
      <c r="S1758" s="111"/>
      <c r="T1758" s="106" t="s">
        <v>32</v>
      </c>
      <c r="U1758" s="26"/>
      <c r="V1758" s="26"/>
      <c r="W1758" s="26"/>
      <c r="X1758" s="26"/>
      <c r="Y1758" s="26"/>
      <c r="Z1758" s="26"/>
      <c r="AA1758" s="26"/>
      <c r="AB1758" s="26"/>
      <c r="AC1758" s="26"/>
    </row>
    <row r="1759" ht="33.75" customHeight="1">
      <c r="A1759" s="106" t="s">
        <v>2965</v>
      </c>
      <c r="B1759" s="107" t="s">
        <v>2905</v>
      </c>
      <c r="C1759" s="107" t="s">
        <v>2906</v>
      </c>
      <c r="D1759" s="107" t="s">
        <v>2961</v>
      </c>
      <c r="E1759" s="107" t="s">
        <v>2962</v>
      </c>
      <c r="F1759" s="106" t="s">
        <v>2914</v>
      </c>
      <c r="G1759" s="106" t="s">
        <v>200</v>
      </c>
      <c r="H1759" s="106" t="s">
        <v>200</v>
      </c>
      <c r="I1759" s="106"/>
      <c r="J1759" s="106" t="s">
        <v>12</v>
      </c>
      <c r="K1759" s="108" t="s">
        <v>12</v>
      </c>
      <c r="L1759" s="109"/>
      <c r="M1759" s="109">
        <f t="shared" si="1092"/>
        <v>0</v>
      </c>
      <c r="N1759" s="109"/>
      <c r="O1759" s="109">
        <f t="shared" si="1109"/>
        <v>0</v>
      </c>
      <c r="P1759" s="110"/>
      <c r="Q1759" s="109">
        <f t="shared" si="1110"/>
        <v>0</v>
      </c>
      <c r="R1759" s="111"/>
      <c r="S1759" s="111"/>
      <c r="T1759" s="106" t="s">
        <v>70</v>
      </c>
      <c r="U1759" s="26"/>
      <c r="V1759" s="26"/>
      <c r="W1759" s="26"/>
      <c r="X1759" s="26"/>
      <c r="Y1759" s="26"/>
      <c r="Z1759" s="26"/>
      <c r="AA1759" s="26"/>
      <c r="AB1759" s="26"/>
      <c r="AC1759" s="26"/>
    </row>
    <row r="1760" ht="33.75" customHeight="1">
      <c r="A1760" s="112" t="s">
        <v>2966</v>
      </c>
      <c r="B1760" s="38" t="s">
        <v>2905</v>
      </c>
      <c r="C1760" s="38" t="s">
        <v>2967</v>
      </c>
      <c r="D1760" s="38" t="s">
        <v>2967</v>
      </c>
      <c r="E1760" s="113" t="s">
        <v>2968</v>
      </c>
      <c r="F1760" s="114"/>
      <c r="G1760" s="114"/>
      <c r="H1760" s="45"/>
      <c r="I1760" s="45"/>
      <c r="J1760" s="114"/>
      <c r="K1760" s="115"/>
      <c r="L1760" s="42">
        <f>IF(COUNT(L1761,L1765,L1769,L1773,L1777,L1781)=0,"",SUM(L1761,L1765,L1769,L1773,L1777,L1781))</f>
        <v>6.25</v>
      </c>
      <c r="M1760" s="42">
        <f t="shared" si="1092"/>
        <v>12.625</v>
      </c>
      <c r="N1760" s="42">
        <f t="shared" ref="N1760:O1760" si="1111">IF(COUNT(N1761,N1765,N1769,N1773,N1777,N1781)=0,"",SUM(N1761,N1765,N1769,N1773,N1777,N1781))</f>
        <v>19</v>
      </c>
      <c r="O1760" s="42">
        <f t="shared" si="1111"/>
        <v>12.625</v>
      </c>
      <c r="P1760" s="43"/>
      <c r="Q1760" s="42">
        <f>IF(COUNT(Q1761,Q1765,Q1769,Q1773,Q1777,Q1781)=0,"",SUM(Q1761,Q1765,Q1769,Q1773,Q1777,Q1781))</f>
        <v>12.625</v>
      </c>
      <c r="R1760" s="44"/>
      <c r="S1760" s="44"/>
      <c r="T1760" s="45" t="s">
        <v>62</v>
      </c>
      <c r="U1760" s="26"/>
      <c r="V1760" s="26"/>
      <c r="W1760" s="26"/>
      <c r="X1760" s="46">
        <f t="shared" ref="X1760:AA1760" si="1112">L1760</f>
        <v>6.25</v>
      </c>
      <c r="Y1760" s="46">
        <f t="shared" si="1112"/>
        <v>12.625</v>
      </c>
      <c r="Z1760" s="46">
        <f t="shared" si="1112"/>
        <v>19</v>
      </c>
      <c r="AA1760" s="46">
        <f t="shared" si="1112"/>
        <v>12.625</v>
      </c>
      <c r="AB1760" s="26"/>
      <c r="AC1760" s="46">
        <f>Q1760</f>
        <v>12.625</v>
      </c>
    </row>
    <row r="1761" ht="33.75" customHeight="1">
      <c r="A1761" s="116" t="s">
        <v>2969</v>
      </c>
      <c r="B1761" s="77" t="s">
        <v>2905</v>
      </c>
      <c r="C1761" s="77" t="s">
        <v>2967</v>
      </c>
      <c r="D1761" s="77" t="s">
        <v>2970</v>
      </c>
      <c r="E1761" s="117" t="s">
        <v>2971</v>
      </c>
      <c r="F1761" s="118"/>
      <c r="G1761" s="118" t="s">
        <v>200</v>
      </c>
      <c r="H1761" s="119" t="s">
        <v>200</v>
      </c>
      <c r="I1761" s="54"/>
      <c r="J1761" s="118" t="s">
        <v>9</v>
      </c>
      <c r="K1761" s="120" t="s">
        <v>9</v>
      </c>
      <c r="L1761" s="51">
        <f>IF(COUNT(L1762:N1764)=0,"",SUM(L1762:L1764))</f>
        <v>0.75</v>
      </c>
      <c r="M1761" s="51">
        <f t="shared" si="1092"/>
        <v>1.625</v>
      </c>
      <c r="N1761" s="51">
        <f>IF(COUNT(L1762:N1764)=0,"",SUM(N1762:N1764))</f>
        <v>2.5</v>
      </c>
      <c r="O1761" s="51">
        <f>IF(COUNT(O1762:O1764)=0,"",SUM(O1762:O1764))</f>
        <v>1.625</v>
      </c>
      <c r="P1761" s="52"/>
      <c r="Q1761" s="51">
        <f>IF(COUNT(Q1762:Q1764)=0,"",SUM(Q1762:Q1764))</f>
        <v>1.625</v>
      </c>
      <c r="R1761" s="53"/>
      <c r="S1761" s="53"/>
      <c r="T1761" s="54" t="s">
        <v>65</v>
      </c>
      <c r="U1761" s="26"/>
      <c r="V1761" s="26"/>
      <c r="W1761" s="26"/>
      <c r="X1761" s="46"/>
      <c r="Y1761" s="46"/>
      <c r="Z1761" s="46"/>
      <c r="AA1761" s="46"/>
      <c r="AB1761" s="232"/>
      <c r="AC1761" s="46"/>
    </row>
    <row r="1762" ht="33.75" customHeight="1">
      <c r="A1762" s="65" t="s">
        <v>2972</v>
      </c>
      <c r="B1762" s="215" t="s">
        <v>2905</v>
      </c>
      <c r="C1762" s="215" t="s">
        <v>2967</v>
      </c>
      <c r="D1762" s="215" t="s">
        <v>2970</v>
      </c>
      <c r="E1762" s="215" t="s">
        <v>2971</v>
      </c>
      <c r="F1762" s="65"/>
      <c r="G1762" s="65" t="s">
        <v>200</v>
      </c>
      <c r="H1762" s="65" t="s">
        <v>200</v>
      </c>
      <c r="I1762" s="65"/>
      <c r="J1762" s="65" t="s">
        <v>9</v>
      </c>
      <c r="K1762" s="65" t="s">
        <v>9</v>
      </c>
      <c r="L1762" s="128">
        <v>0.25</v>
      </c>
      <c r="M1762" s="129">
        <f t="shared" si="1092"/>
        <v>0.625</v>
      </c>
      <c r="N1762" s="128">
        <v>1.0</v>
      </c>
      <c r="O1762" s="129">
        <f t="shared" ref="O1762:O1764" si="1113">IF(COUNT(L1762:N1762)=0,"",(L1762+4*M1762+N1762)/6)</f>
        <v>0.625</v>
      </c>
      <c r="P1762" s="159"/>
      <c r="Q1762" s="208">
        <f t="shared" ref="Q1762:Q1764" si="1114">IF(O1762="","",IF(P1762="",O1762,O1762*(1+P1762)))</f>
        <v>0.625</v>
      </c>
      <c r="R1762" s="132"/>
      <c r="S1762" s="132"/>
      <c r="T1762" s="65" t="s">
        <v>31</v>
      </c>
      <c r="U1762" s="26"/>
      <c r="V1762" s="26"/>
      <c r="W1762" s="26"/>
      <c r="X1762" s="26"/>
      <c r="Y1762" s="26"/>
      <c r="Z1762" s="26"/>
      <c r="AA1762" s="26"/>
      <c r="AB1762" s="26"/>
      <c r="AC1762" s="26"/>
    </row>
    <row r="1763" ht="33.75" customHeight="1">
      <c r="A1763" s="65" t="s">
        <v>2973</v>
      </c>
      <c r="B1763" s="215" t="s">
        <v>2905</v>
      </c>
      <c r="C1763" s="215" t="s">
        <v>2967</v>
      </c>
      <c r="D1763" s="215" t="s">
        <v>2970</v>
      </c>
      <c r="E1763" s="215" t="s">
        <v>2971</v>
      </c>
      <c r="F1763" s="65"/>
      <c r="G1763" s="65" t="s">
        <v>200</v>
      </c>
      <c r="H1763" s="65" t="s">
        <v>200</v>
      </c>
      <c r="I1763" s="65"/>
      <c r="J1763" s="65" t="s">
        <v>9</v>
      </c>
      <c r="K1763" s="65" t="s">
        <v>9</v>
      </c>
      <c r="L1763" s="128">
        <v>0.25</v>
      </c>
      <c r="M1763" s="129">
        <f t="shared" si="1092"/>
        <v>0.625</v>
      </c>
      <c r="N1763" s="128">
        <v>1.0</v>
      </c>
      <c r="O1763" s="129">
        <f t="shared" si="1113"/>
        <v>0.625</v>
      </c>
      <c r="P1763" s="159"/>
      <c r="Q1763" s="208">
        <f t="shared" si="1114"/>
        <v>0.625</v>
      </c>
      <c r="R1763" s="132"/>
      <c r="S1763" s="132"/>
      <c r="T1763" s="65" t="s">
        <v>32</v>
      </c>
      <c r="U1763" s="26"/>
      <c r="V1763" s="26"/>
      <c r="W1763" s="26"/>
      <c r="X1763" s="26"/>
      <c r="Y1763" s="26"/>
      <c r="Z1763" s="26"/>
      <c r="AA1763" s="26"/>
      <c r="AB1763" s="26"/>
      <c r="AC1763" s="26"/>
    </row>
    <row r="1764" ht="33.75" customHeight="1">
      <c r="A1764" s="65" t="s">
        <v>2974</v>
      </c>
      <c r="B1764" s="215" t="s">
        <v>2905</v>
      </c>
      <c r="C1764" s="215" t="s">
        <v>2967</v>
      </c>
      <c r="D1764" s="215" t="s">
        <v>2970</v>
      </c>
      <c r="E1764" s="215" t="s">
        <v>2971</v>
      </c>
      <c r="F1764" s="65"/>
      <c r="G1764" s="65" t="s">
        <v>200</v>
      </c>
      <c r="H1764" s="65" t="s">
        <v>200</v>
      </c>
      <c r="I1764" s="65"/>
      <c r="J1764" s="65" t="s">
        <v>9</v>
      </c>
      <c r="K1764" s="65" t="s">
        <v>9</v>
      </c>
      <c r="L1764" s="128">
        <v>0.25</v>
      </c>
      <c r="M1764" s="129">
        <f t="shared" si="1092"/>
        <v>0.375</v>
      </c>
      <c r="N1764" s="128">
        <v>0.5</v>
      </c>
      <c r="O1764" s="129">
        <f t="shared" si="1113"/>
        <v>0.375</v>
      </c>
      <c r="P1764" s="159"/>
      <c r="Q1764" s="208">
        <f t="shared" si="1114"/>
        <v>0.375</v>
      </c>
      <c r="R1764" s="132"/>
      <c r="S1764" s="132"/>
      <c r="T1764" s="65" t="s">
        <v>70</v>
      </c>
      <c r="U1764" s="26"/>
      <c r="V1764" s="26"/>
      <c r="W1764" s="26"/>
      <c r="X1764" s="26"/>
      <c r="Y1764" s="26"/>
      <c r="Z1764" s="26"/>
      <c r="AA1764" s="26"/>
      <c r="AB1764" s="26"/>
      <c r="AC1764" s="26"/>
    </row>
    <row r="1765" ht="33.75" customHeight="1">
      <c r="A1765" s="54" t="s">
        <v>2975</v>
      </c>
      <c r="B1765" s="209" t="s">
        <v>2905</v>
      </c>
      <c r="C1765" s="209" t="s">
        <v>2967</v>
      </c>
      <c r="D1765" s="209" t="s">
        <v>2976</v>
      </c>
      <c r="E1765" s="209" t="s">
        <v>2977</v>
      </c>
      <c r="F1765" s="54" t="s">
        <v>2969</v>
      </c>
      <c r="G1765" s="54" t="s">
        <v>200</v>
      </c>
      <c r="H1765" s="54" t="s">
        <v>200</v>
      </c>
      <c r="I1765" s="54"/>
      <c r="J1765" s="54" t="s">
        <v>9</v>
      </c>
      <c r="K1765" s="54" t="s">
        <v>9</v>
      </c>
      <c r="L1765" s="202">
        <f>IF(COUNT(L1766:N1768)=0,"",SUM(L1766:L1768))</f>
        <v>1.25</v>
      </c>
      <c r="M1765" s="174">
        <f t="shared" si="1092"/>
        <v>2.625</v>
      </c>
      <c r="N1765" s="202">
        <f>IF(COUNT(L1766:N1768)=0,"",SUM(N1766:N1768))</f>
        <v>4</v>
      </c>
      <c r="O1765" s="202">
        <f>IF(COUNT(O1766:O1768)=0,"",SUM(O1766:O1768))</f>
        <v>2.625</v>
      </c>
      <c r="P1765" s="210"/>
      <c r="Q1765" s="202">
        <f>IF(COUNT(Q1766:Q1768)=0,"",SUM(Q1766:Q1768))</f>
        <v>2.625</v>
      </c>
      <c r="R1765" s="163"/>
      <c r="S1765" s="163"/>
      <c r="T1765" s="54" t="s">
        <v>65</v>
      </c>
      <c r="U1765" s="26"/>
      <c r="V1765" s="26"/>
      <c r="W1765" s="26"/>
      <c r="X1765" s="105"/>
      <c r="Y1765" s="105"/>
      <c r="Z1765" s="105"/>
      <c r="AA1765" s="105"/>
      <c r="AB1765" s="105"/>
      <c r="AC1765" s="105"/>
    </row>
    <row r="1766" ht="33.75" customHeight="1">
      <c r="A1766" s="65" t="s">
        <v>2978</v>
      </c>
      <c r="B1766" s="215" t="s">
        <v>2905</v>
      </c>
      <c r="C1766" s="215" t="s">
        <v>2967</v>
      </c>
      <c r="D1766" s="215" t="s">
        <v>2976</v>
      </c>
      <c r="E1766" s="215" t="s">
        <v>2977</v>
      </c>
      <c r="F1766" s="65" t="s">
        <v>2969</v>
      </c>
      <c r="G1766" s="65" t="s">
        <v>200</v>
      </c>
      <c r="H1766" s="65" t="s">
        <v>200</v>
      </c>
      <c r="I1766" s="65"/>
      <c r="J1766" s="65" t="s">
        <v>9</v>
      </c>
      <c r="K1766" s="65" t="s">
        <v>9</v>
      </c>
      <c r="L1766" s="128">
        <v>0.5</v>
      </c>
      <c r="M1766" s="129">
        <f t="shared" si="1092"/>
        <v>1</v>
      </c>
      <c r="N1766" s="128">
        <v>1.5</v>
      </c>
      <c r="O1766" s="129">
        <f t="shared" ref="O1766:O1768" si="1115">IF(COUNT(L1766:N1766)=0,"",(L1766+4*M1766+N1766)/6)</f>
        <v>1</v>
      </c>
      <c r="P1766" s="159"/>
      <c r="Q1766" s="208">
        <f t="shared" ref="Q1766:Q1768" si="1116">IF(O1766="","",IF(P1766="",O1766,O1766*(1+P1766)))</f>
        <v>1</v>
      </c>
      <c r="R1766" s="132"/>
      <c r="S1766" s="132"/>
      <c r="T1766" s="65" t="s">
        <v>31</v>
      </c>
      <c r="U1766" s="26"/>
      <c r="V1766" s="26"/>
      <c r="W1766" s="26"/>
      <c r="X1766" s="26"/>
      <c r="Y1766" s="26"/>
      <c r="Z1766" s="26"/>
      <c r="AA1766" s="26"/>
      <c r="AB1766" s="26"/>
      <c r="AC1766" s="26"/>
    </row>
    <row r="1767" ht="33.75" customHeight="1">
      <c r="A1767" s="65" t="s">
        <v>2979</v>
      </c>
      <c r="B1767" s="215" t="s">
        <v>2905</v>
      </c>
      <c r="C1767" s="215" t="s">
        <v>2967</v>
      </c>
      <c r="D1767" s="215" t="s">
        <v>2976</v>
      </c>
      <c r="E1767" s="215" t="s">
        <v>2977</v>
      </c>
      <c r="F1767" s="65" t="s">
        <v>2969</v>
      </c>
      <c r="G1767" s="65" t="s">
        <v>200</v>
      </c>
      <c r="H1767" s="65" t="s">
        <v>200</v>
      </c>
      <c r="I1767" s="65"/>
      <c r="J1767" s="65" t="s">
        <v>9</v>
      </c>
      <c r="K1767" s="65" t="s">
        <v>9</v>
      </c>
      <c r="L1767" s="128">
        <v>0.5</v>
      </c>
      <c r="M1767" s="129">
        <f t="shared" si="1092"/>
        <v>1</v>
      </c>
      <c r="N1767" s="128">
        <v>1.5</v>
      </c>
      <c r="O1767" s="129">
        <f t="shared" si="1115"/>
        <v>1</v>
      </c>
      <c r="P1767" s="159"/>
      <c r="Q1767" s="208">
        <f t="shared" si="1116"/>
        <v>1</v>
      </c>
      <c r="R1767" s="132"/>
      <c r="S1767" s="132"/>
      <c r="T1767" s="65" t="s">
        <v>32</v>
      </c>
      <c r="U1767" s="26"/>
      <c r="V1767" s="26"/>
      <c r="W1767" s="26"/>
      <c r="X1767" s="26"/>
      <c r="Y1767" s="26"/>
      <c r="Z1767" s="26"/>
      <c r="AA1767" s="26"/>
      <c r="AB1767" s="26"/>
      <c r="AC1767" s="26"/>
    </row>
    <row r="1768" ht="33.75" customHeight="1">
      <c r="A1768" s="65" t="s">
        <v>2980</v>
      </c>
      <c r="B1768" s="215" t="s">
        <v>2905</v>
      </c>
      <c r="C1768" s="215" t="s">
        <v>2967</v>
      </c>
      <c r="D1768" s="215" t="s">
        <v>2976</v>
      </c>
      <c r="E1768" s="215" t="s">
        <v>2977</v>
      </c>
      <c r="F1768" s="65" t="s">
        <v>2969</v>
      </c>
      <c r="G1768" s="65" t="s">
        <v>200</v>
      </c>
      <c r="H1768" s="65" t="s">
        <v>200</v>
      </c>
      <c r="I1768" s="65"/>
      <c r="J1768" s="65" t="s">
        <v>9</v>
      </c>
      <c r="K1768" s="65" t="s">
        <v>9</v>
      </c>
      <c r="L1768" s="128">
        <v>0.25</v>
      </c>
      <c r="M1768" s="129">
        <f t="shared" si="1092"/>
        <v>0.625</v>
      </c>
      <c r="N1768" s="128">
        <v>1.0</v>
      </c>
      <c r="O1768" s="129">
        <f t="shared" si="1115"/>
        <v>0.625</v>
      </c>
      <c r="P1768" s="159"/>
      <c r="Q1768" s="208">
        <f t="shared" si="1116"/>
        <v>0.625</v>
      </c>
      <c r="R1768" s="132"/>
      <c r="S1768" s="132"/>
      <c r="T1768" s="65" t="s">
        <v>70</v>
      </c>
      <c r="U1768" s="26"/>
      <c r="V1768" s="26"/>
      <c r="W1768" s="26"/>
      <c r="X1768" s="26"/>
      <c r="Y1768" s="26"/>
      <c r="Z1768" s="26"/>
      <c r="AA1768" s="26"/>
      <c r="AB1768" s="26"/>
      <c r="AC1768" s="26"/>
    </row>
    <row r="1769" ht="33.75" customHeight="1">
      <c r="A1769" s="54" t="s">
        <v>2981</v>
      </c>
      <c r="B1769" s="209" t="s">
        <v>2905</v>
      </c>
      <c r="C1769" s="209" t="s">
        <v>2967</v>
      </c>
      <c r="D1769" s="209" t="s">
        <v>2982</v>
      </c>
      <c r="E1769" s="209" t="s">
        <v>2983</v>
      </c>
      <c r="F1769" s="54" t="s">
        <v>2969</v>
      </c>
      <c r="G1769" s="54" t="s">
        <v>168</v>
      </c>
      <c r="H1769" s="54" t="s">
        <v>168</v>
      </c>
      <c r="I1769" s="54"/>
      <c r="J1769" s="54" t="s">
        <v>9</v>
      </c>
      <c r="K1769" s="54" t="s">
        <v>9</v>
      </c>
      <c r="L1769" s="202">
        <f>IF(COUNT(L1770:N1772)=0,"",SUM(L1770:L1772))</f>
        <v>0.75</v>
      </c>
      <c r="M1769" s="174">
        <f t="shared" si="1092"/>
        <v>1.625</v>
      </c>
      <c r="N1769" s="202">
        <f>IF(COUNT(L1770:N1772)=0,"",SUM(N1770:N1772))</f>
        <v>2.5</v>
      </c>
      <c r="O1769" s="202">
        <f>IF(COUNT(O1770:O1772)=0,"",SUM(O1770:O1772))</f>
        <v>1.625</v>
      </c>
      <c r="P1769" s="210"/>
      <c r="Q1769" s="202">
        <f>IF(COUNT(Q1770:Q1772)=0,"",SUM(Q1770:Q1772))</f>
        <v>1.625</v>
      </c>
      <c r="R1769" s="163"/>
      <c r="S1769" s="163"/>
      <c r="T1769" s="54" t="s">
        <v>65</v>
      </c>
      <c r="U1769" s="26"/>
      <c r="V1769" s="26"/>
      <c r="W1769" s="26"/>
      <c r="X1769" s="105"/>
      <c r="Y1769" s="105"/>
      <c r="Z1769" s="105"/>
      <c r="AA1769" s="105"/>
      <c r="AB1769" s="105"/>
      <c r="AC1769" s="105"/>
    </row>
    <row r="1770" ht="33.75" customHeight="1">
      <c r="A1770" s="65" t="s">
        <v>2984</v>
      </c>
      <c r="B1770" s="215" t="s">
        <v>2905</v>
      </c>
      <c r="C1770" s="215" t="s">
        <v>2967</v>
      </c>
      <c r="D1770" s="215" t="s">
        <v>2982</v>
      </c>
      <c r="E1770" s="215" t="s">
        <v>2983</v>
      </c>
      <c r="F1770" s="65" t="s">
        <v>2969</v>
      </c>
      <c r="G1770" s="65" t="s">
        <v>168</v>
      </c>
      <c r="H1770" s="65" t="s">
        <v>168</v>
      </c>
      <c r="I1770" s="65"/>
      <c r="J1770" s="65" t="s">
        <v>9</v>
      </c>
      <c r="K1770" s="65" t="s">
        <v>9</v>
      </c>
      <c r="L1770" s="128">
        <v>0.25</v>
      </c>
      <c r="M1770" s="129">
        <f t="shared" si="1092"/>
        <v>0.625</v>
      </c>
      <c r="N1770" s="128">
        <v>1.0</v>
      </c>
      <c r="O1770" s="129">
        <f t="shared" ref="O1770:O1772" si="1117">IF(COUNT(L1770:N1770)=0,"",(L1770+4*M1770+N1770)/6)</f>
        <v>0.625</v>
      </c>
      <c r="P1770" s="159"/>
      <c r="Q1770" s="208">
        <f t="shared" ref="Q1770:Q1772" si="1118">IF(O1770="","",IF(P1770="",O1770,O1770*(1+P1770)))</f>
        <v>0.625</v>
      </c>
      <c r="R1770" s="132"/>
      <c r="S1770" s="132"/>
      <c r="T1770" s="65" t="s">
        <v>31</v>
      </c>
      <c r="U1770" s="26"/>
      <c r="V1770" s="26"/>
      <c r="W1770" s="26"/>
      <c r="X1770" s="26"/>
      <c r="Y1770" s="26"/>
      <c r="Z1770" s="26"/>
      <c r="AA1770" s="26"/>
      <c r="AB1770" s="26"/>
      <c r="AC1770" s="26"/>
    </row>
    <row r="1771" ht="33.75" customHeight="1">
      <c r="A1771" s="65" t="s">
        <v>2985</v>
      </c>
      <c r="B1771" s="215" t="s">
        <v>2905</v>
      </c>
      <c r="C1771" s="215" t="s">
        <v>2967</v>
      </c>
      <c r="D1771" s="215" t="s">
        <v>2982</v>
      </c>
      <c r="E1771" s="215" t="s">
        <v>2983</v>
      </c>
      <c r="F1771" s="65" t="s">
        <v>2969</v>
      </c>
      <c r="G1771" s="65" t="s">
        <v>168</v>
      </c>
      <c r="H1771" s="65" t="s">
        <v>168</v>
      </c>
      <c r="I1771" s="65"/>
      <c r="J1771" s="65" t="s">
        <v>9</v>
      </c>
      <c r="K1771" s="65" t="s">
        <v>9</v>
      </c>
      <c r="L1771" s="128">
        <v>0.25</v>
      </c>
      <c r="M1771" s="129">
        <f t="shared" si="1092"/>
        <v>0.625</v>
      </c>
      <c r="N1771" s="128">
        <v>1.0</v>
      </c>
      <c r="O1771" s="129">
        <f t="shared" si="1117"/>
        <v>0.625</v>
      </c>
      <c r="P1771" s="159"/>
      <c r="Q1771" s="208">
        <f t="shared" si="1118"/>
        <v>0.625</v>
      </c>
      <c r="R1771" s="132"/>
      <c r="S1771" s="132"/>
      <c r="T1771" s="65" t="s">
        <v>32</v>
      </c>
      <c r="U1771" s="26"/>
      <c r="V1771" s="26"/>
      <c r="W1771" s="26"/>
      <c r="X1771" s="26"/>
      <c r="Y1771" s="26"/>
      <c r="Z1771" s="26"/>
      <c r="AA1771" s="26"/>
      <c r="AB1771" s="26"/>
      <c r="AC1771" s="26"/>
    </row>
    <row r="1772" ht="33.75" customHeight="1">
      <c r="A1772" s="65" t="s">
        <v>2986</v>
      </c>
      <c r="B1772" s="215" t="s">
        <v>2905</v>
      </c>
      <c r="C1772" s="215" t="s">
        <v>2967</v>
      </c>
      <c r="D1772" s="215" t="s">
        <v>2982</v>
      </c>
      <c r="E1772" s="215" t="s">
        <v>2983</v>
      </c>
      <c r="F1772" s="65" t="s">
        <v>2969</v>
      </c>
      <c r="G1772" s="65" t="s">
        <v>168</v>
      </c>
      <c r="H1772" s="65" t="s">
        <v>168</v>
      </c>
      <c r="I1772" s="65"/>
      <c r="J1772" s="65" t="s">
        <v>9</v>
      </c>
      <c r="K1772" s="65" t="s">
        <v>9</v>
      </c>
      <c r="L1772" s="128">
        <v>0.25</v>
      </c>
      <c r="M1772" s="129">
        <f t="shared" si="1092"/>
        <v>0.375</v>
      </c>
      <c r="N1772" s="128">
        <v>0.5</v>
      </c>
      <c r="O1772" s="129">
        <f t="shared" si="1117"/>
        <v>0.375</v>
      </c>
      <c r="P1772" s="159"/>
      <c r="Q1772" s="208">
        <f t="shared" si="1118"/>
        <v>0.375</v>
      </c>
      <c r="R1772" s="132"/>
      <c r="S1772" s="132"/>
      <c r="T1772" s="65" t="s">
        <v>70</v>
      </c>
      <c r="U1772" s="26"/>
      <c r="V1772" s="26"/>
      <c r="W1772" s="26"/>
      <c r="X1772" s="26"/>
      <c r="Y1772" s="26"/>
      <c r="Z1772" s="26"/>
      <c r="AA1772" s="26"/>
      <c r="AB1772" s="26"/>
      <c r="AC1772" s="26"/>
    </row>
    <row r="1773" ht="33.75" customHeight="1">
      <c r="A1773" s="54" t="s">
        <v>2987</v>
      </c>
      <c r="B1773" s="209" t="s">
        <v>2905</v>
      </c>
      <c r="C1773" s="209" t="s">
        <v>2967</v>
      </c>
      <c r="D1773" s="209" t="s">
        <v>2988</v>
      </c>
      <c r="E1773" s="209" t="s">
        <v>2989</v>
      </c>
      <c r="F1773" s="54" t="s">
        <v>2969</v>
      </c>
      <c r="G1773" s="54" t="s">
        <v>154</v>
      </c>
      <c r="H1773" s="54" t="s">
        <v>154</v>
      </c>
      <c r="I1773" s="54"/>
      <c r="J1773" s="54" t="s">
        <v>9</v>
      </c>
      <c r="K1773" s="54" t="s">
        <v>9</v>
      </c>
      <c r="L1773" s="202">
        <f>IF(COUNT(L1774:N1776)=0,"",SUM(L1774:L1776))</f>
        <v>1.75</v>
      </c>
      <c r="M1773" s="174">
        <f t="shared" si="1092"/>
        <v>3.375</v>
      </c>
      <c r="N1773" s="202">
        <f>IF(COUNT(L1774:N1776)=0,"",SUM(N1774:N1776))</f>
        <v>5</v>
      </c>
      <c r="O1773" s="202">
        <f>IF(COUNT(O1774:O1776)=0,"",SUM(O1774:O1776))</f>
        <v>3.375</v>
      </c>
      <c r="P1773" s="210"/>
      <c r="Q1773" s="202">
        <f>IF(COUNT(Q1774:Q1776)=0,"",SUM(Q1774:Q1776))</f>
        <v>3.375</v>
      </c>
      <c r="R1773" s="163"/>
      <c r="S1773" s="163"/>
      <c r="T1773" s="54" t="s">
        <v>65</v>
      </c>
      <c r="U1773" s="26"/>
      <c r="V1773" s="26"/>
      <c r="W1773" s="26"/>
      <c r="X1773" s="105"/>
      <c r="Y1773" s="105"/>
      <c r="Z1773" s="105"/>
      <c r="AA1773" s="105"/>
      <c r="AB1773" s="105"/>
      <c r="AC1773" s="105"/>
    </row>
    <row r="1774" ht="33.75" customHeight="1">
      <c r="A1774" s="65" t="s">
        <v>2990</v>
      </c>
      <c r="B1774" s="215" t="s">
        <v>2905</v>
      </c>
      <c r="C1774" s="215" t="s">
        <v>2967</v>
      </c>
      <c r="D1774" s="215" t="s">
        <v>2988</v>
      </c>
      <c r="E1774" s="215" t="s">
        <v>2989</v>
      </c>
      <c r="F1774" s="65" t="s">
        <v>2969</v>
      </c>
      <c r="G1774" s="65" t="s">
        <v>154</v>
      </c>
      <c r="H1774" s="65" t="s">
        <v>154</v>
      </c>
      <c r="I1774" s="65"/>
      <c r="J1774" s="65" t="s">
        <v>9</v>
      </c>
      <c r="K1774" s="65" t="s">
        <v>9</v>
      </c>
      <c r="L1774" s="128">
        <v>0.5</v>
      </c>
      <c r="M1774" s="129">
        <f t="shared" si="1092"/>
        <v>1</v>
      </c>
      <c r="N1774" s="128">
        <v>1.5</v>
      </c>
      <c r="O1774" s="129">
        <f t="shared" ref="O1774:O1776" si="1119">IF(COUNT(L1774:N1774)=0,"",(L1774+4*M1774+N1774)/6)</f>
        <v>1</v>
      </c>
      <c r="P1774" s="159"/>
      <c r="Q1774" s="208">
        <f t="shared" ref="Q1774:Q1776" si="1120">IF(O1774="","",IF(P1774="",O1774,O1774*(1+P1774)))</f>
        <v>1</v>
      </c>
      <c r="R1774" s="132"/>
      <c r="S1774" s="132"/>
      <c r="T1774" s="65" t="s">
        <v>31</v>
      </c>
      <c r="U1774" s="26"/>
      <c r="V1774" s="26"/>
      <c r="W1774" s="26"/>
      <c r="X1774" s="26"/>
      <c r="Y1774" s="26"/>
      <c r="Z1774" s="26"/>
      <c r="AA1774" s="26"/>
      <c r="AB1774" s="26"/>
      <c r="AC1774" s="26"/>
    </row>
    <row r="1775" ht="33.75" customHeight="1">
      <c r="A1775" s="65" t="s">
        <v>2991</v>
      </c>
      <c r="B1775" s="215" t="s">
        <v>2905</v>
      </c>
      <c r="C1775" s="215" t="s">
        <v>2967</v>
      </c>
      <c r="D1775" s="215" t="s">
        <v>2988</v>
      </c>
      <c r="E1775" s="215" t="s">
        <v>2989</v>
      </c>
      <c r="F1775" s="65" t="s">
        <v>2969</v>
      </c>
      <c r="G1775" s="65" t="s">
        <v>154</v>
      </c>
      <c r="H1775" s="65" t="s">
        <v>154</v>
      </c>
      <c r="I1775" s="65"/>
      <c r="J1775" s="65" t="s">
        <v>9</v>
      </c>
      <c r="K1775" s="65" t="s">
        <v>9</v>
      </c>
      <c r="L1775" s="128">
        <v>1.0</v>
      </c>
      <c r="M1775" s="129">
        <f t="shared" si="1092"/>
        <v>1.75</v>
      </c>
      <c r="N1775" s="128">
        <v>2.5</v>
      </c>
      <c r="O1775" s="129">
        <f t="shared" si="1119"/>
        <v>1.75</v>
      </c>
      <c r="P1775" s="159"/>
      <c r="Q1775" s="208">
        <f t="shared" si="1120"/>
        <v>1.75</v>
      </c>
      <c r="R1775" s="132"/>
      <c r="S1775" s="132"/>
      <c r="T1775" s="65" t="s">
        <v>32</v>
      </c>
      <c r="U1775" s="26"/>
      <c r="V1775" s="26"/>
      <c r="W1775" s="26"/>
      <c r="X1775" s="26"/>
      <c r="Y1775" s="26"/>
      <c r="Z1775" s="26"/>
      <c r="AA1775" s="26"/>
      <c r="AB1775" s="26"/>
      <c r="AC1775" s="26"/>
    </row>
    <row r="1776" ht="33.75" customHeight="1">
      <c r="A1776" s="65" t="s">
        <v>2992</v>
      </c>
      <c r="B1776" s="215" t="s">
        <v>2905</v>
      </c>
      <c r="C1776" s="215" t="s">
        <v>2967</v>
      </c>
      <c r="D1776" s="215" t="s">
        <v>2988</v>
      </c>
      <c r="E1776" s="215" t="s">
        <v>2989</v>
      </c>
      <c r="F1776" s="65" t="s">
        <v>2969</v>
      </c>
      <c r="G1776" s="65" t="s">
        <v>154</v>
      </c>
      <c r="H1776" s="65" t="s">
        <v>154</v>
      </c>
      <c r="I1776" s="65"/>
      <c r="J1776" s="65" t="s">
        <v>9</v>
      </c>
      <c r="K1776" s="65" t="s">
        <v>9</v>
      </c>
      <c r="L1776" s="128">
        <v>0.25</v>
      </c>
      <c r="M1776" s="129">
        <f t="shared" si="1092"/>
        <v>0.625</v>
      </c>
      <c r="N1776" s="128">
        <v>1.0</v>
      </c>
      <c r="O1776" s="129">
        <f t="shared" si="1119"/>
        <v>0.625</v>
      </c>
      <c r="P1776" s="159"/>
      <c r="Q1776" s="208">
        <f t="shared" si="1120"/>
        <v>0.625</v>
      </c>
      <c r="R1776" s="132"/>
      <c r="S1776" s="132"/>
      <c r="T1776" s="65" t="s">
        <v>70</v>
      </c>
      <c r="U1776" s="26"/>
      <c r="V1776" s="26"/>
      <c r="W1776" s="26"/>
      <c r="X1776" s="26"/>
      <c r="Y1776" s="26"/>
      <c r="Z1776" s="26"/>
      <c r="AA1776" s="26"/>
      <c r="AB1776" s="26"/>
      <c r="AC1776" s="26"/>
    </row>
    <row r="1777" ht="33.75" customHeight="1">
      <c r="A1777" s="54" t="s">
        <v>2993</v>
      </c>
      <c r="B1777" s="209" t="s">
        <v>2905</v>
      </c>
      <c r="C1777" s="209" t="s">
        <v>2967</v>
      </c>
      <c r="D1777" s="209" t="s">
        <v>2994</v>
      </c>
      <c r="E1777" s="209" t="s">
        <v>2995</v>
      </c>
      <c r="F1777" s="54" t="s">
        <v>2969</v>
      </c>
      <c r="G1777" s="54" t="s">
        <v>154</v>
      </c>
      <c r="H1777" s="54" t="s">
        <v>154</v>
      </c>
      <c r="I1777" s="54"/>
      <c r="J1777" s="54" t="s">
        <v>9</v>
      </c>
      <c r="K1777" s="54" t="s">
        <v>9</v>
      </c>
      <c r="L1777" s="202">
        <f>IF(COUNT(L1778:N1780)=0,"",SUM(L1778:L1780))</f>
        <v>1.75</v>
      </c>
      <c r="M1777" s="174">
        <f t="shared" si="1092"/>
        <v>3.375</v>
      </c>
      <c r="N1777" s="202">
        <f>IF(COUNT(L1778:N1780)=0,"",SUM(N1778:N1780))</f>
        <v>5</v>
      </c>
      <c r="O1777" s="202">
        <f>IF(COUNT(O1778:O1780)=0,"",SUM(O1778:O1780))</f>
        <v>3.375</v>
      </c>
      <c r="P1777" s="210"/>
      <c r="Q1777" s="202">
        <f>IF(COUNT(Q1778:Q1780)=0,"",SUM(Q1778:Q1780))</f>
        <v>3.375</v>
      </c>
      <c r="R1777" s="163"/>
      <c r="S1777" s="163"/>
      <c r="T1777" s="54" t="s">
        <v>65</v>
      </c>
      <c r="U1777" s="26"/>
      <c r="V1777" s="26"/>
      <c r="W1777" s="26"/>
      <c r="X1777" s="105"/>
      <c r="Y1777" s="105"/>
      <c r="Z1777" s="105"/>
      <c r="AA1777" s="105"/>
      <c r="AB1777" s="105"/>
      <c r="AC1777" s="105"/>
    </row>
    <row r="1778" ht="33.75" customHeight="1">
      <c r="A1778" s="65" t="s">
        <v>2996</v>
      </c>
      <c r="B1778" s="215" t="s">
        <v>2905</v>
      </c>
      <c r="C1778" s="215" t="s">
        <v>2967</v>
      </c>
      <c r="D1778" s="215" t="s">
        <v>2994</v>
      </c>
      <c r="E1778" s="215" t="s">
        <v>2995</v>
      </c>
      <c r="F1778" s="65" t="s">
        <v>2969</v>
      </c>
      <c r="G1778" s="65" t="s">
        <v>154</v>
      </c>
      <c r="H1778" s="65" t="s">
        <v>154</v>
      </c>
      <c r="I1778" s="65"/>
      <c r="J1778" s="65" t="s">
        <v>9</v>
      </c>
      <c r="K1778" s="65" t="s">
        <v>9</v>
      </c>
      <c r="L1778" s="128">
        <v>0.5</v>
      </c>
      <c r="M1778" s="129">
        <f t="shared" si="1092"/>
        <v>1</v>
      </c>
      <c r="N1778" s="128">
        <v>1.5</v>
      </c>
      <c r="O1778" s="129">
        <f t="shared" ref="O1778:O1780" si="1121">IF(COUNT(L1778:N1778)=0,"",(L1778+4*M1778+N1778)/6)</f>
        <v>1</v>
      </c>
      <c r="P1778" s="159"/>
      <c r="Q1778" s="208">
        <f t="shared" ref="Q1778:Q1780" si="1122">IF(O1778="","",IF(P1778="",O1778,O1778*(1+P1778)))</f>
        <v>1</v>
      </c>
      <c r="R1778" s="132"/>
      <c r="S1778" s="132"/>
      <c r="T1778" s="65" t="s">
        <v>31</v>
      </c>
      <c r="U1778" s="26"/>
      <c r="V1778" s="26"/>
      <c r="W1778" s="26"/>
      <c r="X1778" s="26"/>
      <c r="Y1778" s="26"/>
      <c r="Z1778" s="26"/>
      <c r="AA1778" s="26"/>
      <c r="AB1778" s="26"/>
      <c r="AC1778" s="26"/>
    </row>
    <row r="1779" ht="33.75" customHeight="1">
      <c r="A1779" s="65" t="s">
        <v>2997</v>
      </c>
      <c r="B1779" s="215" t="s">
        <v>2905</v>
      </c>
      <c r="C1779" s="215" t="s">
        <v>2967</v>
      </c>
      <c r="D1779" s="215" t="s">
        <v>2994</v>
      </c>
      <c r="E1779" s="215" t="s">
        <v>2995</v>
      </c>
      <c r="F1779" s="65" t="s">
        <v>2969</v>
      </c>
      <c r="G1779" s="65" t="s">
        <v>154</v>
      </c>
      <c r="H1779" s="65" t="s">
        <v>154</v>
      </c>
      <c r="I1779" s="65"/>
      <c r="J1779" s="65" t="s">
        <v>9</v>
      </c>
      <c r="K1779" s="65" t="s">
        <v>9</v>
      </c>
      <c r="L1779" s="128">
        <v>1.0</v>
      </c>
      <c r="M1779" s="129">
        <f t="shared" si="1092"/>
        <v>1.75</v>
      </c>
      <c r="N1779" s="128">
        <v>2.5</v>
      </c>
      <c r="O1779" s="129">
        <f t="shared" si="1121"/>
        <v>1.75</v>
      </c>
      <c r="P1779" s="159"/>
      <c r="Q1779" s="208">
        <f t="shared" si="1122"/>
        <v>1.75</v>
      </c>
      <c r="R1779" s="132"/>
      <c r="S1779" s="132"/>
      <c r="T1779" s="65" t="s">
        <v>32</v>
      </c>
      <c r="U1779" s="26"/>
      <c r="V1779" s="26"/>
      <c r="W1779" s="26"/>
      <c r="X1779" s="26"/>
      <c r="Y1779" s="26"/>
      <c r="Z1779" s="26"/>
      <c r="AA1779" s="26"/>
      <c r="AB1779" s="26"/>
      <c r="AC1779" s="26"/>
    </row>
    <row r="1780" ht="33.75" customHeight="1">
      <c r="A1780" s="65" t="s">
        <v>2998</v>
      </c>
      <c r="B1780" s="215" t="s">
        <v>2905</v>
      </c>
      <c r="C1780" s="215" t="s">
        <v>2967</v>
      </c>
      <c r="D1780" s="215" t="s">
        <v>2994</v>
      </c>
      <c r="E1780" s="215" t="s">
        <v>2995</v>
      </c>
      <c r="F1780" s="65" t="s">
        <v>2969</v>
      </c>
      <c r="G1780" s="65" t="s">
        <v>154</v>
      </c>
      <c r="H1780" s="65" t="s">
        <v>154</v>
      </c>
      <c r="I1780" s="65"/>
      <c r="J1780" s="65" t="s">
        <v>9</v>
      </c>
      <c r="K1780" s="65" t="s">
        <v>9</v>
      </c>
      <c r="L1780" s="128">
        <v>0.25</v>
      </c>
      <c r="M1780" s="129">
        <f t="shared" si="1092"/>
        <v>0.625</v>
      </c>
      <c r="N1780" s="128">
        <v>1.0</v>
      </c>
      <c r="O1780" s="129">
        <f t="shared" si="1121"/>
        <v>0.625</v>
      </c>
      <c r="P1780" s="159"/>
      <c r="Q1780" s="208">
        <f t="shared" si="1122"/>
        <v>0.625</v>
      </c>
      <c r="R1780" s="132"/>
      <c r="S1780" s="132"/>
      <c r="T1780" s="65" t="s">
        <v>70</v>
      </c>
      <c r="U1780" s="26"/>
      <c r="V1780" s="26"/>
      <c r="W1780" s="26"/>
      <c r="X1780" s="26"/>
      <c r="Y1780" s="26"/>
      <c r="Z1780" s="26"/>
      <c r="AA1780" s="26"/>
      <c r="AB1780" s="26"/>
      <c r="AC1780" s="26"/>
    </row>
    <row r="1781" ht="33.75" customHeight="1">
      <c r="A1781" s="98" t="s">
        <v>2999</v>
      </c>
      <c r="B1781" s="99" t="s">
        <v>2905</v>
      </c>
      <c r="C1781" s="99" t="s">
        <v>2967</v>
      </c>
      <c r="D1781" s="99" t="s">
        <v>3000</v>
      </c>
      <c r="E1781" s="99" t="s">
        <v>3001</v>
      </c>
      <c r="F1781" s="98" t="s">
        <v>2969</v>
      </c>
      <c r="G1781" s="98" t="s">
        <v>200</v>
      </c>
      <c r="H1781" s="98" t="s">
        <v>200</v>
      </c>
      <c r="I1781" s="98"/>
      <c r="J1781" s="98" t="s">
        <v>14</v>
      </c>
      <c r="K1781" s="100" t="s">
        <v>14</v>
      </c>
      <c r="L1781" s="101">
        <f>IF(COUNT(L1782:N1784)=0,"",SUM(L1782:L1784))</f>
        <v>0</v>
      </c>
      <c r="M1781" s="102">
        <f t="shared" si="1092"/>
        <v>0</v>
      </c>
      <c r="N1781" s="101">
        <f>IF(COUNT(L1782:N1784)=0,"",SUM(N1782:N1784))</f>
        <v>0</v>
      </c>
      <c r="O1781" s="101">
        <f>IF(COUNT(O1782:O1784)=0,"",SUM(O1782:O1784))</f>
        <v>0</v>
      </c>
      <c r="P1781" s="103"/>
      <c r="Q1781" s="101">
        <f>IF(COUNT(Q1782:Q1784)=0,"",SUM(Q1782:Q1784))</f>
        <v>0</v>
      </c>
      <c r="R1781" s="104"/>
      <c r="S1781" s="104"/>
      <c r="T1781" s="98" t="s">
        <v>65</v>
      </c>
      <c r="U1781" s="26"/>
      <c r="V1781" s="26"/>
      <c r="W1781" s="26"/>
      <c r="X1781" s="105"/>
      <c r="Y1781" s="105"/>
      <c r="Z1781" s="105"/>
      <c r="AA1781" s="105"/>
      <c r="AB1781" s="105"/>
      <c r="AC1781" s="105"/>
    </row>
    <row r="1782" ht="33.75" customHeight="1">
      <c r="A1782" s="106" t="s">
        <v>3002</v>
      </c>
      <c r="B1782" s="107" t="s">
        <v>2905</v>
      </c>
      <c r="C1782" s="107" t="s">
        <v>2967</v>
      </c>
      <c r="D1782" s="107" t="s">
        <v>3000</v>
      </c>
      <c r="E1782" s="107" t="s">
        <v>3001</v>
      </c>
      <c r="F1782" s="106" t="s">
        <v>2969</v>
      </c>
      <c r="G1782" s="106" t="s">
        <v>200</v>
      </c>
      <c r="H1782" s="106" t="s">
        <v>200</v>
      </c>
      <c r="I1782" s="106"/>
      <c r="J1782" s="106" t="s">
        <v>14</v>
      </c>
      <c r="K1782" s="108" t="s">
        <v>14</v>
      </c>
      <c r="L1782" s="109"/>
      <c r="M1782" s="109">
        <f t="shared" si="1092"/>
        <v>0</v>
      </c>
      <c r="N1782" s="109"/>
      <c r="O1782" s="109">
        <f t="shared" ref="O1782:O1784" si="1123">IF(COUNT(L1782:N1782)=0,"",(L1782+4*M1782+N1782)/6)</f>
        <v>0</v>
      </c>
      <c r="P1782" s="110"/>
      <c r="Q1782" s="109">
        <f t="shared" ref="Q1782:Q1784" si="1124">IF(O1782="","",IF(P1782="",O1782,O1782*(1+P1782)))</f>
        <v>0</v>
      </c>
      <c r="R1782" s="111"/>
      <c r="S1782" s="111"/>
      <c r="T1782" s="106" t="s">
        <v>31</v>
      </c>
      <c r="U1782" s="26"/>
      <c r="V1782" s="26"/>
      <c r="W1782" s="26"/>
      <c r="X1782" s="26"/>
      <c r="Y1782" s="26"/>
      <c r="Z1782" s="26"/>
      <c r="AA1782" s="26"/>
      <c r="AB1782" s="26"/>
      <c r="AC1782" s="26"/>
    </row>
    <row r="1783" ht="33.75" customHeight="1">
      <c r="A1783" s="106" t="s">
        <v>3003</v>
      </c>
      <c r="B1783" s="107" t="s">
        <v>2905</v>
      </c>
      <c r="C1783" s="107" t="s">
        <v>2967</v>
      </c>
      <c r="D1783" s="107" t="s">
        <v>3000</v>
      </c>
      <c r="E1783" s="107" t="s">
        <v>3001</v>
      </c>
      <c r="F1783" s="106" t="s">
        <v>2969</v>
      </c>
      <c r="G1783" s="106" t="s">
        <v>200</v>
      </c>
      <c r="H1783" s="106" t="s">
        <v>200</v>
      </c>
      <c r="I1783" s="106"/>
      <c r="J1783" s="106" t="s">
        <v>14</v>
      </c>
      <c r="K1783" s="108" t="s">
        <v>14</v>
      </c>
      <c r="L1783" s="109"/>
      <c r="M1783" s="109">
        <f t="shared" si="1092"/>
        <v>0</v>
      </c>
      <c r="N1783" s="109"/>
      <c r="O1783" s="109">
        <f t="shared" si="1123"/>
        <v>0</v>
      </c>
      <c r="P1783" s="110"/>
      <c r="Q1783" s="109">
        <f t="shared" si="1124"/>
        <v>0</v>
      </c>
      <c r="R1783" s="111"/>
      <c r="S1783" s="111"/>
      <c r="T1783" s="106" t="s">
        <v>32</v>
      </c>
      <c r="U1783" s="26"/>
      <c r="V1783" s="26"/>
      <c r="W1783" s="26"/>
      <c r="X1783" s="26"/>
      <c r="Y1783" s="26"/>
      <c r="Z1783" s="26"/>
      <c r="AA1783" s="26"/>
      <c r="AB1783" s="26"/>
      <c r="AC1783" s="26"/>
    </row>
    <row r="1784" ht="33.75" customHeight="1">
      <c r="A1784" s="106" t="s">
        <v>3004</v>
      </c>
      <c r="B1784" s="107" t="s">
        <v>2905</v>
      </c>
      <c r="C1784" s="107" t="s">
        <v>2967</v>
      </c>
      <c r="D1784" s="107" t="s">
        <v>3000</v>
      </c>
      <c r="E1784" s="107" t="s">
        <v>3001</v>
      </c>
      <c r="F1784" s="106" t="s">
        <v>2969</v>
      </c>
      <c r="G1784" s="106" t="s">
        <v>200</v>
      </c>
      <c r="H1784" s="106" t="s">
        <v>200</v>
      </c>
      <c r="I1784" s="106"/>
      <c r="J1784" s="106" t="s">
        <v>14</v>
      </c>
      <c r="K1784" s="108" t="s">
        <v>14</v>
      </c>
      <c r="L1784" s="109"/>
      <c r="M1784" s="109">
        <f t="shared" si="1092"/>
        <v>0</v>
      </c>
      <c r="N1784" s="109"/>
      <c r="O1784" s="109">
        <f t="shared" si="1123"/>
        <v>0</v>
      </c>
      <c r="P1784" s="110"/>
      <c r="Q1784" s="109">
        <f t="shared" si="1124"/>
        <v>0</v>
      </c>
      <c r="R1784" s="111"/>
      <c r="S1784" s="111"/>
      <c r="T1784" s="106" t="s">
        <v>70</v>
      </c>
      <c r="U1784" s="26"/>
      <c r="V1784" s="26"/>
      <c r="W1784" s="26"/>
      <c r="X1784" s="26"/>
      <c r="Y1784" s="26"/>
      <c r="Z1784" s="26"/>
      <c r="AA1784" s="26"/>
      <c r="AB1784" s="26"/>
      <c r="AC1784" s="26"/>
    </row>
    <row r="1785" ht="33.75" customHeight="1">
      <c r="A1785" s="112" t="s">
        <v>3005</v>
      </c>
      <c r="B1785" s="38" t="s">
        <v>2905</v>
      </c>
      <c r="C1785" s="38" t="s">
        <v>3006</v>
      </c>
      <c r="D1785" s="38" t="s">
        <v>3006</v>
      </c>
      <c r="E1785" s="113" t="s">
        <v>3007</v>
      </c>
      <c r="F1785" s="114"/>
      <c r="G1785" s="114"/>
      <c r="H1785" s="45"/>
      <c r="I1785" s="45"/>
      <c r="J1785" s="114"/>
      <c r="K1785" s="115"/>
      <c r="L1785" s="42">
        <f>IF(COUNT(L1786,L1790,L1794,L1798,L1802,L1806)=0,"",SUM(L1786,L1790,L1794,L1798,L1802,L1806))</f>
        <v>0</v>
      </c>
      <c r="M1785" s="42">
        <f t="shared" si="1092"/>
        <v>0</v>
      </c>
      <c r="N1785" s="42">
        <f t="shared" ref="N1785:O1785" si="1125">IF(COUNT(N1786,N1790,N1794,N1798,N1802,N1806)=0,"",SUM(N1786,N1790,N1794,N1798,N1802,N1806))</f>
        <v>0</v>
      </c>
      <c r="O1785" s="42">
        <f t="shared" si="1125"/>
        <v>0</v>
      </c>
      <c r="P1785" s="43"/>
      <c r="Q1785" s="42">
        <f>IF(COUNT(Q1786,Q1790,Q1794,Q1798,Q1802,Q1806)=0,"",SUM(Q1786,Q1790,Q1794,Q1798,Q1802,Q1806))</f>
        <v>0</v>
      </c>
      <c r="R1785" s="44"/>
      <c r="S1785" s="44"/>
      <c r="T1785" s="45" t="s">
        <v>62</v>
      </c>
      <c r="U1785" s="26"/>
      <c r="V1785" s="26"/>
      <c r="W1785" s="26"/>
      <c r="X1785" s="46">
        <f t="shared" ref="X1785:AA1785" si="1126">L1785</f>
        <v>0</v>
      </c>
      <c r="Y1785" s="46">
        <f t="shared" si="1126"/>
        <v>0</v>
      </c>
      <c r="Z1785" s="46">
        <f t="shared" si="1126"/>
        <v>0</v>
      </c>
      <c r="AA1785" s="46">
        <f t="shared" si="1126"/>
        <v>0</v>
      </c>
      <c r="AB1785" s="26"/>
      <c r="AC1785" s="46">
        <f>Q1785</f>
        <v>0</v>
      </c>
    </row>
    <row r="1786" ht="33.75" customHeight="1">
      <c r="A1786" s="116" t="s">
        <v>3008</v>
      </c>
      <c r="B1786" s="77" t="s">
        <v>2905</v>
      </c>
      <c r="C1786" s="77" t="s">
        <v>3006</v>
      </c>
      <c r="D1786" s="77" t="s">
        <v>3009</v>
      </c>
      <c r="E1786" s="117" t="s">
        <v>3010</v>
      </c>
      <c r="F1786" s="118" t="s">
        <v>2975</v>
      </c>
      <c r="G1786" s="118" t="s">
        <v>154</v>
      </c>
      <c r="H1786" s="119" t="s">
        <v>154</v>
      </c>
      <c r="I1786" s="54"/>
      <c r="J1786" s="118" t="s">
        <v>9</v>
      </c>
      <c r="K1786" s="120" t="s">
        <v>9</v>
      </c>
      <c r="L1786" s="51">
        <f>IF(COUNT(L1787:N1789)=0,"",SUM(L1787:L1789))</f>
        <v>0</v>
      </c>
      <c r="M1786" s="51">
        <f t="shared" si="1092"/>
        <v>0</v>
      </c>
      <c r="N1786" s="51">
        <f>IF(COUNT(L1787:N1789)=0,"",SUM(N1787:N1789))</f>
        <v>0</v>
      </c>
      <c r="O1786" s="51">
        <f>IF(COUNT(O1787:O1789)=0,"",SUM(O1787:O1789))</f>
        <v>0</v>
      </c>
      <c r="P1786" s="52"/>
      <c r="Q1786" s="51">
        <f>IF(COUNT(Q1787:Q1789)=0,"",SUM(Q1787:Q1789))</f>
        <v>0</v>
      </c>
      <c r="R1786" s="53"/>
      <c r="S1786" s="53"/>
      <c r="T1786" s="54" t="s">
        <v>65</v>
      </c>
      <c r="U1786" s="26"/>
      <c r="V1786" s="26"/>
      <c r="W1786" s="26"/>
      <c r="X1786" s="46"/>
      <c r="Y1786" s="46"/>
      <c r="Z1786" s="46"/>
      <c r="AA1786" s="46"/>
      <c r="AB1786" s="232"/>
      <c r="AC1786" s="46"/>
    </row>
    <row r="1787" ht="33.75" customHeight="1">
      <c r="A1787" s="65" t="s">
        <v>3011</v>
      </c>
      <c r="B1787" s="215" t="s">
        <v>2905</v>
      </c>
      <c r="C1787" s="215" t="s">
        <v>3006</v>
      </c>
      <c r="D1787" s="215" t="s">
        <v>3009</v>
      </c>
      <c r="E1787" s="215" t="s">
        <v>3010</v>
      </c>
      <c r="F1787" s="65" t="s">
        <v>2975</v>
      </c>
      <c r="G1787" s="65" t="s">
        <v>154</v>
      </c>
      <c r="H1787" s="65" t="s">
        <v>154</v>
      </c>
      <c r="I1787" s="65"/>
      <c r="J1787" s="65" t="s">
        <v>9</v>
      </c>
      <c r="K1787" s="65" t="s">
        <v>9</v>
      </c>
      <c r="L1787" s="128"/>
      <c r="M1787" s="129">
        <f t="shared" si="1092"/>
        <v>0</v>
      </c>
      <c r="N1787" s="128"/>
      <c r="O1787" s="129">
        <f t="shared" ref="O1787:O1789" si="1127">IF(COUNT(L1787:N1787)=0,"",(L1787+4*M1787+N1787)/6)</f>
        <v>0</v>
      </c>
      <c r="P1787" s="159"/>
      <c r="Q1787" s="208">
        <f t="shared" ref="Q1787:Q1789" si="1128">IF(O1787="","",IF(P1787="",O1787,O1787*(1+P1787)))</f>
        <v>0</v>
      </c>
      <c r="R1787" s="132"/>
      <c r="S1787" s="132"/>
      <c r="T1787" s="65" t="s">
        <v>31</v>
      </c>
      <c r="U1787" s="26"/>
      <c r="V1787" s="26"/>
      <c r="W1787" s="26"/>
      <c r="X1787" s="26"/>
      <c r="Y1787" s="26"/>
      <c r="Z1787" s="26"/>
      <c r="AA1787" s="26"/>
      <c r="AB1787" s="26"/>
      <c r="AC1787" s="26"/>
    </row>
    <row r="1788" ht="33.75" customHeight="1">
      <c r="A1788" s="65" t="s">
        <v>3012</v>
      </c>
      <c r="B1788" s="215" t="s">
        <v>2905</v>
      </c>
      <c r="C1788" s="215" t="s">
        <v>3006</v>
      </c>
      <c r="D1788" s="215" t="s">
        <v>3009</v>
      </c>
      <c r="E1788" s="215" t="s">
        <v>3010</v>
      </c>
      <c r="F1788" s="65" t="s">
        <v>2975</v>
      </c>
      <c r="G1788" s="65" t="s">
        <v>154</v>
      </c>
      <c r="H1788" s="65" t="s">
        <v>154</v>
      </c>
      <c r="I1788" s="65"/>
      <c r="J1788" s="65" t="s">
        <v>9</v>
      </c>
      <c r="K1788" s="65" t="s">
        <v>9</v>
      </c>
      <c r="L1788" s="128"/>
      <c r="M1788" s="129">
        <f t="shared" si="1092"/>
        <v>0</v>
      </c>
      <c r="N1788" s="128"/>
      <c r="O1788" s="129">
        <f t="shared" si="1127"/>
        <v>0</v>
      </c>
      <c r="P1788" s="159"/>
      <c r="Q1788" s="208">
        <f t="shared" si="1128"/>
        <v>0</v>
      </c>
      <c r="R1788" s="132"/>
      <c r="S1788" s="132"/>
      <c r="T1788" s="65" t="s">
        <v>32</v>
      </c>
      <c r="U1788" s="26"/>
      <c r="V1788" s="26"/>
      <c r="W1788" s="26"/>
      <c r="X1788" s="26"/>
      <c r="Y1788" s="26"/>
      <c r="Z1788" s="26"/>
      <c r="AA1788" s="26"/>
      <c r="AB1788" s="26"/>
      <c r="AC1788" s="26"/>
    </row>
    <row r="1789" ht="33.75" customHeight="1">
      <c r="A1789" s="65" t="s">
        <v>3013</v>
      </c>
      <c r="B1789" s="215" t="s">
        <v>2905</v>
      </c>
      <c r="C1789" s="215" t="s">
        <v>3006</v>
      </c>
      <c r="D1789" s="215" t="s">
        <v>3009</v>
      </c>
      <c r="E1789" s="215" t="s">
        <v>3010</v>
      </c>
      <c r="F1789" s="65" t="s">
        <v>2975</v>
      </c>
      <c r="G1789" s="65" t="s">
        <v>154</v>
      </c>
      <c r="H1789" s="65" t="s">
        <v>154</v>
      </c>
      <c r="I1789" s="65"/>
      <c r="J1789" s="65" t="s">
        <v>9</v>
      </c>
      <c r="K1789" s="65" t="s">
        <v>9</v>
      </c>
      <c r="L1789" s="128"/>
      <c r="M1789" s="129">
        <f t="shared" si="1092"/>
        <v>0</v>
      </c>
      <c r="N1789" s="128"/>
      <c r="O1789" s="129">
        <f t="shared" si="1127"/>
        <v>0</v>
      </c>
      <c r="P1789" s="159"/>
      <c r="Q1789" s="208">
        <f t="shared" si="1128"/>
        <v>0</v>
      </c>
      <c r="R1789" s="132"/>
      <c r="S1789" s="132"/>
      <c r="T1789" s="65" t="s">
        <v>70</v>
      </c>
      <c r="U1789" s="26"/>
      <c r="V1789" s="26"/>
      <c r="W1789" s="26"/>
      <c r="X1789" s="26"/>
      <c r="Y1789" s="26"/>
      <c r="Z1789" s="26"/>
      <c r="AA1789" s="26"/>
      <c r="AB1789" s="26"/>
      <c r="AC1789" s="26"/>
    </row>
    <row r="1790" ht="33.75" customHeight="1">
      <c r="A1790" s="98" t="s">
        <v>3014</v>
      </c>
      <c r="B1790" s="99" t="s">
        <v>2905</v>
      </c>
      <c r="C1790" s="99" t="s">
        <v>3006</v>
      </c>
      <c r="D1790" s="99" t="s">
        <v>3015</v>
      </c>
      <c r="E1790" s="99" t="s">
        <v>3016</v>
      </c>
      <c r="F1790" s="98" t="s">
        <v>2975</v>
      </c>
      <c r="G1790" s="98" t="s">
        <v>200</v>
      </c>
      <c r="H1790" s="98" t="s">
        <v>200</v>
      </c>
      <c r="I1790" s="98"/>
      <c r="J1790" s="98" t="s">
        <v>12</v>
      </c>
      <c r="K1790" s="100" t="s">
        <v>12</v>
      </c>
      <c r="L1790" s="101">
        <f>IF(COUNT(L1791:N1793)=0,"",SUM(L1791:L1793))</f>
        <v>0</v>
      </c>
      <c r="M1790" s="102">
        <f t="shared" si="1092"/>
        <v>0</v>
      </c>
      <c r="N1790" s="101">
        <f>IF(COUNT(L1791:N1793)=0,"",SUM(N1791:N1793))</f>
        <v>0</v>
      </c>
      <c r="O1790" s="101">
        <f>IF(COUNT(O1791:O1793)=0,"",SUM(O1791:O1793))</f>
        <v>0</v>
      </c>
      <c r="P1790" s="103"/>
      <c r="Q1790" s="101">
        <f>IF(COUNT(Q1791:Q1793)=0,"",SUM(Q1791:Q1793))</f>
        <v>0</v>
      </c>
      <c r="R1790" s="104"/>
      <c r="S1790" s="104"/>
      <c r="T1790" s="98" t="s">
        <v>65</v>
      </c>
      <c r="U1790" s="26"/>
      <c r="V1790" s="26"/>
      <c r="W1790" s="26"/>
      <c r="X1790" s="105"/>
      <c r="Y1790" s="105"/>
      <c r="Z1790" s="105"/>
      <c r="AA1790" s="105"/>
      <c r="AB1790" s="105"/>
      <c r="AC1790" s="105"/>
    </row>
    <row r="1791" ht="33.75" customHeight="1">
      <c r="A1791" s="106" t="s">
        <v>3017</v>
      </c>
      <c r="B1791" s="107" t="s">
        <v>2905</v>
      </c>
      <c r="C1791" s="107" t="s">
        <v>3006</v>
      </c>
      <c r="D1791" s="107" t="s">
        <v>3015</v>
      </c>
      <c r="E1791" s="107" t="s">
        <v>3016</v>
      </c>
      <c r="F1791" s="106" t="s">
        <v>2975</v>
      </c>
      <c r="G1791" s="106" t="s">
        <v>200</v>
      </c>
      <c r="H1791" s="106" t="s">
        <v>200</v>
      </c>
      <c r="I1791" s="106"/>
      <c r="J1791" s="106" t="s">
        <v>12</v>
      </c>
      <c r="K1791" s="108" t="s">
        <v>12</v>
      </c>
      <c r="L1791" s="109"/>
      <c r="M1791" s="109">
        <f t="shared" si="1092"/>
        <v>0</v>
      </c>
      <c r="N1791" s="109"/>
      <c r="O1791" s="109">
        <f t="shared" ref="O1791:O1793" si="1129">IF(COUNT(L1791:N1791)=0,"",(L1791+4*M1791+N1791)/6)</f>
        <v>0</v>
      </c>
      <c r="P1791" s="110"/>
      <c r="Q1791" s="109">
        <f t="shared" ref="Q1791:Q1793" si="1130">IF(O1791="","",IF(P1791="",O1791,O1791*(1+P1791)))</f>
        <v>0</v>
      </c>
      <c r="R1791" s="111"/>
      <c r="S1791" s="111"/>
      <c r="T1791" s="106" t="s">
        <v>31</v>
      </c>
      <c r="U1791" s="26"/>
      <c r="V1791" s="26"/>
      <c r="W1791" s="26"/>
      <c r="X1791" s="26"/>
      <c r="Y1791" s="26"/>
      <c r="Z1791" s="26"/>
      <c r="AA1791" s="26"/>
      <c r="AB1791" s="26"/>
      <c r="AC1791" s="26"/>
    </row>
    <row r="1792" ht="33.75" customHeight="1">
      <c r="A1792" s="106" t="s">
        <v>3018</v>
      </c>
      <c r="B1792" s="107" t="s">
        <v>2905</v>
      </c>
      <c r="C1792" s="107" t="s">
        <v>3006</v>
      </c>
      <c r="D1792" s="107" t="s">
        <v>3015</v>
      </c>
      <c r="E1792" s="107" t="s">
        <v>3016</v>
      </c>
      <c r="F1792" s="106" t="s">
        <v>2975</v>
      </c>
      <c r="G1792" s="106" t="s">
        <v>200</v>
      </c>
      <c r="H1792" s="106" t="s">
        <v>200</v>
      </c>
      <c r="I1792" s="106"/>
      <c r="J1792" s="106" t="s">
        <v>12</v>
      </c>
      <c r="K1792" s="108" t="s">
        <v>12</v>
      </c>
      <c r="L1792" s="109"/>
      <c r="M1792" s="109">
        <f t="shared" si="1092"/>
        <v>0</v>
      </c>
      <c r="N1792" s="109"/>
      <c r="O1792" s="109">
        <f t="shared" si="1129"/>
        <v>0</v>
      </c>
      <c r="P1792" s="110"/>
      <c r="Q1792" s="109">
        <f t="shared" si="1130"/>
        <v>0</v>
      </c>
      <c r="R1792" s="111"/>
      <c r="S1792" s="111"/>
      <c r="T1792" s="106" t="s">
        <v>32</v>
      </c>
      <c r="U1792" s="26"/>
      <c r="V1792" s="26"/>
      <c r="W1792" s="26"/>
      <c r="X1792" s="26"/>
      <c r="Y1792" s="26"/>
      <c r="Z1792" s="26"/>
      <c r="AA1792" s="26"/>
      <c r="AB1792" s="26"/>
      <c r="AC1792" s="26"/>
    </row>
    <row r="1793" ht="33.75" customHeight="1">
      <c r="A1793" s="106" t="s">
        <v>3019</v>
      </c>
      <c r="B1793" s="107" t="s">
        <v>2905</v>
      </c>
      <c r="C1793" s="107" t="s">
        <v>3006</v>
      </c>
      <c r="D1793" s="107" t="s">
        <v>3015</v>
      </c>
      <c r="E1793" s="107" t="s">
        <v>3016</v>
      </c>
      <c r="F1793" s="106" t="s">
        <v>2975</v>
      </c>
      <c r="G1793" s="106" t="s">
        <v>200</v>
      </c>
      <c r="H1793" s="106" t="s">
        <v>200</v>
      </c>
      <c r="I1793" s="106"/>
      <c r="J1793" s="106" t="s">
        <v>12</v>
      </c>
      <c r="K1793" s="108" t="s">
        <v>12</v>
      </c>
      <c r="L1793" s="109"/>
      <c r="M1793" s="109">
        <f t="shared" si="1092"/>
        <v>0</v>
      </c>
      <c r="N1793" s="109"/>
      <c r="O1793" s="109">
        <f t="shared" si="1129"/>
        <v>0</v>
      </c>
      <c r="P1793" s="110"/>
      <c r="Q1793" s="109">
        <f t="shared" si="1130"/>
        <v>0</v>
      </c>
      <c r="R1793" s="111"/>
      <c r="S1793" s="111"/>
      <c r="T1793" s="106" t="s">
        <v>70</v>
      </c>
      <c r="U1793" s="26"/>
      <c r="V1793" s="26"/>
      <c r="W1793" s="26"/>
      <c r="X1793" s="26"/>
      <c r="Y1793" s="26"/>
      <c r="Z1793" s="26"/>
      <c r="AA1793" s="26"/>
      <c r="AB1793" s="26"/>
      <c r="AC1793" s="26"/>
    </row>
    <row r="1794" ht="33.75" customHeight="1">
      <c r="A1794" s="116" t="s">
        <v>3020</v>
      </c>
      <c r="B1794" s="77" t="s">
        <v>2905</v>
      </c>
      <c r="C1794" s="77" t="s">
        <v>3006</v>
      </c>
      <c r="D1794" s="77" t="s">
        <v>3021</v>
      </c>
      <c r="E1794" s="117" t="s">
        <v>3022</v>
      </c>
      <c r="F1794" s="118" t="s">
        <v>2969</v>
      </c>
      <c r="G1794" s="118" t="s">
        <v>168</v>
      </c>
      <c r="H1794" s="119" t="s">
        <v>168</v>
      </c>
      <c r="I1794" s="54"/>
      <c r="J1794" s="118" t="s">
        <v>9</v>
      </c>
      <c r="K1794" s="120" t="s">
        <v>9</v>
      </c>
      <c r="L1794" s="51">
        <f>IF(COUNT(L1795:N1797)=0,"",SUM(L1795:L1797))</f>
        <v>0</v>
      </c>
      <c r="M1794" s="51">
        <f t="shared" si="1092"/>
        <v>0</v>
      </c>
      <c r="N1794" s="51">
        <f>IF(COUNT(L1795:N1797)=0,"",SUM(N1795:N1797))</f>
        <v>0</v>
      </c>
      <c r="O1794" s="51">
        <f>IF(COUNT(O1795:O1797)=0,"",SUM(O1795:O1797))</f>
        <v>0</v>
      </c>
      <c r="P1794" s="52"/>
      <c r="Q1794" s="51">
        <f>IF(COUNT(Q1795:Q1797)=0,"",SUM(Q1795:Q1797))</f>
        <v>0</v>
      </c>
      <c r="R1794" s="53"/>
      <c r="S1794" s="53"/>
      <c r="T1794" s="54" t="s">
        <v>65</v>
      </c>
      <c r="U1794" s="26"/>
      <c r="V1794" s="26"/>
      <c r="W1794" s="26"/>
      <c r="X1794" s="46"/>
      <c r="Y1794" s="46"/>
      <c r="Z1794" s="46"/>
      <c r="AA1794" s="46"/>
      <c r="AB1794" s="232"/>
      <c r="AC1794" s="46"/>
    </row>
    <row r="1795" ht="33.75" customHeight="1">
      <c r="A1795" s="65" t="s">
        <v>3023</v>
      </c>
      <c r="B1795" s="215" t="s">
        <v>2905</v>
      </c>
      <c r="C1795" s="215" t="s">
        <v>3006</v>
      </c>
      <c r="D1795" s="215" t="s">
        <v>3021</v>
      </c>
      <c r="E1795" s="215" t="s">
        <v>3022</v>
      </c>
      <c r="F1795" s="65" t="s">
        <v>2969</v>
      </c>
      <c r="G1795" s="65" t="s">
        <v>168</v>
      </c>
      <c r="H1795" s="65" t="s">
        <v>168</v>
      </c>
      <c r="I1795" s="65"/>
      <c r="J1795" s="65" t="s">
        <v>9</v>
      </c>
      <c r="K1795" s="65" t="s">
        <v>9</v>
      </c>
      <c r="L1795" s="128"/>
      <c r="M1795" s="129">
        <f t="shared" si="1092"/>
        <v>0</v>
      </c>
      <c r="N1795" s="128"/>
      <c r="O1795" s="129">
        <f t="shared" ref="O1795:O1797" si="1131">IF(COUNT(L1795:N1795)=0,"",(L1795+4*M1795+N1795)/6)</f>
        <v>0</v>
      </c>
      <c r="P1795" s="159"/>
      <c r="Q1795" s="208">
        <f t="shared" ref="Q1795:Q1797" si="1132">IF(O1795="","",IF(P1795="",O1795,O1795*(1+P1795)))</f>
        <v>0</v>
      </c>
      <c r="R1795" s="132"/>
      <c r="S1795" s="132"/>
      <c r="T1795" s="65" t="s">
        <v>31</v>
      </c>
      <c r="U1795" s="26"/>
      <c r="V1795" s="26"/>
      <c r="W1795" s="26"/>
      <c r="X1795" s="26"/>
      <c r="Y1795" s="26"/>
      <c r="Z1795" s="26"/>
      <c r="AA1795" s="26"/>
      <c r="AB1795" s="26"/>
      <c r="AC1795" s="26"/>
    </row>
    <row r="1796" ht="33.75" customHeight="1">
      <c r="A1796" s="65" t="s">
        <v>3024</v>
      </c>
      <c r="B1796" s="215" t="s">
        <v>2905</v>
      </c>
      <c r="C1796" s="215" t="s">
        <v>3006</v>
      </c>
      <c r="D1796" s="215" t="s">
        <v>3021</v>
      </c>
      <c r="E1796" s="215" t="s">
        <v>3022</v>
      </c>
      <c r="F1796" s="65" t="s">
        <v>2969</v>
      </c>
      <c r="G1796" s="65" t="s">
        <v>168</v>
      </c>
      <c r="H1796" s="65" t="s">
        <v>168</v>
      </c>
      <c r="I1796" s="65"/>
      <c r="J1796" s="65" t="s">
        <v>9</v>
      </c>
      <c r="K1796" s="65" t="s">
        <v>9</v>
      </c>
      <c r="L1796" s="128"/>
      <c r="M1796" s="129">
        <f t="shared" si="1092"/>
        <v>0</v>
      </c>
      <c r="N1796" s="128"/>
      <c r="O1796" s="129">
        <f t="shared" si="1131"/>
        <v>0</v>
      </c>
      <c r="P1796" s="159"/>
      <c r="Q1796" s="208">
        <f t="shared" si="1132"/>
        <v>0</v>
      </c>
      <c r="R1796" s="132"/>
      <c r="S1796" s="132"/>
      <c r="T1796" s="65" t="s">
        <v>32</v>
      </c>
      <c r="U1796" s="26"/>
      <c r="V1796" s="26"/>
      <c r="W1796" s="26"/>
      <c r="X1796" s="26"/>
      <c r="Y1796" s="26"/>
      <c r="Z1796" s="26"/>
      <c r="AA1796" s="26"/>
      <c r="AB1796" s="26"/>
      <c r="AC1796" s="26"/>
    </row>
    <row r="1797" ht="33.75" customHeight="1">
      <c r="A1797" s="65" t="s">
        <v>3025</v>
      </c>
      <c r="B1797" s="215" t="s">
        <v>2905</v>
      </c>
      <c r="C1797" s="215" t="s">
        <v>3006</v>
      </c>
      <c r="D1797" s="215" t="s">
        <v>3021</v>
      </c>
      <c r="E1797" s="215" t="s">
        <v>3022</v>
      </c>
      <c r="F1797" s="65" t="s">
        <v>2969</v>
      </c>
      <c r="G1797" s="65" t="s">
        <v>168</v>
      </c>
      <c r="H1797" s="65" t="s">
        <v>168</v>
      </c>
      <c r="I1797" s="65"/>
      <c r="J1797" s="65" t="s">
        <v>9</v>
      </c>
      <c r="K1797" s="65" t="s">
        <v>9</v>
      </c>
      <c r="L1797" s="128"/>
      <c r="M1797" s="129">
        <f t="shared" si="1092"/>
        <v>0</v>
      </c>
      <c r="N1797" s="128"/>
      <c r="O1797" s="129">
        <f t="shared" si="1131"/>
        <v>0</v>
      </c>
      <c r="P1797" s="159"/>
      <c r="Q1797" s="208">
        <f t="shared" si="1132"/>
        <v>0</v>
      </c>
      <c r="R1797" s="132"/>
      <c r="S1797" s="132"/>
      <c r="T1797" s="65" t="s">
        <v>70</v>
      </c>
      <c r="U1797" s="26"/>
      <c r="V1797" s="26"/>
      <c r="W1797" s="26"/>
      <c r="X1797" s="26"/>
      <c r="Y1797" s="26"/>
      <c r="Z1797" s="26"/>
      <c r="AA1797" s="26"/>
      <c r="AB1797" s="26"/>
      <c r="AC1797" s="26"/>
    </row>
    <row r="1798" ht="33.75" customHeight="1">
      <c r="A1798" s="116" t="s">
        <v>3026</v>
      </c>
      <c r="B1798" s="77" t="s">
        <v>2905</v>
      </c>
      <c r="C1798" s="77" t="s">
        <v>3006</v>
      </c>
      <c r="D1798" s="77" t="s">
        <v>3027</v>
      </c>
      <c r="E1798" s="117" t="s">
        <v>3028</v>
      </c>
      <c r="F1798" s="118" t="s">
        <v>3020</v>
      </c>
      <c r="G1798" s="118" t="s">
        <v>154</v>
      </c>
      <c r="H1798" s="119" t="s">
        <v>154</v>
      </c>
      <c r="I1798" s="54"/>
      <c r="J1798" s="118" t="s">
        <v>9</v>
      </c>
      <c r="K1798" s="120" t="s">
        <v>9</v>
      </c>
      <c r="L1798" s="51">
        <f>IF(COUNT(L1799:N1801)=0,"",SUM(L1799:L1801))</f>
        <v>0</v>
      </c>
      <c r="M1798" s="51">
        <f t="shared" si="1092"/>
        <v>0</v>
      </c>
      <c r="N1798" s="51">
        <f>IF(COUNT(L1799:N1801)=0,"",SUM(N1799:N1801))</f>
        <v>0</v>
      </c>
      <c r="O1798" s="51">
        <f>IF(COUNT(O1799:O1801)=0,"",SUM(O1799:O1801))</f>
        <v>0</v>
      </c>
      <c r="P1798" s="52"/>
      <c r="Q1798" s="51">
        <f>IF(COUNT(Q1799:Q1801)=0,"",SUM(Q1799:Q1801))</f>
        <v>0</v>
      </c>
      <c r="R1798" s="53"/>
      <c r="S1798" s="53"/>
      <c r="T1798" s="54" t="s">
        <v>65</v>
      </c>
      <c r="U1798" s="26"/>
      <c r="V1798" s="26"/>
      <c r="W1798" s="26"/>
      <c r="X1798" s="46"/>
      <c r="Y1798" s="46"/>
      <c r="Z1798" s="46"/>
      <c r="AA1798" s="46"/>
      <c r="AB1798" s="232"/>
      <c r="AC1798" s="46"/>
    </row>
    <row r="1799" ht="33.75" customHeight="1">
      <c r="A1799" s="65" t="s">
        <v>3029</v>
      </c>
      <c r="B1799" s="215" t="s">
        <v>2905</v>
      </c>
      <c r="C1799" s="215" t="s">
        <v>3006</v>
      </c>
      <c r="D1799" s="215" t="s">
        <v>3027</v>
      </c>
      <c r="E1799" s="215" t="s">
        <v>3028</v>
      </c>
      <c r="F1799" s="65" t="s">
        <v>3020</v>
      </c>
      <c r="G1799" s="65" t="s">
        <v>154</v>
      </c>
      <c r="H1799" s="65" t="s">
        <v>154</v>
      </c>
      <c r="I1799" s="65"/>
      <c r="J1799" s="65" t="s">
        <v>9</v>
      </c>
      <c r="K1799" s="65" t="s">
        <v>9</v>
      </c>
      <c r="L1799" s="128"/>
      <c r="M1799" s="129">
        <f t="shared" si="1092"/>
        <v>0</v>
      </c>
      <c r="N1799" s="128"/>
      <c r="O1799" s="129">
        <f t="shared" ref="O1799:O1801" si="1133">IF(COUNT(L1799:N1799)=0,"",(L1799+4*M1799+N1799)/6)</f>
        <v>0</v>
      </c>
      <c r="P1799" s="159"/>
      <c r="Q1799" s="208">
        <f t="shared" ref="Q1799:Q1801" si="1134">IF(O1799="","",IF(P1799="",O1799,O1799*(1+P1799)))</f>
        <v>0</v>
      </c>
      <c r="R1799" s="132"/>
      <c r="S1799" s="132"/>
      <c r="T1799" s="65" t="s">
        <v>31</v>
      </c>
      <c r="U1799" s="26"/>
      <c r="V1799" s="26"/>
      <c r="W1799" s="26"/>
      <c r="X1799" s="26"/>
      <c r="Y1799" s="26"/>
      <c r="Z1799" s="26"/>
      <c r="AA1799" s="26"/>
      <c r="AB1799" s="26"/>
      <c r="AC1799" s="26"/>
    </row>
    <row r="1800" ht="33.75" customHeight="1">
      <c r="A1800" s="65" t="s">
        <v>3030</v>
      </c>
      <c r="B1800" s="215" t="s">
        <v>2905</v>
      </c>
      <c r="C1800" s="215" t="s">
        <v>3006</v>
      </c>
      <c r="D1800" s="215" t="s">
        <v>3027</v>
      </c>
      <c r="E1800" s="215" t="s">
        <v>3028</v>
      </c>
      <c r="F1800" s="65" t="s">
        <v>3020</v>
      </c>
      <c r="G1800" s="65" t="s">
        <v>154</v>
      </c>
      <c r="H1800" s="65" t="s">
        <v>154</v>
      </c>
      <c r="I1800" s="65"/>
      <c r="J1800" s="65" t="s">
        <v>9</v>
      </c>
      <c r="K1800" s="65" t="s">
        <v>9</v>
      </c>
      <c r="L1800" s="128"/>
      <c r="M1800" s="129">
        <f t="shared" si="1092"/>
        <v>0</v>
      </c>
      <c r="N1800" s="128"/>
      <c r="O1800" s="129">
        <f t="shared" si="1133"/>
        <v>0</v>
      </c>
      <c r="P1800" s="159"/>
      <c r="Q1800" s="208">
        <f t="shared" si="1134"/>
        <v>0</v>
      </c>
      <c r="R1800" s="132"/>
      <c r="S1800" s="132"/>
      <c r="T1800" s="65" t="s">
        <v>32</v>
      </c>
      <c r="U1800" s="26"/>
      <c r="V1800" s="26"/>
      <c r="W1800" s="26"/>
      <c r="X1800" s="26"/>
      <c r="Y1800" s="26"/>
      <c r="Z1800" s="26"/>
      <c r="AA1800" s="26"/>
      <c r="AB1800" s="26"/>
      <c r="AC1800" s="26"/>
    </row>
    <row r="1801" ht="33.75" customHeight="1">
      <c r="A1801" s="65" t="s">
        <v>3031</v>
      </c>
      <c r="B1801" s="215" t="s">
        <v>2905</v>
      </c>
      <c r="C1801" s="215" t="s">
        <v>3006</v>
      </c>
      <c r="D1801" s="215" t="s">
        <v>3027</v>
      </c>
      <c r="E1801" s="215" t="s">
        <v>3028</v>
      </c>
      <c r="F1801" s="65" t="s">
        <v>3020</v>
      </c>
      <c r="G1801" s="65" t="s">
        <v>154</v>
      </c>
      <c r="H1801" s="65" t="s">
        <v>154</v>
      </c>
      <c r="I1801" s="65"/>
      <c r="J1801" s="65" t="s">
        <v>9</v>
      </c>
      <c r="K1801" s="65" t="s">
        <v>9</v>
      </c>
      <c r="L1801" s="128"/>
      <c r="M1801" s="129">
        <f t="shared" si="1092"/>
        <v>0</v>
      </c>
      <c r="N1801" s="128"/>
      <c r="O1801" s="129">
        <f t="shared" si="1133"/>
        <v>0</v>
      </c>
      <c r="P1801" s="159"/>
      <c r="Q1801" s="208">
        <f t="shared" si="1134"/>
        <v>0</v>
      </c>
      <c r="R1801" s="132"/>
      <c r="S1801" s="132"/>
      <c r="T1801" s="65" t="s">
        <v>70</v>
      </c>
      <c r="U1801" s="26"/>
      <c r="V1801" s="26"/>
      <c r="W1801" s="26"/>
      <c r="X1801" s="26"/>
      <c r="Y1801" s="26"/>
      <c r="Z1801" s="26"/>
      <c r="AA1801" s="26"/>
      <c r="AB1801" s="26"/>
      <c r="AC1801" s="26"/>
    </row>
    <row r="1802" ht="33.75" customHeight="1">
      <c r="A1802" s="98" t="s">
        <v>3032</v>
      </c>
      <c r="B1802" s="99" t="s">
        <v>2905</v>
      </c>
      <c r="C1802" s="99" t="s">
        <v>3006</v>
      </c>
      <c r="D1802" s="99" t="s">
        <v>3033</v>
      </c>
      <c r="E1802" s="99" t="s">
        <v>3034</v>
      </c>
      <c r="F1802" s="98" t="s">
        <v>3014</v>
      </c>
      <c r="G1802" s="98" t="s">
        <v>200</v>
      </c>
      <c r="H1802" s="98" t="s">
        <v>200</v>
      </c>
      <c r="I1802" s="98"/>
      <c r="J1802" s="98" t="s">
        <v>14</v>
      </c>
      <c r="K1802" s="100" t="s">
        <v>14</v>
      </c>
      <c r="L1802" s="101">
        <f>IF(COUNT(L1803:N1805)=0,"",SUM(L1803:L1805))</f>
        <v>0</v>
      </c>
      <c r="M1802" s="102">
        <f t="shared" si="1092"/>
        <v>0</v>
      </c>
      <c r="N1802" s="101">
        <f>IF(COUNT(L1803:N1805)=0,"",SUM(N1803:N1805))</f>
        <v>0</v>
      </c>
      <c r="O1802" s="101">
        <f>IF(COUNT(O1803:O1805)=0,"",SUM(O1803:O1805))</f>
        <v>0</v>
      </c>
      <c r="P1802" s="103"/>
      <c r="Q1802" s="101">
        <f>IF(COUNT(Q1803:Q1805)=0,"",SUM(Q1803:Q1805))</f>
        <v>0</v>
      </c>
      <c r="R1802" s="104"/>
      <c r="S1802" s="104"/>
      <c r="T1802" s="98" t="s">
        <v>65</v>
      </c>
      <c r="U1802" s="26"/>
      <c r="V1802" s="26"/>
      <c r="W1802" s="26"/>
      <c r="X1802" s="105"/>
      <c r="Y1802" s="105"/>
      <c r="Z1802" s="105"/>
      <c r="AA1802" s="105"/>
      <c r="AB1802" s="105"/>
      <c r="AC1802" s="105"/>
    </row>
    <row r="1803" ht="33.75" customHeight="1">
      <c r="A1803" s="106" t="s">
        <v>3035</v>
      </c>
      <c r="B1803" s="107" t="s">
        <v>2905</v>
      </c>
      <c r="C1803" s="107" t="s">
        <v>3006</v>
      </c>
      <c r="D1803" s="107" t="s">
        <v>3033</v>
      </c>
      <c r="E1803" s="107" t="s">
        <v>3034</v>
      </c>
      <c r="F1803" s="106" t="s">
        <v>3014</v>
      </c>
      <c r="G1803" s="106" t="s">
        <v>200</v>
      </c>
      <c r="H1803" s="106" t="s">
        <v>200</v>
      </c>
      <c r="I1803" s="106"/>
      <c r="J1803" s="106" t="s">
        <v>14</v>
      </c>
      <c r="K1803" s="108" t="s">
        <v>14</v>
      </c>
      <c r="L1803" s="109"/>
      <c r="M1803" s="109">
        <f t="shared" si="1092"/>
        <v>0</v>
      </c>
      <c r="N1803" s="109"/>
      <c r="O1803" s="109">
        <f t="shared" ref="O1803:O1805" si="1135">IF(COUNT(L1803:N1803)=0,"",(L1803+4*M1803+N1803)/6)</f>
        <v>0</v>
      </c>
      <c r="P1803" s="110"/>
      <c r="Q1803" s="109">
        <f t="shared" ref="Q1803:Q1805" si="1136">IF(O1803="","",IF(P1803="",O1803,O1803*(1+P1803)))</f>
        <v>0</v>
      </c>
      <c r="R1803" s="111"/>
      <c r="S1803" s="111"/>
      <c r="T1803" s="106" t="s">
        <v>31</v>
      </c>
      <c r="U1803" s="26"/>
      <c r="V1803" s="26"/>
      <c r="W1803" s="26"/>
      <c r="X1803" s="26"/>
      <c r="Y1803" s="26"/>
      <c r="Z1803" s="26"/>
      <c r="AA1803" s="26"/>
      <c r="AB1803" s="26"/>
      <c r="AC1803" s="26"/>
    </row>
    <row r="1804" ht="33.75" customHeight="1">
      <c r="A1804" s="106" t="s">
        <v>3036</v>
      </c>
      <c r="B1804" s="107" t="s">
        <v>2905</v>
      </c>
      <c r="C1804" s="107" t="s">
        <v>3006</v>
      </c>
      <c r="D1804" s="107" t="s">
        <v>3033</v>
      </c>
      <c r="E1804" s="107" t="s">
        <v>3034</v>
      </c>
      <c r="F1804" s="106" t="s">
        <v>3014</v>
      </c>
      <c r="G1804" s="106" t="s">
        <v>200</v>
      </c>
      <c r="H1804" s="106" t="s">
        <v>200</v>
      </c>
      <c r="I1804" s="106"/>
      <c r="J1804" s="106" t="s">
        <v>14</v>
      </c>
      <c r="K1804" s="108" t="s">
        <v>14</v>
      </c>
      <c r="L1804" s="109"/>
      <c r="M1804" s="109">
        <f t="shared" si="1092"/>
        <v>0</v>
      </c>
      <c r="N1804" s="109"/>
      <c r="O1804" s="109">
        <f t="shared" si="1135"/>
        <v>0</v>
      </c>
      <c r="P1804" s="110"/>
      <c r="Q1804" s="109">
        <f t="shared" si="1136"/>
        <v>0</v>
      </c>
      <c r="R1804" s="111"/>
      <c r="S1804" s="111"/>
      <c r="T1804" s="106" t="s">
        <v>32</v>
      </c>
      <c r="U1804" s="26"/>
      <c r="V1804" s="26"/>
      <c r="W1804" s="26"/>
      <c r="X1804" s="26"/>
      <c r="Y1804" s="26"/>
      <c r="Z1804" s="26"/>
      <c r="AA1804" s="26"/>
      <c r="AB1804" s="26"/>
      <c r="AC1804" s="26"/>
    </row>
    <row r="1805" ht="33.75" customHeight="1">
      <c r="A1805" s="106" t="s">
        <v>3037</v>
      </c>
      <c r="B1805" s="107" t="s">
        <v>2905</v>
      </c>
      <c r="C1805" s="107" t="s">
        <v>3006</v>
      </c>
      <c r="D1805" s="107" t="s">
        <v>3033</v>
      </c>
      <c r="E1805" s="107" t="s">
        <v>3034</v>
      </c>
      <c r="F1805" s="106" t="s">
        <v>3014</v>
      </c>
      <c r="G1805" s="106" t="s">
        <v>200</v>
      </c>
      <c r="H1805" s="106" t="s">
        <v>200</v>
      </c>
      <c r="I1805" s="106"/>
      <c r="J1805" s="106" t="s">
        <v>14</v>
      </c>
      <c r="K1805" s="108" t="s">
        <v>14</v>
      </c>
      <c r="L1805" s="109"/>
      <c r="M1805" s="109">
        <f t="shared" si="1092"/>
        <v>0</v>
      </c>
      <c r="N1805" s="109"/>
      <c r="O1805" s="109">
        <f t="shared" si="1135"/>
        <v>0</v>
      </c>
      <c r="P1805" s="110"/>
      <c r="Q1805" s="109">
        <f t="shared" si="1136"/>
        <v>0</v>
      </c>
      <c r="R1805" s="111"/>
      <c r="S1805" s="111"/>
      <c r="T1805" s="106" t="s">
        <v>70</v>
      </c>
      <c r="U1805" s="26"/>
      <c r="V1805" s="26"/>
      <c r="W1805" s="26"/>
      <c r="X1805" s="26"/>
      <c r="Y1805" s="26"/>
      <c r="Z1805" s="26"/>
      <c r="AA1805" s="26"/>
      <c r="AB1805" s="26"/>
      <c r="AC1805" s="26"/>
    </row>
    <row r="1806" ht="33.75" customHeight="1">
      <c r="A1806" s="98" t="s">
        <v>3038</v>
      </c>
      <c r="B1806" s="99" t="s">
        <v>2905</v>
      </c>
      <c r="C1806" s="99" t="s">
        <v>3006</v>
      </c>
      <c r="D1806" s="99" t="s">
        <v>3039</v>
      </c>
      <c r="E1806" s="99" t="s">
        <v>3040</v>
      </c>
      <c r="F1806" s="98" t="s">
        <v>2975</v>
      </c>
      <c r="G1806" s="98" t="s">
        <v>3041</v>
      </c>
      <c r="H1806" s="98" t="s">
        <v>3041</v>
      </c>
      <c r="I1806" s="98"/>
      <c r="J1806" s="98" t="s">
        <v>14</v>
      </c>
      <c r="K1806" s="100" t="s">
        <v>14</v>
      </c>
      <c r="L1806" s="101">
        <f>IF(COUNT(L1807:N1809)=0,"",SUM(L1807:L1809))</f>
        <v>0</v>
      </c>
      <c r="M1806" s="102">
        <f t="shared" si="1092"/>
        <v>0</v>
      </c>
      <c r="N1806" s="101">
        <f>IF(COUNT(L1807:N1809)=0,"",SUM(N1807:N1809))</f>
        <v>0</v>
      </c>
      <c r="O1806" s="101">
        <f>IF(COUNT(O1807:O1809)=0,"",SUM(O1807:O1809))</f>
        <v>0</v>
      </c>
      <c r="P1806" s="103"/>
      <c r="Q1806" s="101">
        <f>IF(COUNT(Q1807:Q1809)=0,"",SUM(Q1807:Q1809))</f>
        <v>0</v>
      </c>
      <c r="R1806" s="104"/>
      <c r="S1806" s="104"/>
      <c r="T1806" s="98" t="s">
        <v>65</v>
      </c>
      <c r="U1806" s="26"/>
      <c r="V1806" s="26"/>
      <c r="W1806" s="26"/>
      <c r="X1806" s="105"/>
      <c r="Y1806" s="105"/>
      <c r="Z1806" s="105"/>
      <c r="AA1806" s="105"/>
      <c r="AB1806" s="105"/>
      <c r="AC1806" s="105"/>
    </row>
    <row r="1807" ht="33.75" customHeight="1">
      <c r="A1807" s="106" t="s">
        <v>3042</v>
      </c>
      <c r="B1807" s="107" t="s">
        <v>2905</v>
      </c>
      <c r="C1807" s="107" t="s">
        <v>3006</v>
      </c>
      <c r="D1807" s="107" t="s">
        <v>3039</v>
      </c>
      <c r="E1807" s="107" t="s">
        <v>3040</v>
      </c>
      <c r="F1807" s="106" t="s">
        <v>2975</v>
      </c>
      <c r="G1807" s="106" t="s">
        <v>3041</v>
      </c>
      <c r="H1807" s="106" t="s">
        <v>3041</v>
      </c>
      <c r="I1807" s="106"/>
      <c r="J1807" s="106" t="s">
        <v>14</v>
      </c>
      <c r="K1807" s="108" t="s">
        <v>14</v>
      </c>
      <c r="L1807" s="109"/>
      <c r="M1807" s="109">
        <f t="shared" si="1092"/>
        <v>0</v>
      </c>
      <c r="N1807" s="109"/>
      <c r="O1807" s="109">
        <f t="shared" ref="O1807:O1809" si="1137">IF(COUNT(L1807:N1807)=0,"",(L1807+4*M1807+N1807)/6)</f>
        <v>0</v>
      </c>
      <c r="P1807" s="110"/>
      <c r="Q1807" s="109">
        <f t="shared" ref="Q1807:Q1809" si="1138">IF(O1807="","",IF(P1807="",O1807,O1807*(1+P1807)))</f>
        <v>0</v>
      </c>
      <c r="R1807" s="111"/>
      <c r="S1807" s="111"/>
      <c r="T1807" s="106" t="s">
        <v>31</v>
      </c>
      <c r="U1807" s="26"/>
      <c r="V1807" s="26"/>
      <c r="W1807" s="26"/>
      <c r="X1807" s="26"/>
      <c r="Y1807" s="26"/>
      <c r="Z1807" s="26"/>
      <c r="AA1807" s="26"/>
      <c r="AB1807" s="26"/>
      <c r="AC1807" s="26"/>
    </row>
    <row r="1808" ht="33.75" customHeight="1">
      <c r="A1808" s="106" t="s">
        <v>3043</v>
      </c>
      <c r="B1808" s="107" t="s">
        <v>2905</v>
      </c>
      <c r="C1808" s="107" t="s">
        <v>3006</v>
      </c>
      <c r="D1808" s="107" t="s">
        <v>3039</v>
      </c>
      <c r="E1808" s="107" t="s">
        <v>3040</v>
      </c>
      <c r="F1808" s="106" t="s">
        <v>2975</v>
      </c>
      <c r="G1808" s="106" t="s">
        <v>3041</v>
      </c>
      <c r="H1808" s="106" t="s">
        <v>3041</v>
      </c>
      <c r="I1808" s="106"/>
      <c r="J1808" s="106" t="s">
        <v>14</v>
      </c>
      <c r="K1808" s="108" t="s">
        <v>14</v>
      </c>
      <c r="L1808" s="109"/>
      <c r="M1808" s="109">
        <f t="shared" si="1092"/>
        <v>0</v>
      </c>
      <c r="N1808" s="109"/>
      <c r="O1808" s="109">
        <f t="shared" si="1137"/>
        <v>0</v>
      </c>
      <c r="P1808" s="110"/>
      <c r="Q1808" s="109">
        <f t="shared" si="1138"/>
        <v>0</v>
      </c>
      <c r="R1808" s="111"/>
      <c r="S1808" s="111"/>
      <c r="T1808" s="106" t="s">
        <v>32</v>
      </c>
      <c r="U1808" s="26"/>
      <c r="V1808" s="26"/>
      <c r="W1808" s="26"/>
      <c r="X1808" s="26"/>
      <c r="Y1808" s="26"/>
      <c r="Z1808" s="26"/>
      <c r="AA1808" s="26"/>
      <c r="AB1808" s="26"/>
      <c r="AC1808" s="26"/>
    </row>
    <row r="1809" ht="33.75" customHeight="1">
      <c r="A1809" s="106" t="s">
        <v>3044</v>
      </c>
      <c r="B1809" s="107" t="s">
        <v>2905</v>
      </c>
      <c r="C1809" s="107" t="s">
        <v>3006</v>
      </c>
      <c r="D1809" s="107" t="s">
        <v>3039</v>
      </c>
      <c r="E1809" s="107" t="s">
        <v>3040</v>
      </c>
      <c r="F1809" s="106" t="s">
        <v>2975</v>
      </c>
      <c r="G1809" s="106" t="s">
        <v>3041</v>
      </c>
      <c r="H1809" s="106" t="s">
        <v>3041</v>
      </c>
      <c r="I1809" s="106"/>
      <c r="J1809" s="106" t="s">
        <v>14</v>
      </c>
      <c r="K1809" s="108" t="s">
        <v>14</v>
      </c>
      <c r="L1809" s="109"/>
      <c r="M1809" s="109">
        <f t="shared" si="1092"/>
        <v>0</v>
      </c>
      <c r="N1809" s="109"/>
      <c r="O1809" s="109">
        <f t="shared" si="1137"/>
        <v>0</v>
      </c>
      <c r="P1809" s="110"/>
      <c r="Q1809" s="109">
        <f t="shared" si="1138"/>
        <v>0</v>
      </c>
      <c r="R1809" s="111"/>
      <c r="S1809" s="111"/>
      <c r="T1809" s="106" t="s">
        <v>70</v>
      </c>
      <c r="U1809" s="26"/>
      <c r="V1809" s="26"/>
      <c r="W1809" s="26"/>
      <c r="X1809" s="26"/>
      <c r="Y1809" s="26"/>
      <c r="Z1809" s="26"/>
      <c r="AA1809" s="26"/>
      <c r="AB1809" s="26"/>
      <c r="AC1809" s="26"/>
    </row>
    <row r="1810" ht="33.75" customHeight="1">
      <c r="A1810" s="112" t="s">
        <v>3045</v>
      </c>
      <c r="B1810" s="38" t="s">
        <v>2905</v>
      </c>
      <c r="C1810" s="38" t="s">
        <v>3046</v>
      </c>
      <c r="D1810" s="38" t="s">
        <v>3046</v>
      </c>
      <c r="E1810" s="113" t="s">
        <v>3047</v>
      </c>
      <c r="F1810" s="114"/>
      <c r="G1810" s="114"/>
      <c r="H1810" s="45"/>
      <c r="I1810" s="45"/>
      <c r="J1810" s="114"/>
      <c r="K1810" s="115"/>
      <c r="L1810" s="42">
        <f>IF(COUNT(L1811,L1815,L1819,L1823,L1827)=0,"",SUM(L1811,L1815,L1819,L1823,L1827))</f>
        <v>0</v>
      </c>
      <c r="M1810" s="42">
        <f t="shared" si="1092"/>
        <v>0</v>
      </c>
      <c r="N1810" s="42">
        <f t="shared" ref="N1810:O1810" si="1139">IF(COUNT(N1811,N1815,N1819,N1823,N1827)=0,"",SUM(N1811,N1815,N1819,N1823,N1827))</f>
        <v>0</v>
      </c>
      <c r="O1810" s="42">
        <f t="shared" si="1139"/>
        <v>0</v>
      </c>
      <c r="P1810" s="43"/>
      <c r="Q1810" s="42">
        <f>IF(COUNT(Q1811,Q1815,Q1819,Q1823,Q1827)=0,"",SUM(Q1811,Q1815,Q1819,Q1823,Q1827))</f>
        <v>0</v>
      </c>
      <c r="R1810" s="44"/>
      <c r="S1810" s="44"/>
      <c r="T1810" s="45" t="s">
        <v>62</v>
      </c>
      <c r="U1810" s="26"/>
      <c r="V1810" s="26"/>
      <c r="W1810" s="26"/>
      <c r="X1810" s="46">
        <f t="shared" ref="X1810:AA1810" si="1140">L1810</f>
        <v>0</v>
      </c>
      <c r="Y1810" s="46">
        <f t="shared" si="1140"/>
        <v>0</v>
      </c>
      <c r="Z1810" s="46">
        <f t="shared" si="1140"/>
        <v>0</v>
      </c>
      <c r="AA1810" s="46">
        <f t="shared" si="1140"/>
        <v>0</v>
      </c>
      <c r="AB1810" s="26"/>
      <c r="AC1810" s="46">
        <f>Q1810</f>
        <v>0</v>
      </c>
    </row>
    <row r="1811" ht="33.75" customHeight="1">
      <c r="A1811" s="116" t="s">
        <v>3048</v>
      </c>
      <c r="B1811" s="77" t="s">
        <v>2905</v>
      </c>
      <c r="C1811" s="77" t="s">
        <v>3046</v>
      </c>
      <c r="D1811" s="77" t="s">
        <v>3049</v>
      </c>
      <c r="E1811" s="117" t="s">
        <v>3050</v>
      </c>
      <c r="F1811" s="118" t="s">
        <v>3051</v>
      </c>
      <c r="G1811" s="118" t="s">
        <v>168</v>
      </c>
      <c r="H1811" s="119" t="s">
        <v>168</v>
      </c>
      <c r="I1811" s="54"/>
      <c r="J1811" s="118" t="s">
        <v>9</v>
      </c>
      <c r="K1811" s="120" t="s">
        <v>9</v>
      </c>
      <c r="L1811" s="51">
        <f>IF(COUNT(L1812:N1814)=0,"",SUM(L1812:L1814))</f>
        <v>0</v>
      </c>
      <c r="M1811" s="51">
        <f t="shared" si="1092"/>
        <v>0</v>
      </c>
      <c r="N1811" s="51">
        <f>IF(COUNT(L1812:N1814)=0,"",SUM(N1812:N1814))</f>
        <v>0</v>
      </c>
      <c r="O1811" s="51">
        <f>IF(COUNT(O1812:O1814)=0,"",SUM(O1812:O1814))</f>
        <v>0</v>
      </c>
      <c r="P1811" s="52"/>
      <c r="Q1811" s="51">
        <f>IF(COUNT(Q1812:Q1814)=0,"",SUM(Q1812:Q1814))</f>
        <v>0</v>
      </c>
      <c r="R1811" s="53"/>
      <c r="S1811" s="53"/>
      <c r="T1811" s="54" t="s">
        <v>65</v>
      </c>
      <c r="U1811" s="26"/>
      <c r="V1811" s="26"/>
      <c r="W1811" s="26"/>
      <c r="X1811" s="46"/>
      <c r="Y1811" s="46"/>
      <c r="Z1811" s="46"/>
      <c r="AA1811" s="46"/>
      <c r="AB1811" s="232"/>
      <c r="AC1811" s="46"/>
    </row>
    <row r="1812" ht="33.75" customHeight="1">
      <c r="A1812" s="65" t="s">
        <v>3052</v>
      </c>
      <c r="B1812" s="215" t="s">
        <v>2905</v>
      </c>
      <c r="C1812" s="215" t="s">
        <v>3046</v>
      </c>
      <c r="D1812" s="215" t="s">
        <v>3049</v>
      </c>
      <c r="E1812" s="215" t="s">
        <v>3050</v>
      </c>
      <c r="F1812" s="65" t="s">
        <v>3051</v>
      </c>
      <c r="G1812" s="65" t="s">
        <v>168</v>
      </c>
      <c r="H1812" s="65" t="s">
        <v>168</v>
      </c>
      <c r="I1812" s="65"/>
      <c r="J1812" s="65" t="s">
        <v>9</v>
      </c>
      <c r="K1812" s="65" t="s">
        <v>9</v>
      </c>
      <c r="L1812" s="128"/>
      <c r="M1812" s="129">
        <f t="shared" si="1092"/>
        <v>0</v>
      </c>
      <c r="N1812" s="128"/>
      <c r="O1812" s="129">
        <f t="shared" ref="O1812:O1814" si="1141">IF(COUNT(L1812:N1812)=0,"",(L1812+4*M1812+N1812)/6)</f>
        <v>0</v>
      </c>
      <c r="P1812" s="159"/>
      <c r="Q1812" s="208">
        <f t="shared" ref="Q1812:Q1814" si="1142">IF(O1812="","",IF(P1812="",O1812,O1812*(1+P1812)))</f>
        <v>0</v>
      </c>
      <c r="R1812" s="132"/>
      <c r="S1812" s="132"/>
      <c r="T1812" s="65" t="s">
        <v>31</v>
      </c>
      <c r="U1812" s="26"/>
      <c r="V1812" s="26"/>
      <c r="W1812" s="26"/>
      <c r="X1812" s="26"/>
      <c r="Y1812" s="26"/>
      <c r="Z1812" s="26"/>
      <c r="AA1812" s="26"/>
      <c r="AB1812" s="26"/>
      <c r="AC1812" s="26"/>
    </row>
    <row r="1813" ht="33.75" customHeight="1">
      <c r="A1813" s="65" t="s">
        <v>3053</v>
      </c>
      <c r="B1813" s="215" t="s">
        <v>2905</v>
      </c>
      <c r="C1813" s="215" t="s">
        <v>3046</v>
      </c>
      <c r="D1813" s="215" t="s">
        <v>3049</v>
      </c>
      <c r="E1813" s="215" t="s">
        <v>3050</v>
      </c>
      <c r="F1813" s="65" t="s">
        <v>3051</v>
      </c>
      <c r="G1813" s="65" t="s">
        <v>168</v>
      </c>
      <c r="H1813" s="65" t="s">
        <v>168</v>
      </c>
      <c r="I1813" s="65"/>
      <c r="J1813" s="65" t="s">
        <v>9</v>
      </c>
      <c r="K1813" s="65" t="s">
        <v>9</v>
      </c>
      <c r="L1813" s="128"/>
      <c r="M1813" s="129">
        <f t="shared" si="1092"/>
        <v>0</v>
      </c>
      <c r="N1813" s="128"/>
      <c r="O1813" s="129">
        <f t="shared" si="1141"/>
        <v>0</v>
      </c>
      <c r="P1813" s="159"/>
      <c r="Q1813" s="208">
        <f t="shared" si="1142"/>
        <v>0</v>
      </c>
      <c r="R1813" s="132"/>
      <c r="S1813" s="132"/>
      <c r="T1813" s="65" t="s">
        <v>32</v>
      </c>
      <c r="U1813" s="26"/>
      <c r="V1813" s="26"/>
      <c r="W1813" s="26"/>
      <c r="X1813" s="26"/>
      <c r="Y1813" s="26"/>
      <c r="Z1813" s="26"/>
      <c r="AA1813" s="26"/>
      <c r="AB1813" s="26"/>
      <c r="AC1813" s="26"/>
    </row>
    <row r="1814" ht="33.75" customHeight="1">
      <c r="A1814" s="65" t="s">
        <v>3054</v>
      </c>
      <c r="B1814" s="215" t="s">
        <v>2905</v>
      </c>
      <c r="C1814" s="215" t="s">
        <v>3046</v>
      </c>
      <c r="D1814" s="215" t="s">
        <v>3049</v>
      </c>
      <c r="E1814" s="215" t="s">
        <v>3050</v>
      </c>
      <c r="F1814" s="65" t="s">
        <v>3051</v>
      </c>
      <c r="G1814" s="65" t="s">
        <v>168</v>
      </c>
      <c r="H1814" s="65" t="s">
        <v>168</v>
      </c>
      <c r="I1814" s="65"/>
      <c r="J1814" s="65" t="s">
        <v>9</v>
      </c>
      <c r="K1814" s="65" t="s">
        <v>9</v>
      </c>
      <c r="L1814" s="128"/>
      <c r="M1814" s="129">
        <f t="shared" si="1092"/>
        <v>0</v>
      </c>
      <c r="N1814" s="128"/>
      <c r="O1814" s="129">
        <f t="shared" si="1141"/>
        <v>0</v>
      </c>
      <c r="P1814" s="159"/>
      <c r="Q1814" s="208">
        <f t="shared" si="1142"/>
        <v>0</v>
      </c>
      <c r="R1814" s="132"/>
      <c r="S1814" s="132"/>
      <c r="T1814" s="65" t="s">
        <v>70</v>
      </c>
      <c r="U1814" s="26"/>
      <c r="V1814" s="26"/>
      <c r="W1814" s="26"/>
      <c r="X1814" s="26"/>
      <c r="Y1814" s="26"/>
      <c r="Z1814" s="26"/>
      <c r="AA1814" s="26"/>
      <c r="AB1814" s="26"/>
      <c r="AC1814" s="26"/>
    </row>
    <row r="1815" ht="33.75" customHeight="1">
      <c r="A1815" s="98" t="s">
        <v>3055</v>
      </c>
      <c r="B1815" s="99" t="s">
        <v>2905</v>
      </c>
      <c r="C1815" s="99" t="s">
        <v>3046</v>
      </c>
      <c r="D1815" s="99" t="s">
        <v>3056</v>
      </c>
      <c r="E1815" s="99" t="s">
        <v>3057</v>
      </c>
      <c r="F1815" s="98" t="s">
        <v>3058</v>
      </c>
      <c r="G1815" s="98" t="s">
        <v>200</v>
      </c>
      <c r="H1815" s="98" t="s">
        <v>200</v>
      </c>
      <c r="I1815" s="98"/>
      <c r="J1815" s="98" t="s">
        <v>12</v>
      </c>
      <c r="K1815" s="100" t="s">
        <v>12</v>
      </c>
      <c r="L1815" s="101">
        <f>IF(COUNT(L1816:N1818)=0,"",SUM(L1816:L1818))</f>
        <v>0</v>
      </c>
      <c r="M1815" s="102">
        <f t="shared" si="1092"/>
        <v>0</v>
      </c>
      <c r="N1815" s="101">
        <f>IF(COUNT(L1816:N1818)=0,"",SUM(N1816:N1818))</f>
        <v>0</v>
      </c>
      <c r="O1815" s="101">
        <f>IF(COUNT(O1816:O1818)=0,"",SUM(O1816:O1818))</f>
        <v>0</v>
      </c>
      <c r="P1815" s="103"/>
      <c r="Q1815" s="101">
        <f>IF(COUNT(Q1816:Q1818)=0,"",SUM(Q1816:Q1818))</f>
        <v>0</v>
      </c>
      <c r="R1815" s="104"/>
      <c r="S1815" s="104"/>
      <c r="T1815" s="98" t="s">
        <v>65</v>
      </c>
      <c r="U1815" s="26"/>
      <c r="V1815" s="26"/>
      <c r="W1815" s="26"/>
      <c r="X1815" s="105"/>
      <c r="Y1815" s="105"/>
      <c r="Z1815" s="105"/>
      <c r="AA1815" s="105"/>
      <c r="AB1815" s="105"/>
      <c r="AC1815" s="105"/>
    </row>
    <row r="1816" ht="33.75" customHeight="1">
      <c r="A1816" s="106" t="s">
        <v>3059</v>
      </c>
      <c r="B1816" s="107" t="s">
        <v>2905</v>
      </c>
      <c r="C1816" s="107" t="s">
        <v>3046</v>
      </c>
      <c r="D1816" s="107" t="s">
        <v>3056</v>
      </c>
      <c r="E1816" s="107" t="s">
        <v>3057</v>
      </c>
      <c r="F1816" s="106" t="s">
        <v>3058</v>
      </c>
      <c r="G1816" s="106" t="s">
        <v>200</v>
      </c>
      <c r="H1816" s="106" t="s">
        <v>200</v>
      </c>
      <c r="I1816" s="106"/>
      <c r="J1816" s="106" t="s">
        <v>12</v>
      </c>
      <c r="K1816" s="108" t="s">
        <v>12</v>
      </c>
      <c r="L1816" s="109"/>
      <c r="M1816" s="109">
        <f t="shared" si="1092"/>
        <v>0</v>
      </c>
      <c r="N1816" s="109"/>
      <c r="O1816" s="109">
        <f t="shared" ref="O1816:O1818" si="1143">IF(COUNT(L1816:N1816)=0,"",(L1816+4*M1816+N1816)/6)</f>
        <v>0</v>
      </c>
      <c r="P1816" s="110"/>
      <c r="Q1816" s="109">
        <f t="shared" ref="Q1816:Q1818" si="1144">IF(O1816="","",IF(P1816="",O1816,O1816*(1+P1816)))</f>
        <v>0</v>
      </c>
      <c r="R1816" s="111"/>
      <c r="S1816" s="111"/>
      <c r="T1816" s="106" t="s">
        <v>31</v>
      </c>
      <c r="U1816" s="26"/>
      <c r="V1816" s="26"/>
      <c r="W1816" s="26"/>
      <c r="X1816" s="26"/>
      <c r="Y1816" s="26"/>
      <c r="Z1816" s="26"/>
      <c r="AA1816" s="26"/>
      <c r="AB1816" s="26"/>
      <c r="AC1816" s="26"/>
    </row>
    <row r="1817" ht="33.75" customHeight="1">
      <c r="A1817" s="106" t="s">
        <v>3060</v>
      </c>
      <c r="B1817" s="107" t="s">
        <v>2905</v>
      </c>
      <c r="C1817" s="107" t="s">
        <v>3046</v>
      </c>
      <c r="D1817" s="107" t="s">
        <v>3056</v>
      </c>
      <c r="E1817" s="107" t="s">
        <v>3057</v>
      </c>
      <c r="F1817" s="106" t="s">
        <v>3058</v>
      </c>
      <c r="G1817" s="106" t="s">
        <v>200</v>
      </c>
      <c r="H1817" s="106" t="s">
        <v>200</v>
      </c>
      <c r="I1817" s="106"/>
      <c r="J1817" s="106" t="s">
        <v>12</v>
      </c>
      <c r="K1817" s="108" t="s">
        <v>12</v>
      </c>
      <c r="L1817" s="109"/>
      <c r="M1817" s="109">
        <f t="shared" si="1092"/>
        <v>0</v>
      </c>
      <c r="N1817" s="109"/>
      <c r="O1817" s="109">
        <f t="shared" si="1143"/>
        <v>0</v>
      </c>
      <c r="P1817" s="110"/>
      <c r="Q1817" s="109">
        <f t="shared" si="1144"/>
        <v>0</v>
      </c>
      <c r="R1817" s="111"/>
      <c r="S1817" s="111"/>
      <c r="T1817" s="106" t="s">
        <v>32</v>
      </c>
      <c r="U1817" s="26"/>
      <c r="V1817" s="26"/>
      <c r="W1817" s="26"/>
      <c r="X1817" s="26"/>
      <c r="Y1817" s="26"/>
      <c r="Z1817" s="26"/>
      <c r="AA1817" s="26"/>
      <c r="AB1817" s="26"/>
      <c r="AC1817" s="26"/>
    </row>
    <row r="1818" ht="33.75" customHeight="1">
      <c r="A1818" s="106" t="s">
        <v>3061</v>
      </c>
      <c r="B1818" s="107" t="s">
        <v>2905</v>
      </c>
      <c r="C1818" s="107" t="s">
        <v>3046</v>
      </c>
      <c r="D1818" s="107" t="s">
        <v>3056</v>
      </c>
      <c r="E1818" s="107" t="s">
        <v>3057</v>
      </c>
      <c r="F1818" s="106" t="s">
        <v>3058</v>
      </c>
      <c r="G1818" s="106" t="s">
        <v>200</v>
      </c>
      <c r="H1818" s="106" t="s">
        <v>200</v>
      </c>
      <c r="I1818" s="106"/>
      <c r="J1818" s="106" t="s">
        <v>12</v>
      </c>
      <c r="K1818" s="108" t="s">
        <v>12</v>
      </c>
      <c r="L1818" s="109"/>
      <c r="M1818" s="109">
        <f t="shared" si="1092"/>
        <v>0</v>
      </c>
      <c r="N1818" s="109"/>
      <c r="O1818" s="109">
        <f t="shared" si="1143"/>
        <v>0</v>
      </c>
      <c r="P1818" s="110"/>
      <c r="Q1818" s="109">
        <f t="shared" si="1144"/>
        <v>0</v>
      </c>
      <c r="R1818" s="111"/>
      <c r="S1818" s="111"/>
      <c r="T1818" s="106" t="s">
        <v>70</v>
      </c>
      <c r="U1818" s="26"/>
      <c r="V1818" s="26"/>
      <c r="W1818" s="26"/>
      <c r="X1818" s="26"/>
      <c r="Y1818" s="26"/>
      <c r="Z1818" s="26"/>
      <c r="AA1818" s="26"/>
      <c r="AB1818" s="26"/>
      <c r="AC1818" s="26"/>
    </row>
    <row r="1819" ht="33.75" customHeight="1">
      <c r="A1819" s="98" t="s">
        <v>3062</v>
      </c>
      <c r="B1819" s="99" t="s">
        <v>2905</v>
      </c>
      <c r="C1819" s="99" t="s">
        <v>3046</v>
      </c>
      <c r="D1819" s="99" t="s">
        <v>3063</v>
      </c>
      <c r="E1819" s="99" t="s">
        <v>3064</v>
      </c>
      <c r="F1819" s="98" t="s">
        <v>3065</v>
      </c>
      <c r="G1819" s="98" t="s">
        <v>200</v>
      </c>
      <c r="H1819" s="98" t="s">
        <v>200</v>
      </c>
      <c r="I1819" s="98"/>
      <c r="J1819" s="98" t="s">
        <v>12</v>
      </c>
      <c r="K1819" s="100" t="s">
        <v>12</v>
      </c>
      <c r="L1819" s="101">
        <f>IF(COUNT(L1820:N1822)=0,"",SUM(L1820:L1822))</f>
        <v>0</v>
      </c>
      <c r="M1819" s="102">
        <f t="shared" si="1092"/>
        <v>0</v>
      </c>
      <c r="N1819" s="101">
        <f>IF(COUNT(L1820:N1822)=0,"",SUM(N1820:N1822))</f>
        <v>0</v>
      </c>
      <c r="O1819" s="101">
        <f>IF(COUNT(O1820:O1822)=0,"",SUM(O1820:O1822))</f>
        <v>0</v>
      </c>
      <c r="P1819" s="103"/>
      <c r="Q1819" s="101">
        <f>IF(COUNT(Q1820:Q1822)=0,"",SUM(Q1820:Q1822))</f>
        <v>0</v>
      </c>
      <c r="R1819" s="104"/>
      <c r="S1819" s="104"/>
      <c r="T1819" s="98" t="s">
        <v>65</v>
      </c>
      <c r="U1819" s="26"/>
      <c r="V1819" s="26"/>
      <c r="W1819" s="26"/>
      <c r="X1819" s="105"/>
      <c r="Y1819" s="105"/>
      <c r="Z1819" s="105"/>
      <c r="AA1819" s="105"/>
      <c r="AB1819" s="105"/>
      <c r="AC1819" s="105"/>
    </row>
    <row r="1820" ht="33.75" customHeight="1">
      <c r="A1820" s="106" t="s">
        <v>3066</v>
      </c>
      <c r="B1820" s="107" t="s">
        <v>2905</v>
      </c>
      <c r="C1820" s="107" t="s">
        <v>3046</v>
      </c>
      <c r="D1820" s="107" t="s">
        <v>3063</v>
      </c>
      <c r="E1820" s="107" t="s">
        <v>3064</v>
      </c>
      <c r="F1820" s="106" t="s">
        <v>3065</v>
      </c>
      <c r="G1820" s="106" t="s">
        <v>200</v>
      </c>
      <c r="H1820" s="106" t="s">
        <v>200</v>
      </c>
      <c r="I1820" s="106"/>
      <c r="J1820" s="106" t="s">
        <v>12</v>
      </c>
      <c r="K1820" s="108" t="s">
        <v>12</v>
      </c>
      <c r="L1820" s="109"/>
      <c r="M1820" s="109">
        <f t="shared" si="1092"/>
        <v>0</v>
      </c>
      <c r="N1820" s="109"/>
      <c r="O1820" s="109">
        <f t="shared" ref="O1820:O1822" si="1145">IF(COUNT(L1820:N1820)=0,"",(L1820+4*M1820+N1820)/6)</f>
        <v>0</v>
      </c>
      <c r="P1820" s="110"/>
      <c r="Q1820" s="109">
        <f t="shared" ref="Q1820:Q1822" si="1146">IF(O1820="","",IF(P1820="",O1820,O1820*(1+P1820)))</f>
        <v>0</v>
      </c>
      <c r="R1820" s="111"/>
      <c r="S1820" s="111"/>
      <c r="T1820" s="106" t="s">
        <v>31</v>
      </c>
      <c r="U1820" s="26"/>
      <c r="V1820" s="26"/>
      <c r="W1820" s="26"/>
      <c r="X1820" s="26"/>
      <c r="Y1820" s="26"/>
      <c r="Z1820" s="26"/>
      <c r="AA1820" s="26"/>
      <c r="AB1820" s="26"/>
      <c r="AC1820" s="26"/>
    </row>
    <row r="1821" ht="33.75" customHeight="1">
      <c r="A1821" s="106" t="s">
        <v>3067</v>
      </c>
      <c r="B1821" s="107" t="s">
        <v>2905</v>
      </c>
      <c r="C1821" s="107" t="s">
        <v>3046</v>
      </c>
      <c r="D1821" s="107" t="s">
        <v>3063</v>
      </c>
      <c r="E1821" s="107" t="s">
        <v>3064</v>
      </c>
      <c r="F1821" s="106" t="s">
        <v>3065</v>
      </c>
      <c r="G1821" s="106" t="s">
        <v>200</v>
      </c>
      <c r="H1821" s="106" t="s">
        <v>200</v>
      </c>
      <c r="I1821" s="106"/>
      <c r="J1821" s="106" t="s">
        <v>12</v>
      </c>
      <c r="K1821" s="108" t="s">
        <v>12</v>
      </c>
      <c r="L1821" s="109"/>
      <c r="M1821" s="109">
        <f t="shared" si="1092"/>
        <v>0</v>
      </c>
      <c r="N1821" s="109"/>
      <c r="O1821" s="109">
        <f t="shared" si="1145"/>
        <v>0</v>
      </c>
      <c r="P1821" s="110"/>
      <c r="Q1821" s="109">
        <f t="shared" si="1146"/>
        <v>0</v>
      </c>
      <c r="R1821" s="111"/>
      <c r="S1821" s="111"/>
      <c r="T1821" s="106" t="s">
        <v>32</v>
      </c>
      <c r="U1821" s="26"/>
      <c r="V1821" s="26"/>
      <c r="W1821" s="26"/>
      <c r="X1821" s="26"/>
      <c r="Y1821" s="26"/>
      <c r="Z1821" s="26"/>
      <c r="AA1821" s="26"/>
      <c r="AB1821" s="26"/>
      <c r="AC1821" s="26"/>
    </row>
    <row r="1822" ht="33.75" customHeight="1">
      <c r="A1822" s="106" t="s">
        <v>3068</v>
      </c>
      <c r="B1822" s="107" t="s">
        <v>2905</v>
      </c>
      <c r="C1822" s="107" t="s">
        <v>3046</v>
      </c>
      <c r="D1822" s="107" t="s">
        <v>3063</v>
      </c>
      <c r="E1822" s="107" t="s">
        <v>3064</v>
      </c>
      <c r="F1822" s="106" t="s">
        <v>3065</v>
      </c>
      <c r="G1822" s="106" t="s">
        <v>200</v>
      </c>
      <c r="H1822" s="106" t="s">
        <v>200</v>
      </c>
      <c r="I1822" s="106"/>
      <c r="J1822" s="106" t="s">
        <v>12</v>
      </c>
      <c r="K1822" s="108" t="s">
        <v>12</v>
      </c>
      <c r="L1822" s="109"/>
      <c r="M1822" s="109">
        <f t="shared" si="1092"/>
        <v>0</v>
      </c>
      <c r="N1822" s="109"/>
      <c r="O1822" s="109">
        <f t="shared" si="1145"/>
        <v>0</v>
      </c>
      <c r="P1822" s="110"/>
      <c r="Q1822" s="109">
        <f t="shared" si="1146"/>
        <v>0</v>
      </c>
      <c r="R1822" s="111"/>
      <c r="S1822" s="111"/>
      <c r="T1822" s="106" t="s">
        <v>70</v>
      </c>
      <c r="U1822" s="26"/>
      <c r="V1822" s="26"/>
      <c r="W1822" s="26"/>
      <c r="X1822" s="26"/>
      <c r="Y1822" s="26"/>
      <c r="Z1822" s="26"/>
      <c r="AA1822" s="26"/>
      <c r="AB1822" s="26"/>
      <c r="AC1822" s="26"/>
    </row>
    <row r="1823" ht="33.75" customHeight="1">
      <c r="A1823" s="98" t="s">
        <v>3069</v>
      </c>
      <c r="B1823" s="99" t="s">
        <v>2905</v>
      </c>
      <c r="C1823" s="99" t="s">
        <v>3046</v>
      </c>
      <c r="D1823" s="99" t="s">
        <v>3070</v>
      </c>
      <c r="E1823" s="99" t="s">
        <v>3071</v>
      </c>
      <c r="F1823" s="98" t="s">
        <v>3072</v>
      </c>
      <c r="G1823" s="98" t="s">
        <v>168</v>
      </c>
      <c r="H1823" s="98" t="s">
        <v>168</v>
      </c>
      <c r="I1823" s="98"/>
      <c r="J1823" s="98" t="s">
        <v>12</v>
      </c>
      <c r="K1823" s="100" t="s">
        <v>12</v>
      </c>
      <c r="L1823" s="101">
        <f>IF(COUNT(L1824:N1826)=0,"",SUM(L1824:L1826))</f>
        <v>0</v>
      </c>
      <c r="M1823" s="102">
        <f t="shared" si="1092"/>
        <v>0</v>
      </c>
      <c r="N1823" s="101">
        <f>IF(COUNT(L1824:N1826)=0,"",SUM(N1824:N1826))</f>
        <v>0</v>
      </c>
      <c r="O1823" s="101">
        <f>IF(COUNT(O1824:O1826)=0,"",SUM(O1824:O1826))</f>
        <v>0</v>
      </c>
      <c r="P1823" s="103"/>
      <c r="Q1823" s="101">
        <f>IF(COUNT(Q1824:Q1826)=0,"",SUM(Q1824:Q1826))</f>
        <v>0</v>
      </c>
      <c r="R1823" s="104"/>
      <c r="S1823" s="104"/>
      <c r="T1823" s="98" t="s">
        <v>65</v>
      </c>
      <c r="U1823" s="26"/>
      <c r="V1823" s="26"/>
      <c r="W1823" s="26"/>
      <c r="X1823" s="105"/>
      <c r="Y1823" s="105"/>
      <c r="Z1823" s="105"/>
      <c r="AA1823" s="105"/>
      <c r="AB1823" s="105"/>
      <c r="AC1823" s="105"/>
    </row>
    <row r="1824" ht="33.75" customHeight="1">
      <c r="A1824" s="106" t="s">
        <v>3073</v>
      </c>
      <c r="B1824" s="107" t="s">
        <v>2905</v>
      </c>
      <c r="C1824" s="107" t="s">
        <v>3046</v>
      </c>
      <c r="D1824" s="107" t="s">
        <v>3070</v>
      </c>
      <c r="E1824" s="107" t="s">
        <v>3071</v>
      </c>
      <c r="F1824" s="106" t="s">
        <v>3072</v>
      </c>
      <c r="G1824" s="106" t="s">
        <v>168</v>
      </c>
      <c r="H1824" s="106" t="s">
        <v>168</v>
      </c>
      <c r="I1824" s="106"/>
      <c r="J1824" s="106" t="s">
        <v>12</v>
      </c>
      <c r="K1824" s="108" t="s">
        <v>12</v>
      </c>
      <c r="L1824" s="109"/>
      <c r="M1824" s="109">
        <f t="shared" si="1092"/>
        <v>0</v>
      </c>
      <c r="N1824" s="109"/>
      <c r="O1824" s="109">
        <f t="shared" ref="O1824:O1826" si="1147">IF(COUNT(L1824:N1824)=0,"",(L1824+4*M1824+N1824)/6)</f>
        <v>0</v>
      </c>
      <c r="P1824" s="110"/>
      <c r="Q1824" s="109">
        <f t="shared" ref="Q1824:Q1826" si="1148">IF(O1824="","",IF(P1824="",O1824,O1824*(1+P1824)))</f>
        <v>0</v>
      </c>
      <c r="R1824" s="111"/>
      <c r="S1824" s="111"/>
      <c r="T1824" s="106" t="s">
        <v>31</v>
      </c>
      <c r="U1824" s="26"/>
      <c r="V1824" s="26"/>
      <c r="W1824" s="26"/>
      <c r="X1824" s="26"/>
      <c r="Y1824" s="26"/>
      <c r="Z1824" s="26"/>
      <c r="AA1824" s="26"/>
      <c r="AB1824" s="26"/>
      <c r="AC1824" s="26"/>
    </row>
    <row r="1825" ht="33.75" customHeight="1">
      <c r="A1825" s="106" t="s">
        <v>3074</v>
      </c>
      <c r="B1825" s="107" t="s">
        <v>2905</v>
      </c>
      <c r="C1825" s="107" t="s">
        <v>3046</v>
      </c>
      <c r="D1825" s="107" t="s">
        <v>3070</v>
      </c>
      <c r="E1825" s="107" t="s">
        <v>3071</v>
      </c>
      <c r="F1825" s="106" t="s">
        <v>3072</v>
      </c>
      <c r="G1825" s="106" t="s">
        <v>168</v>
      </c>
      <c r="H1825" s="106" t="s">
        <v>168</v>
      </c>
      <c r="I1825" s="106"/>
      <c r="J1825" s="106" t="s">
        <v>12</v>
      </c>
      <c r="K1825" s="108" t="s">
        <v>12</v>
      </c>
      <c r="L1825" s="109"/>
      <c r="M1825" s="109">
        <f t="shared" si="1092"/>
        <v>0</v>
      </c>
      <c r="N1825" s="109"/>
      <c r="O1825" s="109">
        <f t="shared" si="1147"/>
        <v>0</v>
      </c>
      <c r="P1825" s="110"/>
      <c r="Q1825" s="109">
        <f t="shared" si="1148"/>
        <v>0</v>
      </c>
      <c r="R1825" s="111"/>
      <c r="S1825" s="111"/>
      <c r="T1825" s="106" t="s">
        <v>32</v>
      </c>
      <c r="U1825" s="26"/>
      <c r="V1825" s="26"/>
      <c r="W1825" s="26"/>
      <c r="X1825" s="26"/>
      <c r="Y1825" s="26"/>
      <c r="Z1825" s="26"/>
      <c r="AA1825" s="26"/>
      <c r="AB1825" s="26"/>
      <c r="AC1825" s="26"/>
    </row>
    <row r="1826" ht="33.75" customHeight="1">
      <c r="A1826" s="106" t="s">
        <v>3075</v>
      </c>
      <c r="B1826" s="107" t="s">
        <v>2905</v>
      </c>
      <c r="C1826" s="107" t="s">
        <v>3046</v>
      </c>
      <c r="D1826" s="107" t="s">
        <v>3070</v>
      </c>
      <c r="E1826" s="107" t="s">
        <v>3071</v>
      </c>
      <c r="F1826" s="106" t="s">
        <v>3072</v>
      </c>
      <c r="G1826" s="106" t="s">
        <v>168</v>
      </c>
      <c r="H1826" s="106" t="s">
        <v>168</v>
      </c>
      <c r="I1826" s="106"/>
      <c r="J1826" s="106" t="s">
        <v>12</v>
      </c>
      <c r="K1826" s="108" t="s">
        <v>12</v>
      </c>
      <c r="L1826" s="109"/>
      <c r="M1826" s="109">
        <f t="shared" si="1092"/>
        <v>0</v>
      </c>
      <c r="N1826" s="109"/>
      <c r="O1826" s="109">
        <f t="shared" si="1147"/>
        <v>0</v>
      </c>
      <c r="P1826" s="110"/>
      <c r="Q1826" s="109">
        <f t="shared" si="1148"/>
        <v>0</v>
      </c>
      <c r="R1826" s="111"/>
      <c r="S1826" s="111"/>
      <c r="T1826" s="106" t="s">
        <v>70</v>
      </c>
      <c r="U1826" s="26"/>
      <c r="V1826" s="26"/>
      <c r="W1826" s="26"/>
      <c r="X1826" s="26"/>
      <c r="Y1826" s="26"/>
      <c r="Z1826" s="26"/>
      <c r="AA1826" s="26"/>
      <c r="AB1826" s="26"/>
      <c r="AC1826" s="26"/>
    </row>
    <row r="1827" ht="33.75" customHeight="1">
      <c r="A1827" s="98" t="s">
        <v>3076</v>
      </c>
      <c r="B1827" s="99" t="s">
        <v>2905</v>
      </c>
      <c r="C1827" s="99" t="s">
        <v>3046</v>
      </c>
      <c r="D1827" s="99" t="s">
        <v>3077</v>
      </c>
      <c r="E1827" s="99" t="s">
        <v>3078</v>
      </c>
      <c r="F1827" s="98" t="s">
        <v>3079</v>
      </c>
      <c r="G1827" s="98" t="s">
        <v>168</v>
      </c>
      <c r="H1827" s="98" t="s">
        <v>168</v>
      </c>
      <c r="I1827" s="98"/>
      <c r="J1827" s="98" t="s">
        <v>12</v>
      </c>
      <c r="K1827" s="100" t="s">
        <v>12</v>
      </c>
      <c r="L1827" s="101">
        <f>IF(COUNT(L1828:N1830)=0,"",SUM(L1828:L1830))</f>
        <v>0</v>
      </c>
      <c r="M1827" s="102">
        <f t="shared" si="1092"/>
        <v>0</v>
      </c>
      <c r="N1827" s="101">
        <f>IF(COUNT(L1828:N1830)=0,"",SUM(N1828:N1830))</f>
        <v>0</v>
      </c>
      <c r="O1827" s="101">
        <f>IF(COUNT(O1828:O1830)=0,"",SUM(O1828:O1830))</f>
        <v>0</v>
      </c>
      <c r="P1827" s="103"/>
      <c r="Q1827" s="101">
        <f>IF(COUNT(Q1828:Q1830)=0,"",SUM(Q1828:Q1830))</f>
        <v>0</v>
      </c>
      <c r="R1827" s="104"/>
      <c r="S1827" s="104"/>
      <c r="T1827" s="98" t="s">
        <v>65</v>
      </c>
      <c r="U1827" s="26"/>
      <c r="V1827" s="26"/>
      <c r="W1827" s="26"/>
      <c r="X1827" s="105"/>
      <c r="Y1827" s="105"/>
      <c r="Z1827" s="105"/>
      <c r="AA1827" s="105"/>
      <c r="AB1827" s="105"/>
      <c r="AC1827" s="105"/>
    </row>
    <row r="1828" ht="33.75" customHeight="1">
      <c r="A1828" s="106" t="s">
        <v>3080</v>
      </c>
      <c r="B1828" s="107" t="s">
        <v>2905</v>
      </c>
      <c r="C1828" s="107" t="s">
        <v>3046</v>
      </c>
      <c r="D1828" s="107" t="s">
        <v>3077</v>
      </c>
      <c r="E1828" s="107" t="s">
        <v>3078</v>
      </c>
      <c r="F1828" s="106" t="s">
        <v>3079</v>
      </c>
      <c r="G1828" s="106" t="s">
        <v>168</v>
      </c>
      <c r="H1828" s="106" t="s">
        <v>168</v>
      </c>
      <c r="I1828" s="106"/>
      <c r="J1828" s="106" t="s">
        <v>12</v>
      </c>
      <c r="K1828" s="108" t="s">
        <v>12</v>
      </c>
      <c r="L1828" s="109"/>
      <c r="M1828" s="109">
        <f t="shared" si="1092"/>
        <v>0</v>
      </c>
      <c r="N1828" s="109"/>
      <c r="O1828" s="109">
        <f t="shared" ref="O1828:O1830" si="1149">IF(COUNT(L1828:N1828)=0,"",(L1828+4*M1828+N1828)/6)</f>
        <v>0</v>
      </c>
      <c r="P1828" s="110"/>
      <c r="Q1828" s="109">
        <f t="shared" ref="Q1828:Q1830" si="1150">IF(O1828="","",IF(P1828="",O1828,O1828*(1+P1828)))</f>
        <v>0</v>
      </c>
      <c r="R1828" s="111"/>
      <c r="S1828" s="111"/>
      <c r="T1828" s="106" t="s">
        <v>31</v>
      </c>
      <c r="U1828" s="26"/>
      <c r="V1828" s="26"/>
      <c r="W1828" s="26"/>
      <c r="X1828" s="26"/>
      <c r="Y1828" s="26"/>
      <c r="Z1828" s="26"/>
      <c r="AA1828" s="26"/>
      <c r="AB1828" s="26"/>
      <c r="AC1828" s="26"/>
    </row>
    <row r="1829" ht="33.75" customHeight="1">
      <c r="A1829" s="106" t="s">
        <v>3081</v>
      </c>
      <c r="B1829" s="107" t="s">
        <v>2905</v>
      </c>
      <c r="C1829" s="107" t="s">
        <v>3046</v>
      </c>
      <c r="D1829" s="107" t="s">
        <v>3077</v>
      </c>
      <c r="E1829" s="107" t="s">
        <v>3078</v>
      </c>
      <c r="F1829" s="106" t="s">
        <v>3079</v>
      </c>
      <c r="G1829" s="106" t="s">
        <v>168</v>
      </c>
      <c r="H1829" s="106" t="s">
        <v>168</v>
      </c>
      <c r="I1829" s="106"/>
      <c r="J1829" s="106" t="s">
        <v>12</v>
      </c>
      <c r="K1829" s="108" t="s">
        <v>12</v>
      </c>
      <c r="L1829" s="109"/>
      <c r="M1829" s="109">
        <f t="shared" si="1092"/>
        <v>0</v>
      </c>
      <c r="N1829" s="109"/>
      <c r="O1829" s="109">
        <f t="shared" si="1149"/>
        <v>0</v>
      </c>
      <c r="P1829" s="110"/>
      <c r="Q1829" s="109">
        <f t="shared" si="1150"/>
        <v>0</v>
      </c>
      <c r="R1829" s="111"/>
      <c r="S1829" s="111"/>
      <c r="T1829" s="106" t="s">
        <v>32</v>
      </c>
      <c r="U1829" s="26"/>
      <c r="V1829" s="26"/>
      <c r="W1829" s="26"/>
      <c r="X1829" s="26"/>
      <c r="Y1829" s="26"/>
      <c r="Z1829" s="26"/>
      <c r="AA1829" s="26"/>
      <c r="AB1829" s="26"/>
      <c r="AC1829" s="26"/>
    </row>
    <row r="1830" ht="33.75" customHeight="1">
      <c r="A1830" s="106" t="s">
        <v>3082</v>
      </c>
      <c r="B1830" s="107" t="s">
        <v>2905</v>
      </c>
      <c r="C1830" s="107" t="s">
        <v>3046</v>
      </c>
      <c r="D1830" s="107" t="s">
        <v>3077</v>
      </c>
      <c r="E1830" s="107" t="s">
        <v>3078</v>
      </c>
      <c r="F1830" s="106" t="s">
        <v>3079</v>
      </c>
      <c r="G1830" s="106" t="s">
        <v>168</v>
      </c>
      <c r="H1830" s="106" t="s">
        <v>168</v>
      </c>
      <c r="I1830" s="106"/>
      <c r="J1830" s="106" t="s">
        <v>12</v>
      </c>
      <c r="K1830" s="108" t="s">
        <v>12</v>
      </c>
      <c r="L1830" s="109"/>
      <c r="M1830" s="109">
        <f t="shared" si="1092"/>
        <v>0</v>
      </c>
      <c r="N1830" s="109"/>
      <c r="O1830" s="109">
        <f t="shared" si="1149"/>
        <v>0</v>
      </c>
      <c r="P1830" s="110"/>
      <c r="Q1830" s="109">
        <f t="shared" si="1150"/>
        <v>0</v>
      </c>
      <c r="R1830" s="111"/>
      <c r="S1830" s="111"/>
      <c r="T1830" s="106" t="s">
        <v>70</v>
      </c>
      <c r="U1830" s="26"/>
      <c r="V1830" s="26"/>
      <c r="W1830" s="26"/>
      <c r="X1830" s="26"/>
      <c r="Y1830" s="26"/>
      <c r="Z1830" s="26"/>
      <c r="AA1830" s="26"/>
      <c r="AB1830" s="26"/>
      <c r="AC1830" s="26"/>
    </row>
    <row r="1831" ht="33.75" customHeight="1">
      <c r="A1831" s="112" t="s">
        <v>3083</v>
      </c>
      <c r="B1831" s="38" t="s">
        <v>2905</v>
      </c>
      <c r="C1831" s="38" t="s">
        <v>3084</v>
      </c>
      <c r="D1831" s="38" t="s">
        <v>3084</v>
      </c>
      <c r="E1831" s="113" t="s">
        <v>3085</v>
      </c>
      <c r="F1831" s="114"/>
      <c r="G1831" s="114"/>
      <c r="H1831" s="45"/>
      <c r="I1831" s="45"/>
      <c r="J1831" s="114"/>
      <c r="K1831" s="115"/>
      <c r="L1831" s="42">
        <f>IF(COUNT(L1832,L1836,L1840)=0,"",SUM(L1832,L1836,L1840))</f>
        <v>2.5</v>
      </c>
      <c r="M1831" s="42">
        <f t="shared" si="1092"/>
        <v>4.75</v>
      </c>
      <c r="N1831" s="42">
        <f t="shared" ref="N1831:O1831" si="1151">IF(COUNT(N1832,N1836,N1840)=0,"",SUM(N1832,N1836,N1840))</f>
        <v>7</v>
      </c>
      <c r="O1831" s="42">
        <f t="shared" si="1151"/>
        <v>4.75</v>
      </c>
      <c r="P1831" s="43"/>
      <c r="Q1831" s="42">
        <f>IF(COUNT(Q1832,Q1836,Q1840)=0,"",SUM(Q1832,Q1836,Q1840))</f>
        <v>4.75</v>
      </c>
      <c r="R1831" s="44"/>
      <c r="S1831" s="44"/>
      <c r="T1831" s="45" t="s">
        <v>62</v>
      </c>
      <c r="U1831" s="26"/>
      <c r="V1831" s="26"/>
      <c r="W1831" s="26"/>
      <c r="X1831" s="46">
        <f t="shared" ref="X1831:AA1831" si="1152">L1831</f>
        <v>2.5</v>
      </c>
      <c r="Y1831" s="46">
        <f t="shared" si="1152"/>
        <v>4.75</v>
      </c>
      <c r="Z1831" s="46">
        <f t="shared" si="1152"/>
        <v>7</v>
      </c>
      <c r="AA1831" s="46">
        <f t="shared" si="1152"/>
        <v>4.75</v>
      </c>
      <c r="AB1831" s="26"/>
      <c r="AC1831" s="46">
        <f>Q1831</f>
        <v>4.75</v>
      </c>
    </row>
    <row r="1832" ht="33.75" customHeight="1">
      <c r="A1832" s="116" t="s">
        <v>3086</v>
      </c>
      <c r="B1832" s="77" t="s">
        <v>2905</v>
      </c>
      <c r="C1832" s="77" t="s">
        <v>3084</v>
      </c>
      <c r="D1832" s="77" t="s">
        <v>3087</v>
      </c>
      <c r="E1832" s="117" t="s">
        <v>3088</v>
      </c>
      <c r="F1832" s="118" t="s">
        <v>3089</v>
      </c>
      <c r="G1832" s="118" t="s">
        <v>168</v>
      </c>
      <c r="H1832" s="119" t="s">
        <v>168</v>
      </c>
      <c r="I1832" s="54"/>
      <c r="J1832" s="118" t="s">
        <v>9</v>
      </c>
      <c r="K1832" s="120" t="s">
        <v>9</v>
      </c>
      <c r="L1832" s="51">
        <f>IF(COUNT(L1833:N1835)=0,"",SUM(L1833:L1835))</f>
        <v>2.5</v>
      </c>
      <c r="M1832" s="51">
        <f t="shared" si="1092"/>
        <v>4.75</v>
      </c>
      <c r="N1832" s="51">
        <f>IF(COUNT(L1833:N1835)=0,"",SUM(N1833:N1835))</f>
        <v>7</v>
      </c>
      <c r="O1832" s="51">
        <f>IF(COUNT(O1833:O1835)=0,"",SUM(O1833:O1835))</f>
        <v>4.75</v>
      </c>
      <c r="P1832" s="52"/>
      <c r="Q1832" s="51">
        <f>IF(COUNT(Q1833:Q1835)=0,"",SUM(Q1833:Q1835))</f>
        <v>4.75</v>
      </c>
      <c r="R1832" s="53"/>
      <c r="S1832" s="53"/>
      <c r="T1832" s="54" t="s">
        <v>65</v>
      </c>
      <c r="U1832" s="26"/>
      <c r="V1832" s="26"/>
      <c r="W1832" s="26"/>
      <c r="X1832" s="26"/>
      <c r="Y1832" s="26"/>
      <c r="Z1832" s="26"/>
      <c r="AA1832" s="26"/>
      <c r="AB1832" s="26"/>
      <c r="AC1832" s="26"/>
    </row>
    <row r="1833" ht="33.75" customHeight="1">
      <c r="A1833" s="65" t="s">
        <v>3090</v>
      </c>
      <c r="B1833" s="215" t="s">
        <v>2905</v>
      </c>
      <c r="C1833" s="215" t="s">
        <v>3084</v>
      </c>
      <c r="D1833" s="215" t="s">
        <v>3087</v>
      </c>
      <c r="E1833" s="215" t="s">
        <v>3088</v>
      </c>
      <c r="F1833" s="65" t="s">
        <v>3089</v>
      </c>
      <c r="G1833" s="65" t="s">
        <v>168</v>
      </c>
      <c r="H1833" s="65" t="s">
        <v>168</v>
      </c>
      <c r="I1833" s="65"/>
      <c r="J1833" s="65" t="s">
        <v>9</v>
      </c>
      <c r="K1833" s="65" t="s">
        <v>9</v>
      </c>
      <c r="L1833" s="128">
        <v>0.5</v>
      </c>
      <c r="M1833" s="129">
        <f t="shared" si="1092"/>
        <v>1</v>
      </c>
      <c r="N1833" s="128">
        <v>1.5</v>
      </c>
      <c r="O1833" s="129">
        <f t="shared" ref="O1833:O1835" si="1153">IF(COUNT(L1833:N1833)=0,"",(L1833+4*M1833+N1833)/6)</f>
        <v>1</v>
      </c>
      <c r="P1833" s="159"/>
      <c r="Q1833" s="208">
        <f t="shared" ref="Q1833:Q1835" si="1154">IF(O1833="","",IF(P1833="",O1833,O1833*(1+P1833)))</f>
        <v>1</v>
      </c>
      <c r="R1833" s="132"/>
      <c r="S1833" s="132"/>
      <c r="T1833" s="65" t="s">
        <v>31</v>
      </c>
      <c r="U1833" s="26"/>
      <c r="V1833" s="26"/>
      <c r="W1833" s="26"/>
      <c r="X1833" s="26"/>
      <c r="Y1833" s="26"/>
      <c r="Z1833" s="26"/>
      <c r="AA1833" s="26"/>
      <c r="AB1833" s="26"/>
      <c r="AC1833" s="26"/>
    </row>
    <row r="1834" ht="33.75" customHeight="1">
      <c r="A1834" s="65" t="s">
        <v>3091</v>
      </c>
      <c r="B1834" s="215" t="s">
        <v>2905</v>
      </c>
      <c r="C1834" s="215" t="s">
        <v>3084</v>
      </c>
      <c r="D1834" s="215" t="s">
        <v>3087</v>
      </c>
      <c r="E1834" s="215" t="s">
        <v>3088</v>
      </c>
      <c r="F1834" s="65" t="s">
        <v>3089</v>
      </c>
      <c r="G1834" s="65" t="s">
        <v>168</v>
      </c>
      <c r="H1834" s="65" t="s">
        <v>168</v>
      </c>
      <c r="I1834" s="65"/>
      <c r="J1834" s="65" t="s">
        <v>9</v>
      </c>
      <c r="K1834" s="65" t="s">
        <v>9</v>
      </c>
      <c r="L1834" s="128">
        <v>1.5</v>
      </c>
      <c r="M1834" s="129">
        <f t="shared" si="1092"/>
        <v>2.75</v>
      </c>
      <c r="N1834" s="128">
        <v>4.0</v>
      </c>
      <c r="O1834" s="129">
        <f t="shared" si="1153"/>
        <v>2.75</v>
      </c>
      <c r="P1834" s="159"/>
      <c r="Q1834" s="208">
        <f t="shared" si="1154"/>
        <v>2.75</v>
      </c>
      <c r="R1834" s="132"/>
      <c r="S1834" s="132"/>
      <c r="T1834" s="65" t="s">
        <v>32</v>
      </c>
      <c r="U1834" s="26"/>
      <c r="V1834" s="26"/>
      <c r="W1834" s="26"/>
      <c r="X1834" s="26"/>
      <c r="Y1834" s="26"/>
      <c r="Z1834" s="26"/>
      <c r="AA1834" s="26"/>
      <c r="AB1834" s="26"/>
      <c r="AC1834" s="26"/>
    </row>
    <row r="1835" ht="33.75" customHeight="1">
      <c r="A1835" s="65" t="s">
        <v>3092</v>
      </c>
      <c r="B1835" s="215" t="s">
        <v>2905</v>
      </c>
      <c r="C1835" s="215" t="s">
        <v>3084</v>
      </c>
      <c r="D1835" s="215" t="s">
        <v>3087</v>
      </c>
      <c r="E1835" s="215" t="s">
        <v>3088</v>
      </c>
      <c r="F1835" s="65" t="s">
        <v>3089</v>
      </c>
      <c r="G1835" s="65" t="s">
        <v>168</v>
      </c>
      <c r="H1835" s="65" t="s">
        <v>168</v>
      </c>
      <c r="I1835" s="65"/>
      <c r="J1835" s="65" t="s">
        <v>9</v>
      </c>
      <c r="K1835" s="65" t="s">
        <v>9</v>
      </c>
      <c r="L1835" s="128">
        <v>0.5</v>
      </c>
      <c r="M1835" s="129">
        <f t="shared" si="1092"/>
        <v>1</v>
      </c>
      <c r="N1835" s="128">
        <v>1.5</v>
      </c>
      <c r="O1835" s="129">
        <f t="shared" si="1153"/>
        <v>1</v>
      </c>
      <c r="P1835" s="159"/>
      <c r="Q1835" s="208">
        <f t="shared" si="1154"/>
        <v>1</v>
      </c>
      <c r="R1835" s="132"/>
      <c r="S1835" s="132"/>
      <c r="T1835" s="65" t="s">
        <v>70</v>
      </c>
      <c r="U1835" s="26"/>
      <c r="V1835" s="26"/>
      <c r="W1835" s="26"/>
      <c r="X1835" s="26"/>
      <c r="Y1835" s="26"/>
      <c r="Z1835" s="26"/>
      <c r="AA1835" s="26"/>
      <c r="AB1835" s="26"/>
      <c r="AC1835" s="26"/>
    </row>
    <row r="1836" ht="33.75" customHeight="1">
      <c r="A1836" s="98" t="s">
        <v>3093</v>
      </c>
      <c r="B1836" s="99" t="s">
        <v>2905</v>
      </c>
      <c r="C1836" s="99" t="s">
        <v>3084</v>
      </c>
      <c r="D1836" s="99" t="s">
        <v>3094</v>
      </c>
      <c r="E1836" s="99" t="s">
        <v>3095</v>
      </c>
      <c r="F1836" s="98" t="s">
        <v>3096</v>
      </c>
      <c r="G1836" s="98" t="s">
        <v>168</v>
      </c>
      <c r="H1836" s="98" t="s">
        <v>168</v>
      </c>
      <c r="I1836" s="98"/>
      <c r="J1836" s="98" t="s">
        <v>12</v>
      </c>
      <c r="K1836" s="100" t="s">
        <v>12</v>
      </c>
      <c r="L1836" s="101">
        <f>IF(COUNT(L1837:N1839)=0,"",SUM(L1837:L1839))</f>
        <v>0</v>
      </c>
      <c r="M1836" s="102">
        <f t="shared" si="1092"/>
        <v>0</v>
      </c>
      <c r="N1836" s="101">
        <f>IF(COUNT(L1837:N1839)=0,"",SUM(N1837:N1839))</f>
        <v>0</v>
      </c>
      <c r="O1836" s="101">
        <f>IF(COUNT(O1837:O1839)=0,"",SUM(O1837:O1839))</f>
        <v>0</v>
      </c>
      <c r="P1836" s="103"/>
      <c r="Q1836" s="101">
        <f>IF(COUNT(Q1837:Q1839)=0,"",SUM(Q1837:Q1839))</f>
        <v>0</v>
      </c>
      <c r="R1836" s="104"/>
      <c r="S1836" s="104"/>
      <c r="T1836" s="98" t="s">
        <v>65</v>
      </c>
      <c r="U1836" s="26"/>
      <c r="V1836" s="26"/>
      <c r="W1836" s="26"/>
      <c r="X1836" s="105"/>
      <c r="Y1836" s="105"/>
      <c r="Z1836" s="105"/>
      <c r="AA1836" s="105"/>
      <c r="AB1836" s="105"/>
      <c r="AC1836" s="105"/>
    </row>
    <row r="1837" ht="33.75" customHeight="1">
      <c r="A1837" s="106" t="s">
        <v>3097</v>
      </c>
      <c r="B1837" s="107" t="s">
        <v>2905</v>
      </c>
      <c r="C1837" s="107" t="s">
        <v>3084</v>
      </c>
      <c r="D1837" s="107" t="s">
        <v>3094</v>
      </c>
      <c r="E1837" s="107" t="s">
        <v>3095</v>
      </c>
      <c r="F1837" s="106" t="s">
        <v>3096</v>
      </c>
      <c r="G1837" s="106" t="s">
        <v>168</v>
      </c>
      <c r="H1837" s="106" t="s">
        <v>168</v>
      </c>
      <c r="I1837" s="106"/>
      <c r="J1837" s="106" t="s">
        <v>12</v>
      </c>
      <c r="K1837" s="108" t="s">
        <v>12</v>
      </c>
      <c r="L1837" s="109"/>
      <c r="M1837" s="109">
        <f t="shared" si="1092"/>
        <v>0</v>
      </c>
      <c r="N1837" s="109"/>
      <c r="O1837" s="109">
        <f t="shared" ref="O1837:O1839" si="1155">IF(COUNT(L1837:N1837)=0,"",(L1837+4*M1837+N1837)/6)</f>
        <v>0</v>
      </c>
      <c r="P1837" s="110"/>
      <c r="Q1837" s="109">
        <f t="shared" ref="Q1837:Q1839" si="1156">IF(O1837="","",IF(P1837="",O1837,O1837*(1+P1837)))</f>
        <v>0</v>
      </c>
      <c r="R1837" s="111"/>
      <c r="S1837" s="111"/>
      <c r="T1837" s="106" t="s">
        <v>31</v>
      </c>
      <c r="U1837" s="26"/>
      <c r="V1837" s="26"/>
      <c r="W1837" s="26"/>
      <c r="X1837" s="26"/>
      <c r="Y1837" s="26"/>
      <c r="Z1837" s="26"/>
      <c r="AA1837" s="26"/>
      <c r="AB1837" s="26"/>
      <c r="AC1837" s="26"/>
    </row>
    <row r="1838" ht="33.75" customHeight="1">
      <c r="A1838" s="106" t="s">
        <v>3098</v>
      </c>
      <c r="B1838" s="107" t="s">
        <v>2905</v>
      </c>
      <c r="C1838" s="107" t="s">
        <v>3084</v>
      </c>
      <c r="D1838" s="107" t="s">
        <v>3094</v>
      </c>
      <c r="E1838" s="107" t="s">
        <v>3095</v>
      </c>
      <c r="F1838" s="106" t="s">
        <v>3096</v>
      </c>
      <c r="G1838" s="106" t="s">
        <v>168</v>
      </c>
      <c r="H1838" s="106" t="s">
        <v>168</v>
      </c>
      <c r="I1838" s="106"/>
      <c r="J1838" s="106" t="s">
        <v>12</v>
      </c>
      <c r="K1838" s="108" t="s">
        <v>12</v>
      </c>
      <c r="L1838" s="109"/>
      <c r="M1838" s="109">
        <f t="shared" si="1092"/>
        <v>0</v>
      </c>
      <c r="N1838" s="109"/>
      <c r="O1838" s="109">
        <f t="shared" si="1155"/>
        <v>0</v>
      </c>
      <c r="P1838" s="110"/>
      <c r="Q1838" s="109">
        <f t="shared" si="1156"/>
        <v>0</v>
      </c>
      <c r="R1838" s="111"/>
      <c r="S1838" s="111"/>
      <c r="T1838" s="106" t="s">
        <v>32</v>
      </c>
      <c r="U1838" s="26"/>
      <c r="V1838" s="26"/>
      <c r="W1838" s="26"/>
      <c r="X1838" s="26"/>
      <c r="Y1838" s="26"/>
      <c r="Z1838" s="26"/>
      <c r="AA1838" s="26"/>
      <c r="AB1838" s="26"/>
      <c r="AC1838" s="26"/>
    </row>
    <row r="1839" ht="33.75" customHeight="1">
      <c r="A1839" s="106" t="s">
        <v>3099</v>
      </c>
      <c r="B1839" s="107" t="s">
        <v>2905</v>
      </c>
      <c r="C1839" s="107" t="s">
        <v>3084</v>
      </c>
      <c r="D1839" s="107" t="s">
        <v>3094</v>
      </c>
      <c r="E1839" s="107" t="s">
        <v>3095</v>
      </c>
      <c r="F1839" s="106" t="s">
        <v>3096</v>
      </c>
      <c r="G1839" s="106" t="s">
        <v>168</v>
      </c>
      <c r="H1839" s="106" t="s">
        <v>168</v>
      </c>
      <c r="I1839" s="106"/>
      <c r="J1839" s="106" t="s">
        <v>12</v>
      </c>
      <c r="K1839" s="108" t="s">
        <v>12</v>
      </c>
      <c r="L1839" s="109"/>
      <c r="M1839" s="109">
        <f t="shared" si="1092"/>
        <v>0</v>
      </c>
      <c r="N1839" s="109"/>
      <c r="O1839" s="109">
        <f t="shared" si="1155"/>
        <v>0</v>
      </c>
      <c r="P1839" s="110"/>
      <c r="Q1839" s="109">
        <f t="shared" si="1156"/>
        <v>0</v>
      </c>
      <c r="R1839" s="111"/>
      <c r="S1839" s="111"/>
      <c r="T1839" s="106" t="s">
        <v>70</v>
      </c>
      <c r="U1839" s="26"/>
      <c r="V1839" s="26"/>
      <c r="W1839" s="26"/>
      <c r="X1839" s="26"/>
      <c r="Y1839" s="26"/>
      <c r="Z1839" s="26"/>
      <c r="AA1839" s="26"/>
      <c r="AB1839" s="26"/>
      <c r="AC1839" s="26"/>
    </row>
    <row r="1840" ht="33.75" customHeight="1">
      <c r="A1840" s="98" t="s">
        <v>3100</v>
      </c>
      <c r="B1840" s="99" t="s">
        <v>2905</v>
      </c>
      <c r="C1840" s="99" t="s">
        <v>3084</v>
      </c>
      <c r="D1840" s="99" t="s">
        <v>3101</v>
      </c>
      <c r="E1840" s="99" t="s">
        <v>3102</v>
      </c>
      <c r="F1840" s="98" t="s">
        <v>3103</v>
      </c>
      <c r="G1840" s="98" t="s">
        <v>168</v>
      </c>
      <c r="H1840" s="98" t="s">
        <v>168</v>
      </c>
      <c r="I1840" s="98"/>
      <c r="J1840" s="98" t="s">
        <v>12</v>
      </c>
      <c r="K1840" s="100" t="s">
        <v>12</v>
      </c>
      <c r="L1840" s="101">
        <f>IF(COUNT(L1841:N1843)=0,"",SUM(L1841:L1843))</f>
        <v>0</v>
      </c>
      <c r="M1840" s="102">
        <f t="shared" si="1092"/>
        <v>0</v>
      </c>
      <c r="N1840" s="101">
        <f>IF(COUNT(L1841:N1843)=0,"",SUM(N1841:N1843))</f>
        <v>0</v>
      </c>
      <c r="O1840" s="101">
        <f>IF(COUNT(O1841:O1843)=0,"",SUM(O1841:O1843))</f>
        <v>0</v>
      </c>
      <c r="P1840" s="103"/>
      <c r="Q1840" s="101">
        <f>IF(COUNT(Q1841:Q1843)=0,"",SUM(Q1841:Q1843))</f>
        <v>0</v>
      </c>
      <c r="R1840" s="104"/>
      <c r="S1840" s="104"/>
      <c r="T1840" s="98" t="s">
        <v>65</v>
      </c>
      <c r="U1840" s="26"/>
      <c r="V1840" s="26"/>
      <c r="W1840" s="26"/>
      <c r="X1840" s="105"/>
      <c r="Y1840" s="105"/>
      <c r="Z1840" s="105"/>
      <c r="AA1840" s="105"/>
      <c r="AB1840" s="105"/>
      <c r="AC1840" s="105"/>
    </row>
    <row r="1841" ht="33.75" customHeight="1">
      <c r="A1841" s="106" t="s">
        <v>3104</v>
      </c>
      <c r="B1841" s="107" t="s">
        <v>2905</v>
      </c>
      <c r="C1841" s="107" t="s">
        <v>3084</v>
      </c>
      <c r="D1841" s="107" t="s">
        <v>3101</v>
      </c>
      <c r="E1841" s="107" t="s">
        <v>3102</v>
      </c>
      <c r="F1841" s="106" t="s">
        <v>3103</v>
      </c>
      <c r="G1841" s="106" t="s">
        <v>168</v>
      </c>
      <c r="H1841" s="106" t="s">
        <v>168</v>
      </c>
      <c r="I1841" s="106"/>
      <c r="J1841" s="106" t="s">
        <v>12</v>
      </c>
      <c r="K1841" s="108" t="s">
        <v>12</v>
      </c>
      <c r="L1841" s="109"/>
      <c r="M1841" s="109">
        <f t="shared" si="1092"/>
        <v>0</v>
      </c>
      <c r="N1841" s="109"/>
      <c r="O1841" s="109">
        <f t="shared" ref="O1841:O1843" si="1157">IF(COUNT(L1841:N1841)=0,"",(L1841+4*M1841+N1841)/6)</f>
        <v>0</v>
      </c>
      <c r="P1841" s="110"/>
      <c r="Q1841" s="109">
        <f t="shared" ref="Q1841:Q1843" si="1158">IF(O1841="","",IF(P1841="",O1841,O1841*(1+P1841)))</f>
        <v>0</v>
      </c>
      <c r="R1841" s="111"/>
      <c r="S1841" s="111"/>
      <c r="T1841" s="106" t="s">
        <v>31</v>
      </c>
      <c r="U1841" s="26"/>
      <c r="V1841" s="26"/>
      <c r="W1841" s="26"/>
      <c r="X1841" s="26"/>
      <c r="Y1841" s="26"/>
      <c r="Z1841" s="26"/>
      <c r="AA1841" s="26"/>
      <c r="AB1841" s="26"/>
      <c r="AC1841" s="26"/>
    </row>
    <row r="1842" ht="33.75" customHeight="1">
      <c r="A1842" s="106" t="s">
        <v>3105</v>
      </c>
      <c r="B1842" s="107" t="s">
        <v>2905</v>
      </c>
      <c r="C1842" s="107" t="s">
        <v>3084</v>
      </c>
      <c r="D1842" s="107" t="s">
        <v>3101</v>
      </c>
      <c r="E1842" s="107" t="s">
        <v>3102</v>
      </c>
      <c r="F1842" s="106" t="s">
        <v>3103</v>
      </c>
      <c r="G1842" s="106" t="s">
        <v>168</v>
      </c>
      <c r="H1842" s="106" t="s">
        <v>168</v>
      </c>
      <c r="I1842" s="106"/>
      <c r="J1842" s="106" t="s">
        <v>12</v>
      </c>
      <c r="K1842" s="108" t="s">
        <v>12</v>
      </c>
      <c r="L1842" s="109"/>
      <c r="M1842" s="109">
        <f t="shared" si="1092"/>
        <v>0</v>
      </c>
      <c r="N1842" s="109"/>
      <c r="O1842" s="109">
        <f t="shared" si="1157"/>
        <v>0</v>
      </c>
      <c r="P1842" s="110"/>
      <c r="Q1842" s="109">
        <f t="shared" si="1158"/>
        <v>0</v>
      </c>
      <c r="R1842" s="111"/>
      <c r="S1842" s="111"/>
      <c r="T1842" s="106" t="s">
        <v>32</v>
      </c>
      <c r="U1842" s="26"/>
      <c r="V1842" s="26"/>
      <c r="W1842" s="26"/>
      <c r="X1842" s="26"/>
      <c r="Y1842" s="26"/>
      <c r="Z1842" s="26"/>
      <c r="AA1842" s="26"/>
      <c r="AB1842" s="26"/>
      <c r="AC1842" s="26"/>
    </row>
    <row r="1843" ht="33.75" customHeight="1">
      <c r="A1843" s="106" t="s">
        <v>3106</v>
      </c>
      <c r="B1843" s="107" t="s">
        <v>2905</v>
      </c>
      <c r="C1843" s="107" t="s">
        <v>3084</v>
      </c>
      <c r="D1843" s="107" t="s">
        <v>3101</v>
      </c>
      <c r="E1843" s="107" t="s">
        <v>3102</v>
      </c>
      <c r="F1843" s="106" t="s">
        <v>3103</v>
      </c>
      <c r="G1843" s="106" t="s">
        <v>168</v>
      </c>
      <c r="H1843" s="106" t="s">
        <v>168</v>
      </c>
      <c r="I1843" s="106"/>
      <c r="J1843" s="106" t="s">
        <v>12</v>
      </c>
      <c r="K1843" s="108" t="s">
        <v>12</v>
      </c>
      <c r="L1843" s="109"/>
      <c r="M1843" s="109">
        <f t="shared" si="1092"/>
        <v>0</v>
      </c>
      <c r="N1843" s="109"/>
      <c r="O1843" s="109">
        <f t="shared" si="1157"/>
        <v>0</v>
      </c>
      <c r="P1843" s="110"/>
      <c r="Q1843" s="109">
        <f t="shared" si="1158"/>
        <v>0</v>
      </c>
      <c r="R1843" s="111"/>
      <c r="S1843" s="111"/>
      <c r="T1843" s="106" t="s">
        <v>70</v>
      </c>
      <c r="U1843" s="26"/>
      <c r="V1843" s="26"/>
      <c r="W1843" s="26"/>
      <c r="X1843" s="26"/>
      <c r="Y1843" s="26"/>
      <c r="Z1843" s="26"/>
      <c r="AA1843" s="26"/>
      <c r="AB1843" s="26"/>
      <c r="AC1843" s="26"/>
    </row>
    <row r="1844" ht="33.75" customHeight="1">
      <c r="A1844" s="112" t="s">
        <v>3107</v>
      </c>
      <c r="B1844" s="38" t="s">
        <v>2905</v>
      </c>
      <c r="C1844" s="38" t="s">
        <v>3108</v>
      </c>
      <c r="D1844" s="38" t="s">
        <v>3108</v>
      </c>
      <c r="E1844" s="113" t="s">
        <v>3109</v>
      </c>
      <c r="F1844" s="114"/>
      <c r="G1844" s="114"/>
      <c r="H1844" s="45"/>
      <c r="I1844" s="45"/>
      <c r="J1844" s="114"/>
      <c r="K1844" s="115"/>
      <c r="L1844" s="42">
        <f>IF(COUNT(L1845,L1849,L1853)=0,"",SUM(L1845,L1849,L1853))</f>
        <v>1.25</v>
      </c>
      <c r="M1844" s="42">
        <f t="shared" si="1092"/>
        <v>2.875</v>
      </c>
      <c r="N1844" s="42">
        <f t="shared" ref="N1844:O1844" si="1159">IF(COUNT(N1845,N1849,N1853)=0,"",SUM(N1845,N1849,N1853))</f>
        <v>4.5</v>
      </c>
      <c r="O1844" s="42">
        <f t="shared" si="1159"/>
        <v>2.875</v>
      </c>
      <c r="P1844" s="43"/>
      <c r="Q1844" s="42">
        <f>IF(COUNT(Q1845,Q1849,Q1853)=0,"",SUM(Q1845,Q1849,Q1853))</f>
        <v>2.875</v>
      </c>
      <c r="R1844" s="44"/>
      <c r="S1844" s="44"/>
      <c r="T1844" s="45" t="s">
        <v>62</v>
      </c>
      <c r="U1844" s="26"/>
      <c r="V1844" s="26"/>
      <c r="W1844" s="26"/>
      <c r="X1844" s="46">
        <f t="shared" ref="X1844:AA1844" si="1160">L1844</f>
        <v>1.25</v>
      </c>
      <c r="Y1844" s="46">
        <f t="shared" si="1160"/>
        <v>2.875</v>
      </c>
      <c r="Z1844" s="46">
        <f t="shared" si="1160"/>
        <v>4.5</v>
      </c>
      <c r="AA1844" s="46">
        <f t="shared" si="1160"/>
        <v>2.875</v>
      </c>
      <c r="AB1844" s="26"/>
      <c r="AC1844" s="46">
        <f>Q1844</f>
        <v>2.875</v>
      </c>
    </row>
    <row r="1845" ht="33.75" customHeight="1">
      <c r="A1845" s="116" t="s">
        <v>3110</v>
      </c>
      <c r="B1845" s="77" t="s">
        <v>2905</v>
      </c>
      <c r="C1845" s="77" t="s">
        <v>3108</v>
      </c>
      <c r="D1845" s="77" t="s">
        <v>3111</v>
      </c>
      <c r="E1845" s="117" t="s">
        <v>3112</v>
      </c>
      <c r="F1845" s="118"/>
      <c r="G1845" s="118" t="s">
        <v>168</v>
      </c>
      <c r="H1845" s="119" t="s">
        <v>168</v>
      </c>
      <c r="I1845" s="54"/>
      <c r="J1845" s="118" t="s">
        <v>9</v>
      </c>
      <c r="K1845" s="120" t="s">
        <v>9</v>
      </c>
      <c r="L1845" s="51">
        <f>IF(COUNT(L1846:N1848)=0,"",SUM(L1846:L1848))</f>
        <v>1.25</v>
      </c>
      <c r="M1845" s="51">
        <f t="shared" si="1092"/>
        <v>2.875</v>
      </c>
      <c r="N1845" s="51">
        <f>IF(COUNT(L1846:N1848)=0,"",SUM(N1846:N1848))</f>
        <v>4.5</v>
      </c>
      <c r="O1845" s="51">
        <f>IF(COUNT(O1846:O1848)=0,"",SUM(O1846:O1848))</f>
        <v>2.875</v>
      </c>
      <c r="P1845" s="52"/>
      <c r="Q1845" s="51">
        <f>IF(COUNT(Q1846:Q1848)=0,"",SUM(Q1846:Q1848))</f>
        <v>2.875</v>
      </c>
      <c r="R1845" s="53"/>
      <c r="S1845" s="53"/>
      <c r="T1845" s="54" t="s">
        <v>65</v>
      </c>
      <c r="U1845" s="26"/>
      <c r="V1845" s="26"/>
      <c r="W1845" s="26"/>
      <c r="X1845" s="26"/>
      <c r="Y1845" s="26"/>
      <c r="Z1845" s="26"/>
      <c r="AA1845" s="26"/>
      <c r="AB1845" s="26"/>
      <c r="AC1845" s="26"/>
    </row>
    <row r="1846" ht="33.75" customHeight="1">
      <c r="A1846" s="65" t="s">
        <v>3113</v>
      </c>
      <c r="B1846" s="215" t="s">
        <v>2905</v>
      </c>
      <c r="C1846" s="215" t="s">
        <v>3108</v>
      </c>
      <c r="D1846" s="215" t="s">
        <v>3111</v>
      </c>
      <c r="E1846" s="215" t="s">
        <v>3112</v>
      </c>
      <c r="F1846" s="65"/>
      <c r="G1846" s="65" t="s">
        <v>168</v>
      </c>
      <c r="H1846" s="65" t="s">
        <v>168</v>
      </c>
      <c r="I1846" s="65"/>
      <c r="J1846" s="65" t="s">
        <v>9</v>
      </c>
      <c r="K1846" s="65" t="s">
        <v>9</v>
      </c>
      <c r="L1846" s="128">
        <v>0.75</v>
      </c>
      <c r="M1846" s="129">
        <f t="shared" si="1092"/>
        <v>1.625</v>
      </c>
      <c r="N1846" s="128">
        <v>2.5</v>
      </c>
      <c r="O1846" s="129">
        <f t="shared" ref="O1846:O1848" si="1161">IF(COUNT(L1846:N1846)=0,"",(L1846+4*M1846+N1846)/6)</f>
        <v>1.625</v>
      </c>
      <c r="P1846" s="159"/>
      <c r="Q1846" s="208">
        <f t="shared" ref="Q1846:Q1848" si="1162">IF(O1846="","",IF(P1846="",O1846,O1846*(1+P1846)))</f>
        <v>1.625</v>
      </c>
      <c r="R1846" s="132"/>
      <c r="S1846" s="132"/>
      <c r="T1846" s="65" t="s">
        <v>31</v>
      </c>
      <c r="U1846" s="26"/>
      <c r="V1846" s="26"/>
      <c r="W1846" s="26"/>
      <c r="X1846" s="26"/>
      <c r="Y1846" s="26"/>
      <c r="Z1846" s="26"/>
      <c r="AA1846" s="26"/>
      <c r="AB1846" s="26"/>
      <c r="AC1846" s="26"/>
    </row>
    <row r="1847" ht="33.75" customHeight="1">
      <c r="A1847" s="65" t="s">
        <v>3114</v>
      </c>
      <c r="B1847" s="215" t="s">
        <v>2905</v>
      </c>
      <c r="C1847" s="215" t="s">
        <v>3108</v>
      </c>
      <c r="D1847" s="215" t="s">
        <v>3111</v>
      </c>
      <c r="E1847" s="215" t="s">
        <v>3112</v>
      </c>
      <c r="F1847" s="65"/>
      <c r="G1847" s="65" t="s">
        <v>168</v>
      </c>
      <c r="H1847" s="65" t="s">
        <v>168</v>
      </c>
      <c r="I1847" s="65"/>
      <c r="J1847" s="65" t="s">
        <v>9</v>
      </c>
      <c r="K1847" s="65" t="s">
        <v>9</v>
      </c>
      <c r="L1847" s="128">
        <v>0.25</v>
      </c>
      <c r="M1847" s="129">
        <f t="shared" si="1092"/>
        <v>0.625</v>
      </c>
      <c r="N1847" s="128">
        <v>1.0</v>
      </c>
      <c r="O1847" s="129">
        <f t="shared" si="1161"/>
        <v>0.625</v>
      </c>
      <c r="P1847" s="159"/>
      <c r="Q1847" s="208">
        <f t="shared" si="1162"/>
        <v>0.625</v>
      </c>
      <c r="R1847" s="132"/>
      <c r="S1847" s="132"/>
      <c r="T1847" s="65" t="s">
        <v>32</v>
      </c>
      <c r="U1847" s="26"/>
      <c r="V1847" s="26"/>
      <c r="W1847" s="26"/>
      <c r="X1847" s="26"/>
      <c r="Y1847" s="26"/>
      <c r="Z1847" s="26"/>
      <c r="AA1847" s="26"/>
      <c r="AB1847" s="26"/>
      <c r="AC1847" s="26"/>
    </row>
    <row r="1848" ht="33.75" customHeight="1">
      <c r="A1848" s="65" t="s">
        <v>3115</v>
      </c>
      <c r="B1848" s="215" t="s">
        <v>2905</v>
      </c>
      <c r="C1848" s="215" t="s">
        <v>3108</v>
      </c>
      <c r="D1848" s="215" t="s">
        <v>3111</v>
      </c>
      <c r="E1848" s="215" t="s">
        <v>3112</v>
      </c>
      <c r="F1848" s="65"/>
      <c r="G1848" s="65" t="s">
        <v>168</v>
      </c>
      <c r="H1848" s="65" t="s">
        <v>168</v>
      </c>
      <c r="I1848" s="65"/>
      <c r="J1848" s="65" t="s">
        <v>9</v>
      </c>
      <c r="K1848" s="65" t="s">
        <v>9</v>
      </c>
      <c r="L1848" s="128">
        <v>0.25</v>
      </c>
      <c r="M1848" s="129">
        <f t="shared" si="1092"/>
        <v>0.625</v>
      </c>
      <c r="N1848" s="128">
        <v>1.0</v>
      </c>
      <c r="O1848" s="129">
        <f t="shared" si="1161"/>
        <v>0.625</v>
      </c>
      <c r="P1848" s="159"/>
      <c r="Q1848" s="208">
        <f t="shared" si="1162"/>
        <v>0.625</v>
      </c>
      <c r="R1848" s="132"/>
      <c r="S1848" s="132"/>
      <c r="T1848" s="65" t="s">
        <v>70</v>
      </c>
      <c r="U1848" s="26"/>
      <c r="V1848" s="26"/>
      <c r="W1848" s="26"/>
      <c r="X1848" s="26"/>
      <c r="Y1848" s="26"/>
      <c r="Z1848" s="26"/>
      <c r="AA1848" s="26"/>
      <c r="AB1848" s="26"/>
      <c r="AC1848" s="26"/>
    </row>
    <row r="1849" ht="33.75" customHeight="1">
      <c r="A1849" s="98" t="s">
        <v>3116</v>
      </c>
      <c r="B1849" s="99" t="s">
        <v>2905</v>
      </c>
      <c r="C1849" s="99" t="s">
        <v>3108</v>
      </c>
      <c r="D1849" s="99" t="s">
        <v>3117</v>
      </c>
      <c r="E1849" s="99" t="s">
        <v>3118</v>
      </c>
      <c r="F1849" s="98" t="s">
        <v>3014</v>
      </c>
      <c r="G1849" s="98" t="s">
        <v>168</v>
      </c>
      <c r="H1849" s="98" t="s">
        <v>168</v>
      </c>
      <c r="I1849" s="98"/>
      <c r="J1849" s="98" t="s">
        <v>12</v>
      </c>
      <c r="K1849" s="100" t="s">
        <v>12</v>
      </c>
      <c r="L1849" s="101">
        <f>IF(COUNT(L1850:N1852)=0,"",SUM(L1850:L1852))</f>
        <v>0</v>
      </c>
      <c r="M1849" s="102">
        <f t="shared" si="1092"/>
        <v>0</v>
      </c>
      <c r="N1849" s="101">
        <f>IF(COUNT(L1850:N1852)=0,"",SUM(N1850:N1852))</f>
        <v>0</v>
      </c>
      <c r="O1849" s="101">
        <f>IF(COUNT(O1850:O1852)=0,"",SUM(O1850:O1852))</f>
        <v>0</v>
      </c>
      <c r="P1849" s="103"/>
      <c r="Q1849" s="101">
        <f>IF(COUNT(Q1850:Q1852)=0,"",SUM(Q1850:Q1852))</f>
        <v>0</v>
      </c>
      <c r="R1849" s="104"/>
      <c r="S1849" s="104"/>
      <c r="T1849" s="98" t="s">
        <v>65</v>
      </c>
      <c r="U1849" s="26"/>
      <c r="V1849" s="26"/>
      <c r="W1849" s="26"/>
      <c r="X1849" s="105"/>
      <c r="Y1849" s="105"/>
      <c r="Z1849" s="105"/>
      <c r="AA1849" s="105"/>
      <c r="AB1849" s="105"/>
      <c r="AC1849" s="105"/>
    </row>
    <row r="1850" ht="33.75" customHeight="1">
      <c r="A1850" s="106" t="s">
        <v>3119</v>
      </c>
      <c r="B1850" s="107" t="s">
        <v>2905</v>
      </c>
      <c r="C1850" s="107" t="s">
        <v>3108</v>
      </c>
      <c r="D1850" s="107" t="s">
        <v>3117</v>
      </c>
      <c r="E1850" s="107" t="s">
        <v>3118</v>
      </c>
      <c r="F1850" s="106" t="s">
        <v>3014</v>
      </c>
      <c r="G1850" s="106" t="s">
        <v>168</v>
      </c>
      <c r="H1850" s="106" t="s">
        <v>168</v>
      </c>
      <c r="I1850" s="106"/>
      <c r="J1850" s="106" t="s">
        <v>12</v>
      </c>
      <c r="K1850" s="108" t="s">
        <v>12</v>
      </c>
      <c r="L1850" s="109"/>
      <c r="M1850" s="109">
        <f t="shared" si="1092"/>
        <v>0</v>
      </c>
      <c r="N1850" s="109"/>
      <c r="O1850" s="109">
        <f t="shared" ref="O1850:O1852" si="1163">IF(COUNT(L1850:N1850)=0,"",(L1850+4*M1850+N1850)/6)</f>
        <v>0</v>
      </c>
      <c r="P1850" s="110"/>
      <c r="Q1850" s="109">
        <f t="shared" ref="Q1850:Q1852" si="1164">IF(O1850="","",IF(P1850="",O1850,O1850*(1+P1850)))</f>
        <v>0</v>
      </c>
      <c r="R1850" s="111"/>
      <c r="S1850" s="111"/>
      <c r="T1850" s="106" t="s">
        <v>31</v>
      </c>
      <c r="U1850" s="26"/>
      <c r="V1850" s="26"/>
      <c r="W1850" s="26"/>
      <c r="X1850" s="26"/>
      <c r="Y1850" s="26"/>
      <c r="Z1850" s="26"/>
      <c r="AA1850" s="26"/>
      <c r="AB1850" s="26"/>
      <c r="AC1850" s="26"/>
    </row>
    <row r="1851" ht="33.75" customHeight="1">
      <c r="A1851" s="106" t="s">
        <v>3120</v>
      </c>
      <c r="B1851" s="107" t="s">
        <v>2905</v>
      </c>
      <c r="C1851" s="107" t="s">
        <v>3108</v>
      </c>
      <c r="D1851" s="107" t="s">
        <v>3117</v>
      </c>
      <c r="E1851" s="107" t="s">
        <v>3118</v>
      </c>
      <c r="F1851" s="106" t="s">
        <v>3014</v>
      </c>
      <c r="G1851" s="106" t="s">
        <v>168</v>
      </c>
      <c r="H1851" s="106" t="s">
        <v>168</v>
      </c>
      <c r="I1851" s="106"/>
      <c r="J1851" s="106" t="s">
        <v>12</v>
      </c>
      <c r="K1851" s="108" t="s">
        <v>12</v>
      </c>
      <c r="L1851" s="109"/>
      <c r="M1851" s="109">
        <f t="shared" si="1092"/>
        <v>0</v>
      </c>
      <c r="N1851" s="109"/>
      <c r="O1851" s="109">
        <f t="shared" si="1163"/>
        <v>0</v>
      </c>
      <c r="P1851" s="110"/>
      <c r="Q1851" s="109">
        <f t="shared" si="1164"/>
        <v>0</v>
      </c>
      <c r="R1851" s="111"/>
      <c r="S1851" s="111"/>
      <c r="T1851" s="106" t="s">
        <v>32</v>
      </c>
      <c r="U1851" s="26"/>
      <c r="V1851" s="26"/>
      <c r="W1851" s="26"/>
      <c r="X1851" s="26"/>
      <c r="Y1851" s="26"/>
      <c r="Z1851" s="26"/>
      <c r="AA1851" s="26"/>
      <c r="AB1851" s="26"/>
      <c r="AC1851" s="26"/>
    </row>
    <row r="1852" ht="33.75" customHeight="1">
      <c r="A1852" s="106" t="s">
        <v>3121</v>
      </c>
      <c r="B1852" s="107" t="s">
        <v>2905</v>
      </c>
      <c r="C1852" s="107" t="s">
        <v>3108</v>
      </c>
      <c r="D1852" s="107" t="s">
        <v>3117</v>
      </c>
      <c r="E1852" s="107" t="s">
        <v>3118</v>
      </c>
      <c r="F1852" s="106" t="s">
        <v>3014</v>
      </c>
      <c r="G1852" s="106" t="s">
        <v>168</v>
      </c>
      <c r="H1852" s="106" t="s">
        <v>168</v>
      </c>
      <c r="I1852" s="106"/>
      <c r="J1852" s="106" t="s">
        <v>12</v>
      </c>
      <c r="K1852" s="108" t="s">
        <v>12</v>
      </c>
      <c r="L1852" s="109"/>
      <c r="M1852" s="109">
        <f t="shared" si="1092"/>
        <v>0</v>
      </c>
      <c r="N1852" s="109"/>
      <c r="O1852" s="109">
        <f t="shared" si="1163"/>
        <v>0</v>
      </c>
      <c r="P1852" s="110"/>
      <c r="Q1852" s="109">
        <f t="shared" si="1164"/>
        <v>0</v>
      </c>
      <c r="R1852" s="111"/>
      <c r="S1852" s="111"/>
      <c r="T1852" s="106" t="s">
        <v>70</v>
      </c>
      <c r="U1852" s="26"/>
      <c r="V1852" s="26"/>
      <c r="W1852" s="26"/>
      <c r="X1852" s="26"/>
      <c r="Y1852" s="26"/>
      <c r="Z1852" s="26"/>
      <c r="AA1852" s="26"/>
      <c r="AB1852" s="26"/>
      <c r="AC1852" s="26"/>
    </row>
    <row r="1853" ht="33.75" customHeight="1">
      <c r="A1853" s="98" t="s">
        <v>3122</v>
      </c>
      <c r="B1853" s="99" t="s">
        <v>2905</v>
      </c>
      <c r="C1853" s="99" t="s">
        <v>3108</v>
      </c>
      <c r="D1853" s="99" t="s">
        <v>3123</v>
      </c>
      <c r="E1853" s="99" t="s">
        <v>3124</v>
      </c>
      <c r="F1853" s="98" t="s">
        <v>3116</v>
      </c>
      <c r="G1853" s="98" t="s">
        <v>168</v>
      </c>
      <c r="H1853" s="98" t="s">
        <v>168</v>
      </c>
      <c r="I1853" s="98"/>
      <c r="J1853" s="98" t="s">
        <v>12</v>
      </c>
      <c r="K1853" s="100" t="s">
        <v>12</v>
      </c>
      <c r="L1853" s="101">
        <f>IF(COUNT(L1854:N1856)=0,"",SUM(L1854:L1856))</f>
        <v>0</v>
      </c>
      <c r="M1853" s="102">
        <f t="shared" si="1092"/>
        <v>0</v>
      </c>
      <c r="N1853" s="101">
        <f>IF(COUNT(L1854:N1856)=0,"",SUM(N1854:N1856))</f>
        <v>0</v>
      </c>
      <c r="O1853" s="101">
        <f>IF(COUNT(O1854:O1856)=0,"",SUM(O1854:O1856))</f>
        <v>0</v>
      </c>
      <c r="P1853" s="103"/>
      <c r="Q1853" s="101">
        <f>IF(COUNT(Q1854:Q1856)=0,"",SUM(Q1854:Q1856))</f>
        <v>0</v>
      </c>
      <c r="R1853" s="104"/>
      <c r="S1853" s="104"/>
      <c r="T1853" s="98" t="s">
        <v>65</v>
      </c>
      <c r="U1853" s="26"/>
      <c r="V1853" s="26"/>
      <c r="W1853" s="26"/>
      <c r="X1853" s="105"/>
      <c r="Y1853" s="105"/>
      <c r="Z1853" s="105"/>
      <c r="AA1853" s="105"/>
      <c r="AB1853" s="105"/>
      <c r="AC1853" s="105"/>
    </row>
    <row r="1854" ht="33.75" customHeight="1">
      <c r="A1854" s="106" t="s">
        <v>3125</v>
      </c>
      <c r="B1854" s="107" t="s">
        <v>2905</v>
      </c>
      <c r="C1854" s="107" t="s">
        <v>3108</v>
      </c>
      <c r="D1854" s="107" t="s">
        <v>3123</v>
      </c>
      <c r="E1854" s="107" t="s">
        <v>3124</v>
      </c>
      <c r="F1854" s="106" t="s">
        <v>3116</v>
      </c>
      <c r="G1854" s="106" t="s">
        <v>168</v>
      </c>
      <c r="H1854" s="106" t="s">
        <v>168</v>
      </c>
      <c r="I1854" s="106"/>
      <c r="J1854" s="106" t="s">
        <v>12</v>
      </c>
      <c r="K1854" s="108" t="s">
        <v>12</v>
      </c>
      <c r="L1854" s="109"/>
      <c r="M1854" s="109">
        <f t="shared" si="1092"/>
        <v>0</v>
      </c>
      <c r="N1854" s="109"/>
      <c r="O1854" s="109">
        <f t="shared" ref="O1854:O1856" si="1165">IF(COUNT(L1854:N1854)=0,"",(L1854+4*M1854+N1854)/6)</f>
        <v>0</v>
      </c>
      <c r="P1854" s="110"/>
      <c r="Q1854" s="109">
        <f t="shared" ref="Q1854:Q1856" si="1166">IF(O1854="","",IF(P1854="",O1854,O1854*(1+P1854)))</f>
        <v>0</v>
      </c>
      <c r="R1854" s="111"/>
      <c r="S1854" s="111"/>
      <c r="T1854" s="106" t="s">
        <v>31</v>
      </c>
      <c r="U1854" s="26"/>
      <c r="V1854" s="26"/>
      <c r="W1854" s="26"/>
      <c r="X1854" s="26"/>
      <c r="Y1854" s="26"/>
      <c r="Z1854" s="26"/>
      <c r="AA1854" s="26"/>
      <c r="AB1854" s="26"/>
      <c r="AC1854" s="26"/>
    </row>
    <row r="1855" ht="33.75" customHeight="1">
      <c r="A1855" s="106" t="s">
        <v>3126</v>
      </c>
      <c r="B1855" s="107" t="s">
        <v>2905</v>
      </c>
      <c r="C1855" s="107" t="s">
        <v>3108</v>
      </c>
      <c r="D1855" s="107" t="s">
        <v>3123</v>
      </c>
      <c r="E1855" s="107" t="s">
        <v>3124</v>
      </c>
      <c r="F1855" s="106" t="s">
        <v>3116</v>
      </c>
      <c r="G1855" s="106" t="s">
        <v>168</v>
      </c>
      <c r="H1855" s="106" t="s">
        <v>168</v>
      </c>
      <c r="I1855" s="106"/>
      <c r="J1855" s="106" t="s">
        <v>12</v>
      </c>
      <c r="K1855" s="108" t="s">
        <v>12</v>
      </c>
      <c r="L1855" s="109"/>
      <c r="M1855" s="109">
        <f t="shared" si="1092"/>
        <v>0</v>
      </c>
      <c r="N1855" s="109"/>
      <c r="O1855" s="109">
        <f t="shared" si="1165"/>
        <v>0</v>
      </c>
      <c r="P1855" s="110"/>
      <c r="Q1855" s="109">
        <f t="shared" si="1166"/>
        <v>0</v>
      </c>
      <c r="R1855" s="111"/>
      <c r="S1855" s="111"/>
      <c r="T1855" s="106" t="s">
        <v>32</v>
      </c>
      <c r="U1855" s="26"/>
      <c r="V1855" s="26"/>
      <c r="W1855" s="26"/>
      <c r="X1855" s="26"/>
      <c r="Y1855" s="26"/>
      <c r="Z1855" s="26"/>
      <c r="AA1855" s="26"/>
      <c r="AB1855" s="26"/>
      <c r="AC1855" s="26"/>
    </row>
    <row r="1856" ht="33.75" customHeight="1">
      <c r="A1856" s="106" t="s">
        <v>3127</v>
      </c>
      <c r="B1856" s="107" t="s">
        <v>2905</v>
      </c>
      <c r="C1856" s="107" t="s">
        <v>3108</v>
      </c>
      <c r="D1856" s="107" t="s">
        <v>3123</v>
      </c>
      <c r="E1856" s="107" t="s">
        <v>3124</v>
      </c>
      <c r="F1856" s="106" t="s">
        <v>3116</v>
      </c>
      <c r="G1856" s="106" t="s">
        <v>168</v>
      </c>
      <c r="H1856" s="106" t="s">
        <v>168</v>
      </c>
      <c r="I1856" s="106"/>
      <c r="J1856" s="106" t="s">
        <v>12</v>
      </c>
      <c r="K1856" s="108" t="s">
        <v>12</v>
      </c>
      <c r="L1856" s="109"/>
      <c r="M1856" s="109">
        <f t="shared" si="1092"/>
        <v>0</v>
      </c>
      <c r="N1856" s="109"/>
      <c r="O1856" s="109">
        <f t="shared" si="1165"/>
        <v>0</v>
      </c>
      <c r="P1856" s="110"/>
      <c r="Q1856" s="109">
        <f t="shared" si="1166"/>
        <v>0</v>
      </c>
      <c r="R1856" s="111"/>
      <c r="S1856" s="111"/>
      <c r="T1856" s="106" t="s">
        <v>70</v>
      </c>
      <c r="U1856" s="26"/>
      <c r="V1856" s="26"/>
      <c r="W1856" s="26"/>
      <c r="X1856" s="26"/>
      <c r="Y1856" s="26"/>
      <c r="Z1856" s="26"/>
      <c r="AA1856" s="26"/>
      <c r="AB1856" s="26"/>
      <c r="AC1856" s="26"/>
    </row>
  </sheetData>
  <hyperlinks>
    <hyperlink r:id="rId1" ref="A31"/>
    <hyperlink r:id="rId2" ref="A32"/>
    <hyperlink r:id="rId3" ref="A143"/>
    <hyperlink r:id="rId4" ref="A152"/>
    <hyperlink r:id="rId5" ref="A392"/>
    <hyperlink r:id="rId6" ref="A1445"/>
  </hyperlinks>
  <printOptions/>
  <pageMargins bottom="0.75" footer="0.0" header="0.0" left="0.7" right="0.7" top="0.75"/>
  <pageSetup orientation="landscape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12.0"/>
    <col customWidth="1" min="3" max="3" width="40.0"/>
    <col customWidth="1" min="4" max="4" width="30.0"/>
    <col customWidth="1" min="5" max="5" width="18.0"/>
    <col customWidth="1" min="6" max="6" width="10.0"/>
  </cols>
  <sheetData>
    <row r="1">
      <c r="A1" s="235" t="s">
        <v>3128</v>
      </c>
    </row>
    <row r="3" ht="24.0" customHeight="1">
      <c r="A3" s="236" t="s">
        <v>3129</v>
      </c>
      <c r="B3" s="236" t="s">
        <v>3130</v>
      </c>
      <c r="C3" s="236" t="s">
        <v>3131</v>
      </c>
      <c r="D3" s="236" t="s">
        <v>3132</v>
      </c>
      <c r="E3" s="236" t="s">
        <v>3133</v>
      </c>
      <c r="F3" s="236" t="s">
        <v>3134</v>
      </c>
    </row>
    <row r="4" ht="33.75" customHeight="1">
      <c r="A4" s="237" t="s">
        <v>3135</v>
      </c>
      <c r="B4" s="237" t="s">
        <v>3136</v>
      </c>
      <c r="C4" s="238" t="s">
        <v>3137</v>
      </c>
      <c r="D4" s="238" t="s">
        <v>3138</v>
      </c>
      <c r="E4" s="238" t="s">
        <v>3139</v>
      </c>
      <c r="F4" s="238" t="s">
        <v>3140</v>
      </c>
    </row>
    <row r="5" ht="33.75" customHeight="1">
      <c r="A5" s="237" t="s">
        <v>3141</v>
      </c>
      <c r="B5" s="237" t="s">
        <v>3136</v>
      </c>
      <c r="C5" s="238" t="s">
        <v>3142</v>
      </c>
      <c r="D5" s="238" t="s">
        <v>3143</v>
      </c>
      <c r="E5" s="238" t="s">
        <v>3144</v>
      </c>
      <c r="F5" s="238" t="s">
        <v>3140</v>
      </c>
    </row>
    <row r="6" ht="33.75" customHeight="1">
      <c r="A6" s="237" t="s">
        <v>3145</v>
      </c>
      <c r="B6" s="237" t="s">
        <v>3136</v>
      </c>
      <c r="C6" s="238" t="s">
        <v>3146</v>
      </c>
      <c r="D6" s="238" t="s">
        <v>3147</v>
      </c>
      <c r="E6" s="238" t="s">
        <v>3139</v>
      </c>
      <c r="F6" s="238" t="s">
        <v>3140</v>
      </c>
    </row>
    <row r="7" ht="33.75" customHeight="1">
      <c r="A7" s="237" t="s">
        <v>3148</v>
      </c>
      <c r="B7" s="237" t="s">
        <v>3136</v>
      </c>
      <c r="C7" s="238" t="s">
        <v>3149</v>
      </c>
      <c r="D7" s="238" t="s">
        <v>3150</v>
      </c>
      <c r="E7" s="238" t="s">
        <v>3151</v>
      </c>
      <c r="F7" s="238" t="s">
        <v>3152</v>
      </c>
    </row>
    <row r="8" ht="33.75" customHeight="1">
      <c r="A8" s="237" t="s">
        <v>3153</v>
      </c>
      <c r="B8" s="237" t="s">
        <v>3136</v>
      </c>
      <c r="C8" s="238" t="s">
        <v>3154</v>
      </c>
      <c r="D8" s="238" t="s">
        <v>3155</v>
      </c>
      <c r="E8" s="238" t="s">
        <v>3156</v>
      </c>
      <c r="F8" s="238" t="s">
        <v>3140</v>
      </c>
    </row>
    <row r="9" ht="33.75" customHeight="1">
      <c r="A9" s="237" t="s">
        <v>3157</v>
      </c>
      <c r="B9" s="237" t="s">
        <v>3158</v>
      </c>
      <c r="C9" s="238" t="s">
        <v>3159</v>
      </c>
      <c r="D9" s="238" t="s">
        <v>3160</v>
      </c>
      <c r="E9" s="238" t="s">
        <v>3161</v>
      </c>
      <c r="F9" s="238" t="s">
        <v>3140</v>
      </c>
    </row>
    <row r="10" ht="33.75" customHeight="1">
      <c r="A10" s="237" t="s">
        <v>3162</v>
      </c>
      <c r="B10" s="237" t="s">
        <v>3158</v>
      </c>
      <c r="C10" s="238" t="s">
        <v>3163</v>
      </c>
      <c r="D10" s="238" t="s">
        <v>3164</v>
      </c>
      <c r="E10" s="238" t="s">
        <v>3165</v>
      </c>
      <c r="F10" s="238" t="s">
        <v>3140</v>
      </c>
    </row>
    <row r="11" ht="33.75" customHeight="1">
      <c r="A11" s="237" t="s">
        <v>3166</v>
      </c>
      <c r="B11" s="237" t="s">
        <v>3158</v>
      </c>
      <c r="C11" s="238" t="s">
        <v>3167</v>
      </c>
      <c r="D11" s="238" t="s">
        <v>3168</v>
      </c>
      <c r="E11" s="238" t="s">
        <v>3169</v>
      </c>
      <c r="F11" s="238" t="s">
        <v>3140</v>
      </c>
    </row>
    <row r="12" ht="33.75" customHeight="1">
      <c r="A12" s="237" t="s">
        <v>3170</v>
      </c>
      <c r="B12" s="237" t="s">
        <v>3158</v>
      </c>
      <c r="C12" s="238" t="s">
        <v>3171</v>
      </c>
      <c r="D12" s="238" t="s">
        <v>3172</v>
      </c>
      <c r="E12" s="238" t="s">
        <v>3173</v>
      </c>
      <c r="F12" s="238" t="s">
        <v>3140</v>
      </c>
    </row>
    <row r="13" ht="33.75" customHeight="1">
      <c r="A13" s="237" t="s">
        <v>3174</v>
      </c>
      <c r="B13" s="237" t="s">
        <v>56</v>
      </c>
      <c r="C13" s="238" t="s">
        <v>3175</v>
      </c>
      <c r="D13" s="238" t="s">
        <v>3176</v>
      </c>
      <c r="E13" s="238" t="s">
        <v>3173</v>
      </c>
      <c r="F13" s="238" t="s">
        <v>3140</v>
      </c>
    </row>
    <row r="14" ht="33.75" customHeight="1">
      <c r="A14" s="237" t="s">
        <v>3177</v>
      </c>
      <c r="B14" s="237" t="s">
        <v>56</v>
      </c>
      <c r="C14" s="238" t="s">
        <v>3178</v>
      </c>
      <c r="D14" s="238" t="s">
        <v>3179</v>
      </c>
      <c r="E14" s="238" t="s">
        <v>3180</v>
      </c>
      <c r="F14" s="238" t="s">
        <v>3140</v>
      </c>
    </row>
    <row r="15" ht="33.75" customHeight="1">
      <c r="A15" s="237" t="s">
        <v>3181</v>
      </c>
      <c r="B15" s="237" t="s">
        <v>56</v>
      </c>
      <c r="C15" s="238" t="s">
        <v>3182</v>
      </c>
      <c r="D15" s="238" t="s">
        <v>3183</v>
      </c>
      <c r="E15" s="238" t="s">
        <v>3173</v>
      </c>
      <c r="F15" s="238" t="s">
        <v>3140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20.0"/>
    <col customWidth="1" min="3" max="3" width="36.0"/>
    <col customWidth="1" min="4" max="5" width="24.0"/>
    <col customWidth="1" min="6" max="6" width="18.0"/>
    <col customWidth="1" min="7" max="7" width="22.0"/>
  </cols>
  <sheetData>
    <row r="1">
      <c r="A1" s="239" t="s">
        <v>3184</v>
      </c>
    </row>
    <row r="3" ht="27.75" customHeight="1">
      <c r="A3" s="240" t="s">
        <v>48</v>
      </c>
      <c r="B3" s="240" t="s">
        <v>3185</v>
      </c>
      <c r="C3" s="240" t="s">
        <v>3186</v>
      </c>
      <c r="D3" s="240" t="s">
        <v>3187</v>
      </c>
      <c r="E3" s="240" t="s">
        <v>3188</v>
      </c>
      <c r="F3" s="240" t="s">
        <v>3189</v>
      </c>
      <c r="G3" s="240" t="s">
        <v>7</v>
      </c>
    </row>
    <row r="4" ht="43.5" customHeight="1">
      <c r="A4" s="241" t="s">
        <v>3190</v>
      </c>
      <c r="B4" s="238" t="s">
        <v>3191</v>
      </c>
      <c r="C4" s="238" t="s">
        <v>3192</v>
      </c>
      <c r="D4" s="238" t="s">
        <v>3193</v>
      </c>
      <c r="E4" s="238" t="s">
        <v>3194</v>
      </c>
      <c r="F4" s="242">
        <f>SUMIF(WBS!J71:J288,A4,WBS!P71:P288)</f>
        <v>0</v>
      </c>
      <c r="G4" s="238" t="s">
        <v>3195</v>
      </c>
    </row>
    <row r="5" ht="43.5" customHeight="1">
      <c r="A5" s="241" t="s">
        <v>3196</v>
      </c>
      <c r="B5" s="238" t="s">
        <v>3197</v>
      </c>
      <c r="C5" s="238" t="s">
        <v>3198</v>
      </c>
      <c r="D5" s="238" t="s">
        <v>3199</v>
      </c>
      <c r="E5" s="238" t="s">
        <v>3200</v>
      </c>
      <c r="F5" s="242">
        <f>SUMIF(WBS!J71:J288,A5,WBS!P71:P288)</f>
        <v>0</v>
      </c>
      <c r="G5" s="238" t="s">
        <v>3201</v>
      </c>
    </row>
    <row r="6" ht="43.5" customHeight="1">
      <c r="A6" s="241" t="s">
        <v>3202</v>
      </c>
      <c r="B6" s="238" t="s">
        <v>3203</v>
      </c>
      <c r="C6" s="238" t="s">
        <v>3204</v>
      </c>
      <c r="D6" s="238" t="s">
        <v>3205</v>
      </c>
      <c r="E6" s="238" t="s">
        <v>3206</v>
      </c>
      <c r="F6" s="242">
        <f>SUMIF(WBS!J71:J288,A6,WBS!P71:P288)</f>
        <v>0</v>
      </c>
      <c r="G6" s="238" t="s">
        <v>3207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24.0"/>
    <col customWidth="1" min="3" max="3" width="70.0"/>
    <col customWidth="1" min="4" max="6" width="8.63"/>
  </cols>
  <sheetData>
    <row r="1">
      <c r="A1" s="243" t="s">
        <v>3208</v>
      </c>
    </row>
    <row r="3">
      <c r="A3" s="244" t="s">
        <v>3209</v>
      </c>
      <c r="B3" s="244" t="s">
        <v>3210</v>
      </c>
      <c r="C3" s="244" t="s">
        <v>3211</v>
      </c>
    </row>
    <row r="4" ht="30.0" customHeight="1">
      <c r="A4" s="245" t="s">
        <v>3212</v>
      </c>
      <c r="B4" s="246" t="s">
        <v>3213</v>
      </c>
      <c r="C4" s="246" t="s">
        <v>3214</v>
      </c>
    </row>
    <row r="5" ht="30.0" customHeight="1">
      <c r="A5" s="245" t="s">
        <v>3215</v>
      </c>
      <c r="B5" s="246" t="s">
        <v>3216</v>
      </c>
      <c r="C5" s="246" t="s">
        <v>3217</v>
      </c>
    </row>
    <row r="6" ht="30.0" customHeight="1">
      <c r="A6" s="245" t="s">
        <v>3218</v>
      </c>
      <c r="B6" s="246" t="s">
        <v>3219</v>
      </c>
      <c r="C6" s="246" t="s">
        <v>3220</v>
      </c>
    </row>
    <row r="7" ht="30.0" customHeight="1">
      <c r="A7" s="245" t="s">
        <v>3221</v>
      </c>
      <c r="B7" s="246" t="s">
        <v>3222</v>
      </c>
      <c r="C7" s="246" t="s">
        <v>3223</v>
      </c>
    </row>
    <row r="8" ht="30.0" customHeight="1">
      <c r="A8" s="245" t="s">
        <v>3224</v>
      </c>
      <c r="B8" s="246" t="s">
        <v>3225</v>
      </c>
      <c r="C8" s="246" t="s">
        <v>3226</v>
      </c>
    </row>
    <row r="9" ht="30.0" customHeight="1">
      <c r="A9" s="245" t="s">
        <v>3227</v>
      </c>
      <c r="B9" s="246" t="s">
        <v>3228</v>
      </c>
      <c r="C9" s="246" t="s">
        <v>3229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